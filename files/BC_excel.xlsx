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Nhungnt27\Desktop\EXCEL\Huyenpn\Excel\"/>
    </mc:Choice>
  </mc:AlternateContent>
  <xr:revisionPtr revIDLastSave="0" documentId="13_ncr:1_{FEA65B1A-647D-4246-AA83-A0A641AB925B}" xr6:coauthVersionLast="47" xr6:coauthVersionMax="47" xr10:uidLastSave="{00000000-0000-0000-0000-000000000000}"/>
  <bookViews>
    <workbookView xWindow="-120" yWindow="-120" windowWidth="29040" windowHeight="15720" activeTab="3" xr2:uid="{00000000-000D-0000-FFFF-FFFF00000000}"/>
  </bookViews>
  <sheets>
    <sheet name="Báo cáo" sheetId="3" r:id="rId1"/>
    <sheet name="Data" sheetId="1" r:id="rId2"/>
    <sheet name="Pivot" sheetId="5" r:id="rId3"/>
    <sheet name="Các bước" sheetId="4" r:id="rId4"/>
    <sheet name="Mã tỉnh" sheetId="6" r:id="rId5"/>
  </sheets>
  <definedNames>
    <definedName name="_xlnm._FilterDatabase" localSheetId="1" hidden="1">Data!$A$1:$L$2700</definedName>
    <definedName name="_xlnm._FilterDatabase" localSheetId="2" hidden="1">Pivot!$O$3:$P$66</definedName>
    <definedName name="Slicer_Đối_tượng_KH">#N/A</definedName>
    <definedName name="Slicer_Lĩnh_vực">#N/A</definedName>
    <definedName name="Slicer_Năm">#N/A</definedName>
    <definedName name="Slicer_Tháng">#N/A</definedName>
  </definedNames>
  <calcPr calcId="191029" iterate="1"/>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5" l="1"/>
  <c r="T4" i="5"/>
  <c r="U3" i="5"/>
  <c r="L4" i="5" a="1"/>
  <c r="L4" i="5"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 i="1"/>
  <c r="F2" i="1"/>
  <c r="G2" i="1"/>
  <c r="L2" i="1"/>
  <c r="F3" i="1"/>
  <c r="G3" i="1"/>
  <c r="L3" i="1"/>
  <c r="F4" i="1"/>
  <c r="G4" i="1"/>
  <c r="L4" i="1"/>
  <c r="F5" i="1"/>
  <c r="G5" i="1"/>
  <c r="L5" i="1"/>
  <c r="F6" i="1"/>
  <c r="G6" i="1"/>
  <c r="L6" i="1"/>
  <c r="F7" i="1"/>
  <c r="G7" i="1"/>
  <c r="L7" i="1"/>
  <c r="F8" i="1"/>
  <c r="G8" i="1"/>
  <c r="L8" i="1"/>
  <c r="F9" i="1"/>
  <c r="G9" i="1"/>
  <c r="L9" i="1"/>
  <c r="F10" i="1"/>
  <c r="G10" i="1"/>
  <c r="L10" i="1"/>
  <c r="F11" i="1"/>
  <c r="G11" i="1"/>
  <c r="L11" i="1"/>
  <c r="F12" i="1"/>
  <c r="G12" i="1"/>
  <c r="L12" i="1"/>
  <c r="F13" i="1"/>
  <c r="G13" i="1"/>
  <c r="L13" i="1"/>
  <c r="F14" i="1"/>
  <c r="G14" i="1"/>
  <c r="L14" i="1"/>
  <c r="F15" i="1"/>
  <c r="G15" i="1"/>
  <c r="L15" i="1"/>
  <c r="F16" i="1"/>
  <c r="G16" i="1"/>
  <c r="L16" i="1"/>
  <c r="F17" i="1"/>
  <c r="G17" i="1"/>
  <c r="L17" i="1"/>
  <c r="F18" i="1"/>
  <c r="G18" i="1"/>
  <c r="L18" i="1"/>
  <c r="F19" i="1"/>
  <c r="G19" i="1"/>
  <c r="L19" i="1"/>
  <c r="F20" i="1"/>
  <c r="G20" i="1"/>
  <c r="L20" i="1"/>
  <c r="F21" i="1"/>
  <c r="G21" i="1"/>
  <c r="L21" i="1"/>
  <c r="F22" i="1"/>
  <c r="G22" i="1"/>
  <c r="L22" i="1"/>
  <c r="F23" i="1"/>
  <c r="G23" i="1"/>
  <c r="L23" i="1"/>
  <c r="F24" i="1"/>
  <c r="G24" i="1"/>
  <c r="L24" i="1"/>
  <c r="F25" i="1"/>
  <c r="G25" i="1"/>
  <c r="L25" i="1"/>
  <c r="F26" i="1"/>
  <c r="G26" i="1"/>
  <c r="L26" i="1"/>
  <c r="F27" i="1"/>
  <c r="G27" i="1"/>
  <c r="L27" i="1"/>
  <c r="F28" i="1"/>
  <c r="G28" i="1"/>
  <c r="L28" i="1"/>
  <c r="F29" i="1"/>
  <c r="G29" i="1"/>
  <c r="L29" i="1"/>
  <c r="F30" i="1"/>
  <c r="G30" i="1"/>
  <c r="L30" i="1"/>
  <c r="F31" i="1"/>
  <c r="G31" i="1"/>
  <c r="L31" i="1"/>
  <c r="F32" i="1"/>
  <c r="G32" i="1"/>
  <c r="L32" i="1"/>
  <c r="F33" i="1"/>
  <c r="G33" i="1"/>
  <c r="L33" i="1"/>
  <c r="F34" i="1"/>
  <c r="G34" i="1"/>
  <c r="L34" i="1"/>
  <c r="F35" i="1"/>
  <c r="G35" i="1"/>
  <c r="L35" i="1"/>
  <c r="F36" i="1"/>
  <c r="G36" i="1"/>
  <c r="L36" i="1"/>
  <c r="F37" i="1"/>
  <c r="G37" i="1"/>
  <c r="L37" i="1"/>
  <c r="F38" i="1"/>
  <c r="G38" i="1"/>
  <c r="L38" i="1"/>
  <c r="F39" i="1"/>
  <c r="G39" i="1"/>
  <c r="L39" i="1"/>
  <c r="F40" i="1"/>
  <c r="G40" i="1"/>
  <c r="L40" i="1"/>
  <c r="F41" i="1"/>
  <c r="G41" i="1"/>
  <c r="L41" i="1"/>
  <c r="F42" i="1"/>
  <c r="G42" i="1"/>
  <c r="L42" i="1"/>
  <c r="F43" i="1"/>
  <c r="G43" i="1"/>
  <c r="L43" i="1"/>
  <c r="F44" i="1"/>
  <c r="G44" i="1"/>
  <c r="L44" i="1"/>
  <c r="F45" i="1"/>
  <c r="G45" i="1"/>
  <c r="L45" i="1"/>
  <c r="F46" i="1"/>
  <c r="G46" i="1"/>
  <c r="L46" i="1"/>
  <c r="F47" i="1"/>
  <c r="G47" i="1"/>
  <c r="L47" i="1"/>
  <c r="F48" i="1"/>
  <c r="G48" i="1"/>
  <c r="L48" i="1"/>
  <c r="F49" i="1"/>
  <c r="G49" i="1"/>
  <c r="L49" i="1"/>
  <c r="F50" i="1"/>
  <c r="G50" i="1"/>
  <c r="L50" i="1"/>
  <c r="F51" i="1"/>
  <c r="G51" i="1"/>
  <c r="L51" i="1"/>
  <c r="F52" i="1"/>
  <c r="G52" i="1"/>
  <c r="L52" i="1"/>
  <c r="F53" i="1"/>
  <c r="G53" i="1"/>
  <c r="L53" i="1"/>
  <c r="F54" i="1"/>
  <c r="G54" i="1"/>
  <c r="L54" i="1"/>
  <c r="F55" i="1"/>
  <c r="G55" i="1"/>
  <c r="L55" i="1"/>
  <c r="F56" i="1"/>
  <c r="G56" i="1"/>
  <c r="L56" i="1"/>
  <c r="F57" i="1"/>
  <c r="G57" i="1"/>
  <c r="L57" i="1"/>
  <c r="F58" i="1"/>
  <c r="G58" i="1"/>
  <c r="L58" i="1"/>
  <c r="F59" i="1"/>
  <c r="G59" i="1"/>
  <c r="L59" i="1"/>
  <c r="F60" i="1"/>
  <c r="G60" i="1"/>
  <c r="L60" i="1"/>
  <c r="F61" i="1"/>
  <c r="G61" i="1"/>
  <c r="L61" i="1"/>
  <c r="F62" i="1"/>
  <c r="G62" i="1"/>
  <c r="L62" i="1"/>
  <c r="F63" i="1"/>
  <c r="G63" i="1"/>
  <c r="L63" i="1"/>
  <c r="F64" i="1"/>
  <c r="G64" i="1"/>
  <c r="L64" i="1"/>
  <c r="F65" i="1"/>
  <c r="G65" i="1"/>
  <c r="L65" i="1"/>
  <c r="F66" i="1"/>
  <c r="G66" i="1"/>
  <c r="L66" i="1"/>
  <c r="F67" i="1"/>
  <c r="G67" i="1"/>
  <c r="L67" i="1"/>
  <c r="F68" i="1"/>
  <c r="G68" i="1"/>
  <c r="L68" i="1"/>
  <c r="F69" i="1"/>
  <c r="G69" i="1"/>
  <c r="L69" i="1"/>
  <c r="F70" i="1"/>
  <c r="G70" i="1"/>
  <c r="L70" i="1"/>
  <c r="F71" i="1"/>
  <c r="G71" i="1"/>
  <c r="L71" i="1"/>
  <c r="F72" i="1"/>
  <c r="G72" i="1"/>
  <c r="L72" i="1"/>
  <c r="F73" i="1"/>
  <c r="G73" i="1"/>
  <c r="L73" i="1"/>
  <c r="F74" i="1"/>
  <c r="G74" i="1"/>
  <c r="L74" i="1"/>
  <c r="F75" i="1"/>
  <c r="G75" i="1"/>
  <c r="L75" i="1"/>
  <c r="F76" i="1"/>
  <c r="G76" i="1"/>
  <c r="L76" i="1"/>
  <c r="F77" i="1"/>
  <c r="G77" i="1"/>
  <c r="L77" i="1"/>
  <c r="F78" i="1"/>
  <c r="G78" i="1"/>
  <c r="L78" i="1"/>
  <c r="F79" i="1"/>
  <c r="G79" i="1"/>
  <c r="L79" i="1"/>
  <c r="F80" i="1"/>
  <c r="G80" i="1"/>
  <c r="L80" i="1"/>
  <c r="F81" i="1"/>
  <c r="G81" i="1"/>
  <c r="L81" i="1"/>
  <c r="F82" i="1"/>
  <c r="G82" i="1"/>
  <c r="L82" i="1"/>
  <c r="F83" i="1"/>
  <c r="G83" i="1"/>
  <c r="L83" i="1"/>
  <c r="F84" i="1"/>
  <c r="G84" i="1"/>
  <c r="L84" i="1"/>
  <c r="F85" i="1"/>
  <c r="G85" i="1"/>
  <c r="L85" i="1"/>
  <c r="F86" i="1"/>
  <c r="G86" i="1"/>
  <c r="L86" i="1"/>
  <c r="F87" i="1"/>
  <c r="G87" i="1"/>
  <c r="L87" i="1"/>
  <c r="F88" i="1"/>
  <c r="G88" i="1"/>
  <c r="L88" i="1"/>
  <c r="F89" i="1"/>
  <c r="G89" i="1"/>
  <c r="L89" i="1"/>
  <c r="F90" i="1"/>
  <c r="G90" i="1"/>
  <c r="L90" i="1"/>
  <c r="F91" i="1"/>
  <c r="G91" i="1"/>
  <c r="L91" i="1"/>
  <c r="F92" i="1"/>
  <c r="G92" i="1"/>
  <c r="L92" i="1"/>
  <c r="F93" i="1"/>
  <c r="G93" i="1"/>
  <c r="L93" i="1"/>
  <c r="F94" i="1"/>
  <c r="G94" i="1"/>
  <c r="L94" i="1"/>
  <c r="F95" i="1"/>
  <c r="G95" i="1"/>
  <c r="L95" i="1"/>
  <c r="F96" i="1"/>
  <c r="G96" i="1"/>
  <c r="L96" i="1"/>
  <c r="F97" i="1"/>
  <c r="G97" i="1"/>
  <c r="L97" i="1"/>
  <c r="F98" i="1"/>
  <c r="G98" i="1"/>
  <c r="L98" i="1"/>
  <c r="F99" i="1"/>
  <c r="G99" i="1"/>
  <c r="L99" i="1"/>
  <c r="F100" i="1"/>
  <c r="G100" i="1"/>
  <c r="L100" i="1"/>
  <c r="F101" i="1"/>
  <c r="G101" i="1"/>
  <c r="L101" i="1"/>
  <c r="F102" i="1"/>
  <c r="G102" i="1"/>
  <c r="L102" i="1"/>
  <c r="F103" i="1"/>
  <c r="G103" i="1"/>
  <c r="L103" i="1"/>
  <c r="F104" i="1"/>
  <c r="G104" i="1"/>
  <c r="L104" i="1"/>
  <c r="F105" i="1"/>
  <c r="G105" i="1"/>
  <c r="L105" i="1"/>
  <c r="F106" i="1"/>
  <c r="G106" i="1"/>
  <c r="L106" i="1"/>
  <c r="F107" i="1"/>
  <c r="G107" i="1"/>
  <c r="L107" i="1"/>
  <c r="F108" i="1"/>
  <c r="G108" i="1"/>
  <c r="L108" i="1"/>
  <c r="F109" i="1"/>
  <c r="G109" i="1"/>
  <c r="L109" i="1"/>
  <c r="F110" i="1"/>
  <c r="G110" i="1"/>
  <c r="L110" i="1"/>
  <c r="F111" i="1"/>
  <c r="G111" i="1"/>
  <c r="L111" i="1"/>
  <c r="F112" i="1"/>
  <c r="G112" i="1"/>
  <c r="L112" i="1"/>
  <c r="F113" i="1"/>
  <c r="G113" i="1"/>
  <c r="L113" i="1"/>
  <c r="F114" i="1"/>
  <c r="G114" i="1"/>
  <c r="L114" i="1"/>
  <c r="F115" i="1"/>
  <c r="G115" i="1"/>
  <c r="L115" i="1"/>
  <c r="F116" i="1"/>
  <c r="G116" i="1"/>
  <c r="L116" i="1"/>
  <c r="F117" i="1"/>
  <c r="G117" i="1"/>
  <c r="L117" i="1"/>
  <c r="F118" i="1"/>
  <c r="G118" i="1"/>
  <c r="L118" i="1"/>
  <c r="F119" i="1"/>
  <c r="G119" i="1"/>
  <c r="L119" i="1"/>
  <c r="F120" i="1"/>
  <c r="G120" i="1"/>
  <c r="L120" i="1"/>
  <c r="F121" i="1"/>
  <c r="G121" i="1"/>
  <c r="L121" i="1"/>
  <c r="F122" i="1"/>
  <c r="G122" i="1"/>
  <c r="L122" i="1"/>
  <c r="F123" i="1"/>
  <c r="G123" i="1"/>
  <c r="L123" i="1"/>
  <c r="F124" i="1"/>
  <c r="G124" i="1"/>
  <c r="L124" i="1"/>
  <c r="F125" i="1"/>
  <c r="G125" i="1"/>
  <c r="L125" i="1"/>
  <c r="F126" i="1"/>
  <c r="G126" i="1"/>
  <c r="L126" i="1"/>
  <c r="F127" i="1"/>
  <c r="G127" i="1"/>
  <c r="L127" i="1"/>
  <c r="F128" i="1"/>
  <c r="G128" i="1"/>
  <c r="L128" i="1"/>
  <c r="F129" i="1"/>
  <c r="G129" i="1"/>
  <c r="L129" i="1"/>
  <c r="F130" i="1"/>
  <c r="G130" i="1"/>
  <c r="L130" i="1"/>
  <c r="F131" i="1"/>
  <c r="G131" i="1"/>
  <c r="L131" i="1"/>
  <c r="F132" i="1"/>
  <c r="G132" i="1"/>
  <c r="L132" i="1"/>
  <c r="F133" i="1"/>
  <c r="G133" i="1"/>
  <c r="L133" i="1"/>
  <c r="F134" i="1"/>
  <c r="G134" i="1"/>
  <c r="L134" i="1"/>
  <c r="F135" i="1"/>
  <c r="G135" i="1"/>
  <c r="L135" i="1"/>
  <c r="F136" i="1"/>
  <c r="G136" i="1"/>
  <c r="L136" i="1"/>
  <c r="F137" i="1"/>
  <c r="G137" i="1"/>
  <c r="L137" i="1"/>
  <c r="F138" i="1"/>
  <c r="G138" i="1"/>
  <c r="L138" i="1"/>
  <c r="F139" i="1"/>
  <c r="G139" i="1"/>
  <c r="L139" i="1"/>
  <c r="F140" i="1"/>
  <c r="G140" i="1"/>
  <c r="L140" i="1"/>
  <c r="F141" i="1"/>
  <c r="G141" i="1"/>
  <c r="L141" i="1"/>
  <c r="F142" i="1"/>
  <c r="G142" i="1"/>
  <c r="L142" i="1"/>
  <c r="F143" i="1"/>
  <c r="G143" i="1"/>
  <c r="L143" i="1"/>
  <c r="F144" i="1"/>
  <c r="G144" i="1"/>
  <c r="L144" i="1"/>
  <c r="F145" i="1"/>
  <c r="G145" i="1"/>
  <c r="L145" i="1"/>
  <c r="F146" i="1"/>
  <c r="G146" i="1"/>
  <c r="L146" i="1"/>
  <c r="F147" i="1"/>
  <c r="G147" i="1"/>
  <c r="L147" i="1"/>
  <c r="F148" i="1"/>
  <c r="G148" i="1"/>
  <c r="L148" i="1"/>
  <c r="F149" i="1"/>
  <c r="G149" i="1"/>
  <c r="L149" i="1"/>
  <c r="F150" i="1"/>
  <c r="G150" i="1"/>
  <c r="L150" i="1"/>
  <c r="F151" i="1"/>
  <c r="G151" i="1"/>
  <c r="L151" i="1"/>
  <c r="F152" i="1"/>
  <c r="G152" i="1"/>
  <c r="L152" i="1"/>
  <c r="F153" i="1"/>
  <c r="G153" i="1"/>
  <c r="L153" i="1"/>
  <c r="F154" i="1"/>
  <c r="G154" i="1"/>
  <c r="L154" i="1"/>
  <c r="F155" i="1"/>
  <c r="G155" i="1"/>
  <c r="L155" i="1"/>
  <c r="F156" i="1"/>
  <c r="G156" i="1"/>
  <c r="L156" i="1"/>
  <c r="F157" i="1"/>
  <c r="G157" i="1"/>
  <c r="L157" i="1"/>
  <c r="F158" i="1"/>
  <c r="G158" i="1"/>
  <c r="L158" i="1"/>
  <c r="F159" i="1"/>
  <c r="G159" i="1"/>
  <c r="L159" i="1"/>
  <c r="F160" i="1"/>
  <c r="G160" i="1"/>
  <c r="L160" i="1"/>
  <c r="F161" i="1"/>
  <c r="G161" i="1"/>
  <c r="L161" i="1"/>
  <c r="F162" i="1"/>
  <c r="G162" i="1"/>
  <c r="L162" i="1"/>
  <c r="F163" i="1"/>
  <c r="G163" i="1"/>
  <c r="L163" i="1"/>
  <c r="F164" i="1"/>
  <c r="G164" i="1"/>
  <c r="L164" i="1"/>
  <c r="F165" i="1"/>
  <c r="G165" i="1"/>
  <c r="L165" i="1"/>
  <c r="F166" i="1"/>
  <c r="G166" i="1"/>
  <c r="L166" i="1"/>
  <c r="F167" i="1"/>
  <c r="G167" i="1"/>
  <c r="L167" i="1"/>
  <c r="F168" i="1"/>
  <c r="G168" i="1"/>
  <c r="L168" i="1"/>
  <c r="F169" i="1"/>
  <c r="G169" i="1"/>
  <c r="L169" i="1"/>
  <c r="F170" i="1"/>
  <c r="G170" i="1"/>
  <c r="L170" i="1"/>
  <c r="F171" i="1"/>
  <c r="G171" i="1"/>
  <c r="L171" i="1"/>
  <c r="F172" i="1"/>
  <c r="G172" i="1"/>
  <c r="L172" i="1"/>
  <c r="F173" i="1"/>
  <c r="G173" i="1"/>
  <c r="L173" i="1"/>
  <c r="F174" i="1"/>
  <c r="G174" i="1"/>
  <c r="L174" i="1"/>
  <c r="F175" i="1"/>
  <c r="G175" i="1"/>
  <c r="L175" i="1"/>
  <c r="F176" i="1"/>
  <c r="G176" i="1"/>
  <c r="L176" i="1"/>
  <c r="F177" i="1"/>
  <c r="G177" i="1"/>
  <c r="L177" i="1"/>
  <c r="F178" i="1"/>
  <c r="G178" i="1"/>
  <c r="L178" i="1"/>
  <c r="F179" i="1"/>
  <c r="G179" i="1"/>
  <c r="L179" i="1"/>
  <c r="F180" i="1"/>
  <c r="G180" i="1"/>
  <c r="L180" i="1"/>
  <c r="F181" i="1"/>
  <c r="G181" i="1"/>
  <c r="L181" i="1"/>
  <c r="F182" i="1"/>
  <c r="G182" i="1"/>
  <c r="L182" i="1"/>
  <c r="F183" i="1"/>
  <c r="G183" i="1"/>
  <c r="L183" i="1"/>
  <c r="F184" i="1"/>
  <c r="G184" i="1"/>
  <c r="L184" i="1"/>
  <c r="F185" i="1"/>
  <c r="G185" i="1"/>
  <c r="L185" i="1"/>
  <c r="F186" i="1"/>
  <c r="G186" i="1"/>
  <c r="L186" i="1"/>
  <c r="F187" i="1"/>
  <c r="G187" i="1"/>
  <c r="L187" i="1"/>
  <c r="F188" i="1"/>
  <c r="G188" i="1"/>
  <c r="L188" i="1"/>
  <c r="F189" i="1"/>
  <c r="G189" i="1"/>
  <c r="L189" i="1"/>
  <c r="F190" i="1"/>
  <c r="G190" i="1"/>
  <c r="L190" i="1"/>
  <c r="F191" i="1"/>
  <c r="G191" i="1"/>
  <c r="L191" i="1"/>
  <c r="F192" i="1"/>
  <c r="G192" i="1"/>
  <c r="L192" i="1"/>
  <c r="F193" i="1"/>
  <c r="G193" i="1"/>
  <c r="L193" i="1"/>
  <c r="F194" i="1"/>
  <c r="G194" i="1"/>
  <c r="L194" i="1"/>
  <c r="F195" i="1"/>
  <c r="G195" i="1"/>
  <c r="L195" i="1"/>
  <c r="F196" i="1"/>
  <c r="G196" i="1"/>
  <c r="L196" i="1"/>
  <c r="F197" i="1"/>
  <c r="G197" i="1"/>
  <c r="L197" i="1"/>
  <c r="F198" i="1"/>
  <c r="G198" i="1"/>
  <c r="L198" i="1"/>
  <c r="F199" i="1"/>
  <c r="G199" i="1"/>
  <c r="L199" i="1"/>
  <c r="F200" i="1"/>
  <c r="G200" i="1"/>
  <c r="L200" i="1"/>
  <c r="F201" i="1"/>
  <c r="G201" i="1"/>
  <c r="L201" i="1"/>
  <c r="F202" i="1"/>
  <c r="G202" i="1"/>
  <c r="L202" i="1"/>
  <c r="F203" i="1"/>
  <c r="G203" i="1"/>
  <c r="L203" i="1"/>
  <c r="F204" i="1"/>
  <c r="G204" i="1"/>
  <c r="L204" i="1"/>
  <c r="F205" i="1"/>
  <c r="G205" i="1"/>
  <c r="L205" i="1"/>
  <c r="F206" i="1"/>
  <c r="G206" i="1"/>
  <c r="L206" i="1"/>
  <c r="F207" i="1"/>
  <c r="G207" i="1"/>
  <c r="L207" i="1"/>
  <c r="F208" i="1"/>
  <c r="G208" i="1"/>
  <c r="L208" i="1"/>
  <c r="F209" i="1"/>
  <c r="G209" i="1"/>
  <c r="L209" i="1"/>
  <c r="F210" i="1"/>
  <c r="G210" i="1"/>
  <c r="L210" i="1"/>
  <c r="F211" i="1"/>
  <c r="G211" i="1"/>
  <c r="L211" i="1"/>
  <c r="F212" i="1"/>
  <c r="G212" i="1"/>
  <c r="L212" i="1"/>
  <c r="F213" i="1"/>
  <c r="G213" i="1"/>
  <c r="L213" i="1"/>
  <c r="F214" i="1"/>
  <c r="G214" i="1"/>
  <c r="L214" i="1"/>
  <c r="F215" i="1"/>
  <c r="G215" i="1"/>
  <c r="L215" i="1"/>
  <c r="F216" i="1"/>
  <c r="G216" i="1"/>
  <c r="L216" i="1"/>
  <c r="F217" i="1"/>
  <c r="G217" i="1"/>
  <c r="L217" i="1"/>
  <c r="F218" i="1"/>
  <c r="G218" i="1"/>
  <c r="L218" i="1"/>
  <c r="F219" i="1"/>
  <c r="G219" i="1"/>
  <c r="L219" i="1"/>
  <c r="F220" i="1"/>
  <c r="G220" i="1"/>
  <c r="L220" i="1"/>
  <c r="F221" i="1"/>
  <c r="G221" i="1"/>
  <c r="L221" i="1"/>
  <c r="F222" i="1"/>
  <c r="G222" i="1"/>
  <c r="L222" i="1"/>
  <c r="F223" i="1"/>
  <c r="G223" i="1"/>
  <c r="L223" i="1"/>
  <c r="F224" i="1"/>
  <c r="G224" i="1"/>
  <c r="L224" i="1"/>
  <c r="F225" i="1"/>
  <c r="G225" i="1"/>
  <c r="L225" i="1"/>
  <c r="F226" i="1"/>
  <c r="G226" i="1"/>
  <c r="L226" i="1"/>
  <c r="F227" i="1"/>
  <c r="G227" i="1"/>
  <c r="L227" i="1"/>
  <c r="F228" i="1"/>
  <c r="G228" i="1"/>
  <c r="L228" i="1"/>
  <c r="F229" i="1"/>
  <c r="G229" i="1"/>
  <c r="L229" i="1"/>
  <c r="F230" i="1"/>
  <c r="G230" i="1"/>
  <c r="L230" i="1"/>
  <c r="F231" i="1"/>
  <c r="G231" i="1"/>
  <c r="L231" i="1"/>
  <c r="F232" i="1"/>
  <c r="G232" i="1"/>
  <c r="L232" i="1"/>
  <c r="F233" i="1"/>
  <c r="G233" i="1"/>
  <c r="L233" i="1"/>
  <c r="F234" i="1"/>
  <c r="G234" i="1"/>
  <c r="L234" i="1"/>
  <c r="F235" i="1"/>
  <c r="G235" i="1"/>
  <c r="L235" i="1"/>
  <c r="F236" i="1"/>
  <c r="G236" i="1"/>
  <c r="L236" i="1"/>
  <c r="F237" i="1"/>
  <c r="G237" i="1"/>
  <c r="L237" i="1"/>
  <c r="F238" i="1"/>
  <c r="G238" i="1"/>
  <c r="L238" i="1"/>
  <c r="F239" i="1"/>
  <c r="G239" i="1"/>
  <c r="L239" i="1"/>
  <c r="F240" i="1"/>
  <c r="G240" i="1"/>
  <c r="L240" i="1"/>
  <c r="F241" i="1"/>
  <c r="G241" i="1"/>
  <c r="L241" i="1"/>
  <c r="F242" i="1"/>
  <c r="G242" i="1"/>
  <c r="L242" i="1"/>
  <c r="F243" i="1"/>
  <c r="G243" i="1"/>
  <c r="L243" i="1"/>
  <c r="F244" i="1"/>
  <c r="G244" i="1"/>
  <c r="L244" i="1"/>
  <c r="F245" i="1"/>
  <c r="G245" i="1"/>
  <c r="L245" i="1"/>
  <c r="F246" i="1"/>
  <c r="G246" i="1"/>
  <c r="L246" i="1"/>
  <c r="F247" i="1"/>
  <c r="G247" i="1"/>
  <c r="L247" i="1"/>
  <c r="F248" i="1"/>
  <c r="G248" i="1"/>
  <c r="L248" i="1"/>
  <c r="F249" i="1"/>
  <c r="G249" i="1"/>
  <c r="L249" i="1"/>
  <c r="F250" i="1"/>
  <c r="G250" i="1"/>
  <c r="L250" i="1"/>
  <c r="F251" i="1"/>
  <c r="G251" i="1"/>
  <c r="L251" i="1"/>
  <c r="F252" i="1"/>
  <c r="G252" i="1"/>
  <c r="L252" i="1"/>
  <c r="F253" i="1"/>
  <c r="G253" i="1"/>
  <c r="L253" i="1"/>
  <c r="F254" i="1"/>
  <c r="G254" i="1"/>
  <c r="L254" i="1"/>
  <c r="F255" i="1"/>
  <c r="G255" i="1"/>
  <c r="L255" i="1"/>
  <c r="F256" i="1"/>
  <c r="G256" i="1"/>
  <c r="L256" i="1"/>
  <c r="F257" i="1"/>
  <c r="G257" i="1"/>
  <c r="L257" i="1"/>
  <c r="F258" i="1"/>
  <c r="G258" i="1"/>
  <c r="L258" i="1"/>
  <c r="F259" i="1"/>
  <c r="G259" i="1"/>
  <c r="L259" i="1"/>
  <c r="F260" i="1"/>
  <c r="G260" i="1"/>
  <c r="L260" i="1"/>
  <c r="F261" i="1"/>
  <c r="G261" i="1"/>
  <c r="L261" i="1"/>
  <c r="F262" i="1"/>
  <c r="G262" i="1"/>
  <c r="L262" i="1"/>
  <c r="F263" i="1"/>
  <c r="G263" i="1"/>
  <c r="L263" i="1"/>
  <c r="F264" i="1"/>
  <c r="G264" i="1"/>
  <c r="L264" i="1"/>
  <c r="F265" i="1"/>
  <c r="G265" i="1"/>
  <c r="L265" i="1"/>
  <c r="F266" i="1"/>
  <c r="G266" i="1"/>
  <c r="L266" i="1"/>
  <c r="F267" i="1"/>
  <c r="G267" i="1"/>
  <c r="L267" i="1"/>
  <c r="F268" i="1"/>
  <c r="G268" i="1"/>
  <c r="L268" i="1"/>
  <c r="F269" i="1"/>
  <c r="G269" i="1"/>
  <c r="L269" i="1"/>
  <c r="F270" i="1"/>
  <c r="G270" i="1"/>
  <c r="L270" i="1"/>
  <c r="F271" i="1"/>
  <c r="G271" i="1"/>
  <c r="L271" i="1"/>
  <c r="F272" i="1"/>
  <c r="G272" i="1"/>
  <c r="L272" i="1"/>
  <c r="F273" i="1"/>
  <c r="G273" i="1"/>
  <c r="L273" i="1"/>
  <c r="F274" i="1"/>
  <c r="G274" i="1"/>
  <c r="L274" i="1"/>
  <c r="F275" i="1"/>
  <c r="G275" i="1"/>
  <c r="L275" i="1"/>
  <c r="F276" i="1"/>
  <c r="G276" i="1"/>
  <c r="L276" i="1"/>
  <c r="F277" i="1"/>
  <c r="G277" i="1"/>
  <c r="L277" i="1"/>
  <c r="F278" i="1"/>
  <c r="G278" i="1"/>
  <c r="L278" i="1"/>
  <c r="F279" i="1"/>
  <c r="G279" i="1"/>
  <c r="L279" i="1"/>
  <c r="F280" i="1"/>
  <c r="G280" i="1"/>
  <c r="L280" i="1"/>
  <c r="F281" i="1"/>
  <c r="G281" i="1"/>
  <c r="L281" i="1"/>
  <c r="F282" i="1"/>
  <c r="G282" i="1"/>
  <c r="L282" i="1"/>
  <c r="F283" i="1"/>
  <c r="G283" i="1"/>
  <c r="L283" i="1"/>
  <c r="F284" i="1"/>
  <c r="G284" i="1"/>
  <c r="L284" i="1"/>
  <c r="F285" i="1"/>
  <c r="G285" i="1"/>
  <c r="L285" i="1"/>
  <c r="F286" i="1"/>
  <c r="G286" i="1"/>
  <c r="L286" i="1"/>
  <c r="F287" i="1"/>
  <c r="G287" i="1"/>
  <c r="L287" i="1"/>
  <c r="F288" i="1"/>
  <c r="G288" i="1"/>
  <c r="L288" i="1"/>
  <c r="F289" i="1"/>
  <c r="G289" i="1"/>
  <c r="L289" i="1"/>
  <c r="F290" i="1"/>
  <c r="G290" i="1"/>
  <c r="L290" i="1"/>
  <c r="F291" i="1"/>
  <c r="G291" i="1"/>
  <c r="L291" i="1"/>
  <c r="F292" i="1"/>
  <c r="G292" i="1"/>
  <c r="L292" i="1"/>
  <c r="F293" i="1"/>
  <c r="G293" i="1"/>
  <c r="L293" i="1"/>
  <c r="F294" i="1"/>
  <c r="G294" i="1"/>
  <c r="L294" i="1"/>
  <c r="F295" i="1"/>
  <c r="G295" i="1"/>
  <c r="L295" i="1"/>
  <c r="F296" i="1"/>
  <c r="G296" i="1"/>
  <c r="L296" i="1"/>
  <c r="F297" i="1"/>
  <c r="G297" i="1"/>
  <c r="L297" i="1"/>
  <c r="F298" i="1"/>
  <c r="G298" i="1"/>
  <c r="L298" i="1"/>
  <c r="F299" i="1"/>
  <c r="G299" i="1"/>
  <c r="L299" i="1"/>
  <c r="F300" i="1"/>
  <c r="G300" i="1"/>
  <c r="L300" i="1"/>
  <c r="F301" i="1"/>
  <c r="G301" i="1"/>
  <c r="L301" i="1"/>
  <c r="F302" i="1"/>
  <c r="G302" i="1"/>
  <c r="L302" i="1"/>
  <c r="F303" i="1"/>
  <c r="G303" i="1"/>
  <c r="L303" i="1"/>
  <c r="F304" i="1"/>
  <c r="G304" i="1"/>
  <c r="L304" i="1"/>
  <c r="F305" i="1"/>
  <c r="G305" i="1"/>
  <c r="L305" i="1"/>
  <c r="F306" i="1"/>
  <c r="G306" i="1"/>
  <c r="L306" i="1"/>
  <c r="F307" i="1"/>
  <c r="G307" i="1"/>
  <c r="L307" i="1"/>
  <c r="F308" i="1"/>
  <c r="G308" i="1"/>
  <c r="L308" i="1"/>
  <c r="F309" i="1"/>
  <c r="G309" i="1"/>
  <c r="L309" i="1"/>
  <c r="F310" i="1"/>
  <c r="G310" i="1"/>
  <c r="L310" i="1"/>
  <c r="F311" i="1"/>
  <c r="G311" i="1"/>
  <c r="L311" i="1"/>
  <c r="F312" i="1"/>
  <c r="G312" i="1"/>
  <c r="L312" i="1"/>
  <c r="F313" i="1"/>
  <c r="G313" i="1"/>
  <c r="L313" i="1"/>
  <c r="F314" i="1"/>
  <c r="G314" i="1"/>
  <c r="L314" i="1"/>
  <c r="F315" i="1"/>
  <c r="G315" i="1"/>
  <c r="L315" i="1"/>
  <c r="F316" i="1"/>
  <c r="G316" i="1"/>
  <c r="L316" i="1"/>
  <c r="F317" i="1"/>
  <c r="G317" i="1"/>
  <c r="L317" i="1"/>
  <c r="F318" i="1"/>
  <c r="G318" i="1"/>
  <c r="L318" i="1"/>
  <c r="F319" i="1"/>
  <c r="G319" i="1"/>
  <c r="L319" i="1"/>
  <c r="F320" i="1"/>
  <c r="G320" i="1"/>
  <c r="L320" i="1"/>
  <c r="F321" i="1"/>
  <c r="G321" i="1"/>
  <c r="L321" i="1"/>
  <c r="F322" i="1"/>
  <c r="G322" i="1"/>
  <c r="L322" i="1"/>
  <c r="F323" i="1"/>
  <c r="G323" i="1"/>
  <c r="L323" i="1"/>
  <c r="F324" i="1"/>
  <c r="G324" i="1"/>
  <c r="L324" i="1"/>
  <c r="F325" i="1"/>
  <c r="G325" i="1"/>
  <c r="L325" i="1"/>
  <c r="F326" i="1"/>
  <c r="G326" i="1"/>
  <c r="L326" i="1"/>
  <c r="F327" i="1"/>
  <c r="G327" i="1"/>
  <c r="L327" i="1"/>
  <c r="F328" i="1"/>
  <c r="G328" i="1"/>
  <c r="L328" i="1"/>
  <c r="F329" i="1"/>
  <c r="G329" i="1"/>
  <c r="L329" i="1"/>
  <c r="F330" i="1"/>
  <c r="G330" i="1"/>
  <c r="L330" i="1"/>
  <c r="F331" i="1"/>
  <c r="G331" i="1"/>
  <c r="L331" i="1"/>
  <c r="F332" i="1"/>
  <c r="G332" i="1"/>
  <c r="L332" i="1"/>
  <c r="F333" i="1"/>
  <c r="G333" i="1"/>
  <c r="L333" i="1"/>
  <c r="F334" i="1"/>
  <c r="G334" i="1"/>
  <c r="L334" i="1"/>
  <c r="F335" i="1"/>
  <c r="G335" i="1"/>
  <c r="L335" i="1"/>
  <c r="F336" i="1"/>
  <c r="G336" i="1"/>
  <c r="L336" i="1"/>
  <c r="F337" i="1"/>
  <c r="G337" i="1"/>
  <c r="L337" i="1"/>
  <c r="F338" i="1"/>
  <c r="G338" i="1"/>
  <c r="L338" i="1"/>
  <c r="F339" i="1"/>
  <c r="G339" i="1"/>
  <c r="L339" i="1"/>
  <c r="F340" i="1"/>
  <c r="G340" i="1"/>
  <c r="L340" i="1"/>
  <c r="F341" i="1"/>
  <c r="G341" i="1"/>
  <c r="L341" i="1"/>
  <c r="F342" i="1"/>
  <c r="G342" i="1"/>
  <c r="L342" i="1"/>
  <c r="F343" i="1"/>
  <c r="G343" i="1"/>
  <c r="L343" i="1"/>
  <c r="F344" i="1"/>
  <c r="G344" i="1"/>
  <c r="L344" i="1"/>
  <c r="F345" i="1"/>
  <c r="G345" i="1"/>
  <c r="L345" i="1"/>
  <c r="F346" i="1"/>
  <c r="G346" i="1"/>
  <c r="L346" i="1"/>
  <c r="F347" i="1"/>
  <c r="G347" i="1"/>
  <c r="L347" i="1"/>
  <c r="F348" i="1"/>
  <c r="G348" i="1"/>
  <c r="L348" i="1"/>
  <c r="F349" i="1"/>
  <c r="G349" i="1"/>
  <c r="L349" i="1"/>
  <c r="F350" i="1"/>
  <c r="G350" i="1"/>
  <c r="L350" i="1"/>
  <c r="F351" i="1"/>
  <c r="G351" i="1"/>
  <c r="L351" i="1"/>
  <c r="F352" i="1"/>
  <c r="G352" i="1"/>
  <c r="L352" i="1"/>
  <c r="F353" i="1"/>
  <c r="G353" i="1"/>
  <c r="L353" i="1"/>
  <c r="F354" i="1"/>
  <c r="G354" i="1"/>
  <c r="L354" i="1"/>
  <c r="F355" i="1"/>
  <c r="G355" i="1"/>
  <c r="L355" i="1"/>
  <c r="F356" i="1"/>
  <c r="G356" i="1"/>
  <c r="L356" i="1"/>
  <c r="F357" i="1"/>
  <c r="G357" i="1"/>
  <c r="L357" i="1"/>
  <c r="F358" i="1"/>
  <c r="G358" i="1"/>
  <c r="L358" i="1"/>
  <c r="F359" i="1"/>
  <c r="G359" i="1"/>
  <c r="L359" i="1"/>
  <c r="F360" i="1"/>
  <c r="G360" i="1"/>
  <c r="L360" i="1"/>
  <c r="F361" i="1"/>
  <c r="G361" i="1"/>
  <c r="L361" i="1"/>
  <c r="F362" i="1"/>
  <c r="G362" i="1"/>
  <c r="L362" i="1"/>
  <c r="F363" i="1"/>
  <c r="G363" i="1"/>
  <c r="L363" i="1"/>
  <c r="F364" i="1"/>
  <c r="G364" i="1"/>
  <c r="L364" i="1"/>
  <c r="F365" i="1"/>
  <c r="G365" i="1"/>
  <c r="L365" i="1"/>
  <c r="F366" i="1"/>
  <c r="G366" i="1"/>
  <c r="L366" i="1"/>
  <c r="F367" i="1"/>
  <c r="G367" i="1"/>
  <c r="L367" i="1"/>
  <c r="F368" i="1"/>
  <c r="G368" i="1"/>
  <c r="L368" i="1"/>
  <c r="F369" i="1"/>
  <c r="G369" i="1"/>
  <c r="L369" i="1"/>
  <c r="F370" i="1"/>
  <c r="G370" i="1"/>
  <c r="L370" i="1"/>
  <c r="F371" i="1"/>
  <c r="G371" i="1"/>
  <c r="L371" i="1"/>
  <c r="F372" i="1"/>
  <c r="G372" i="1"/>
  <c r="L372" i="1"/>
  <c r="F373" i="1"/>
  <c r="G373" i="1"/>
  <c r="L373" i="1"/>
  <c r="F374" i="1"/>
  <c r="G374" i="1"/>
  <c r="L374" i="1"/>
  <c r="F375" i="1"/>
  <c r="G375" i="1"/>
  <c r="L375" i="1"/>
  <c r="F376" i="1"/>
  <c r="G376" i="1"/>
  <c r="L376" i="1"/>
  <c r="F377" i="1"/>
  <c r="G377" i="1"/>
  <c r="L377" i="1"/>
  <c r="F378" i="1"/>
  <c r="G378" i="1"/>
  <c r="L378" i="1"/>
  <c r="F379" i="1"/>
  <c r="G379" i="1"/>
  <c r="L379" i="1"/>
  <c r="F380" i="1"/>
  <c r="G380" i="1"/>
  <c r="L380" i="1"/>
  <c r="F381" i="1"/>
  <c r="G381" i="1"/>
  <c r="L381" i="1"/>
  <c r="F382" i="1"/>
  <c r="G382" i="1"/>
  <c r="L382" i="1"/>
  <c r="F383" i="1"/>
  <c r="G383" i="1"/>
  <c r="L383" i="1"/>
  <c r="F384" i="1"/>
  <c r="G384" i="1"/>
  <c r="L384" i="1"/>
  <c r="F385" i="1"/>
  <c r="G385" i="1"/>
  <c r="L385" i="1"/>
  <c r="F386" i="1"/>
  <c r="G386" i="1"/>
  <c r="L386" i="1"/>
  <c r="F387" i="1"/>
  <c r="G387" i="1"/>
  <c r="L387" i="1"/>
  <c r="F388" i="1"/>
  <c r="G388" i="1"/>
  <c r="L388" i="1"/>
  <c r="F389" i="1"/>
  <c r="G389" i="1"/>
  <c r="L389" i="1"/>
  <c r="F390" i="1"/>
  <c r="G390" i="1"/>
  <c r="L390" i="1"/>
  <c r="F391" i="1"/>
  <c r="G391" i="1"/>
  <c r="L391" i="1"/>
  <c r="F392" i="1"/>
  <c r="G392" i="1"/>
  <c r="L392" i="1"/>
  <c r="F393" i="1"/>
  <c r="G393" i="1"/>
  <c r="L393" i="1"/>
  <c r="F394" i="1"/>
  <c r="G394" i="1"/>
  <c r="L394" i="1"/>
  <c r="F395" i="1"/>
  <c r="G395" i="1"/>
  <c r="L395" i="1"/>
  <c r="F396" i="1"/>
  <c r="G396" i="1"/>
  <c r="L396" i="1"/>
  <c r="F397" i="1"/>
  <c r="G397" i="1"/>
  <c r="L397" i="1"/>
  <c r="F398" i="1"/>
  <c r="G398" i="1"/>
  <c r="L398" i="1"/>
  <c r="F399" i="1"/>
  <c r="G399" i="1"/>
  <c r="L399" i="1"/>
  <c r="F400" i="1"/>
  <c r="G400" i="1"/>
  <c r="L400" i="1"/>
  <c r="F401" i="1"/>
  <c r="G401" i="1"/>
  <c r="L401" i="1"/>
  <c r="F402" i="1"/>
  <c r="G402" i="1"/>
  <c r="L402" i="1"/>
  <c r="F403" i="1"/>
  <c r="G403" i="1"/>
  <c r="L403" i="1"/>
  <c r="F404" i="1"/>
  <c r="G404" i="1"/>
  <c r="L404" i="1"/>
  <c r="F405" i="1"/>
  <c r="G405" i="1"/>
  <c r="L405" i="1"/>
  <c r="F406" i="1"/>
  <c r="G406" i="1"/>
  <c r="L406" i="1"/>
  <c r="F407" i="1"/>
  <c r="G407" i="1"/>
  <c r="L407" i="1"/>
  <c r="F408" i="1"/>
  <c r="G408" i="1"/>
  <c r="L408" i="1"/>
  <c r="F409" i="1"/>
  <c r="G409" i="1"/>
  <c r="L409" i="1"/>
  <c r="F410" i="1"/>
  <c r="G410" i="1"/>
  <c r="L410" i="1"/>
  <c r="F411" i="1"/>
  <c r="G411" i="1"/>
  <c r="L411" i="1"/>
  <c r="F412" i="1"/>
  <c r="G412" i="1"/>
  <c r="L412" i="1"/>
  <c r="F413" i="1"/>
  <c r="G413" i="1"/>
  <c r="L413" i="1"/>
  <c r="F414" i="1"/>
  <c r="G414" i="1"/>
  <c r="L414" i="1"/>
  <c r="F415" i="1"/>
  <c r="G415" i="1"/>
  <c r="L415" i="1"/>
  <c r="F416" i="1"/>
  <c r="G416" i="1"/>
  <c r="L416" i="1"/>
  <c r="F417" i="1"/>
  <c r="G417" i="1"/>
  <c r="L417" i="1"/>
  <c r="F418" i="1"/>
  <c r="G418" i="1"/>
  <c r="L418" i="1"/>
  <c r="F419" i="1"/>
  <c r="G419" i="1"/>
  <c r="L419" i="1"/>
  <c r="F420" i="1"/>
  <c r="G420" i="1"/>
  <c r="L420" i="1"/>
  <c r="F421" i="1"/>
  <c r="G421" i="1"/>
  <c r="L421" i="1"/>
  <c r="F422" i="1"/>
  <c r="G422" i="1"/>
  <c r="L422" i="1"/>
  <c r="F423" i="1"/>
  <c r="G423" i="1"/>
  <c r="L423" i="1"/>
  <c r="F424" i="1"/>
  <c r="G424" i="1"/>
  <c r="L424" i="1"/>
  <c r="F425" i="1"/>
  <c r="G425" i="1"/>
  <c r="L425" i="1"/>
  <c r="F426" i="1"/>
  <c r="G426" i="1"/>
  <c r="L426" i="1"/>
  <c r="F427" i="1"/>
  <c r="G427" i="1"/>
  <c r="L427" i="1"/>
  <c r="F428" i="1"/>
  <c r="G428" i="1"/>
  <c r="L428" i="1"/>
  <c r="F429" i="1"/>
  <c r="G429" i="1"/>
  <c r="L429" i="1"/>
  <c r="F430" i="1"/>
  <c r="G430" i="1"/>
  <c r="L430" i="1"/>
  <c r="F431" i="1"/>
  <c r="G431" i="1"/>
  <c r="L431" i="1"/>
  <c r="F432" i="1"/>
  <c r="G432" i="1"/>
  <c r="L432" i="1"/>
  <c r="F433" i="1"/>
  <c r="G433" i="1"/>
  <c r="L433" i="1"/>
  <c r="F434" i="1"/>
  <c r="G434" i="1"/>
  <c r="L434" i="1"/>
  <c r="F435" i="1"/>
  <c r="G435" i="1"/>
  <c r="L435" i="1"/>
  <c r="F436" i="1"/>
  <c r="G436" i="1"/>
  <c r="L436" i="1"/>
  <c r="F437" i="1"/>
  <c r="G437" i="1"/>
  <c r="L437" i="1"/>
  <c r="F438" i="1"/>
  <c r="G438" i="1"/>
  <c r="L438" i="1"/>
  <c r="F439" i="1"/>
  <c r="G439" i="1"/>
  <c r="L439" i="1"/>
  <c r="F440" i="1"/>
  <c r="G440" i="1"/>
  <c r="L440" i="1"/>
  <c r="F441" i="1"/>
  <c r="G441" i="1"/>
  <c r="L441" i="1"/>
  <c r="F442" i="1"/>
  <c r="G442" i="1"/>
  <c r="L442" i="1"/>
  <c r="F443" i="1"/>
  <c r="G443" i="1"/>
  <c r="L443" i="1"/>
  <c r="F444" i="1"/>
  <c r="G444" i="1"/>
  <c r="L444" i="1"/>
  <c r="F445" i="1"/>
  <c r="G445" i="1"/>
  <c r="L445" i="1"/>
  <c r="F446" i="1"/>
  <c r="G446" i="1"/>
  <c r="L446" i="1"/>
  <c r="F447" i="1"/>
  <c r="G447" i="1"/>
  <c r="L447" i="1"/>
  <c r="F448" i="1"/>
  <c r="G448" i="1"/>
  <c r="L448" i="1"/>
  <c r="F449" i="1"/>
  <c r="G449" i="1"/>
  <c r="L449" i="1"/>
  <c r="F450" i="1"/>
  <c r="G450" i="1"/>
  <c r="L450" i="1"/>
  <c r="F451" i="1"/>
  <c r="G451" i="1"/>
  <c r="L451" i="1"/>
  <c r="F452" i="1"/>
  <c r="G452" i="1"/>
  <c r="L452" i="1"/>
  <c r="F453" i="1"/>
  <c r="G453" i="1"/>
  <c r="L453" i="1"/>
  <c r="F454" i="1"/>
  <c r="G454" i="1"/>
  <c r="L454" i="1"/>
  <c r="F455" i="1"/>
  <c r="G455" i="1"/>
  <c r="L455" i="1"/>
  <c r="F456" i="1"/>
  <c r="G456" i="1"/>
  <c r="L456" i="1"/>
  <c r="F457" i="1"/>
  <c r="G457" i="1"/>
  <c r="L457" i="1"/>
  <c r="F458" i="1"/>
  <c r="G458" i="1"/>
  <c r="L458" i="1"/>
  <c r="F459" i="1"/>
  <c r="G459" i="1"/>
  <c r="L459" i="1"/>
  <c r="F460" i="1"/>
  <c r="G460" i="1"/>
  <c r="L460" i="1"/>
  <c r="F461" i="1"/>
  <c r="G461" i="1"/>
  <c r="L461" i="1"/>
  <c r="F462" i="1"/>
  <c r="G462" i="1"/>
  <c r="L462" i="1"/>
  <c r="F463" i="1"/>
  <c r="G463" i="1"/>
  <c r="L463" i="1"/>
  <c r="F464" i="1"/>
  <c r="G464" i="1"/>
  <c r="L464" i="1"/>
  <c r="F465" i="1"/>
  <c r="G465" i="1"/>
  <c r="L465" i="1"/>
  <c r="F466" i="1"/>
  <c r="G466" i="1"/>
  <c r="L466" i="1"/>
  <c r="F467" i="1"/>
  <c r="G467" i="1"/>
  <c r="L467" i="1"/>
  <c r="F468" i="1"/>
  <c r="G468" i="1"/>
  <c r="L468" i="1"/>
  <c r="F469" i="1"/>
  <c r="G469" i="1"/>
  <c r="L469" i="1"/>
  <c r="F470" i="1"/>
  <c r="G470" i="1"/>
  <c r="L470" i="1"/>
  <c r="F471" i="1"/>
  <c r="G471" i="1"/>
  <c r="L471" i="1"/>
  <c r="F472" i="1"/>
  <c r="G472" i="1"/>
  <c r="L472" i="1"/>
  <c r="F473" i="1"/>
  <c r="G473" i="1"/>
  <c r="L473" i="1"/>
  <c r="F474" i="1"/>
  <c r="G474" i="1"/>
  <c r="L474" i="1"/>
  <c r="F475" i="1"/>
  <c r="G475" i="1"/>
  <c r="L475" i="1"/>
  <c r="F476" i="1"/>
  <c r="G476" i="1"/>
  <c r="L476" i="1"/>
  <c r="F477" i="1"/>
  <c r="G477" i="1"/>
  <c r="L477" i="1"/>
  <c r="F478" i="1"/>
  <c r="G478" i="1"/>
  <c r="L478" i="1"/>
  <c r="F479" i="1"/>
  <c r="G479" i="1"/>
  <c r="L479" i="1"/>
  <c r="F480" i="1"/>
  <c r="G480" i="1"/>
  <c r="L480" i="1"/>
  <c r="F481" i="1"/>
  <c r="G481" i="1"/>
  <c r="L481" i="1"/>
  <c r="F482" i="1"/>
  <c r="G482" i="1"/>
  <c r="L482" i="1"/>
  <c r="F483" i="1"/>
  <c r="G483" i="1"/>
  <c r="L483" i="1"/>
  <c r="F484" i="1"/>
  <c r="G484" i="1"/>
  <c r="L484" i="1"/>
  <c r="F485" i="1"/>
  <c r="G485" i="1"/>
  <c r="L485" i="1"/>
  <c r="F486" i="1"/>
  <c r="G486" i="1"/>
  <c r="L486" i="1"/>
  <c r="F487" i="1"/>
  <c r="G487" i="1"/>
  <c r="L487" i="1"/>
  <c r="F488" i="1"/>
  <c r="G488" i="1"/>
  <c r="L488" i="1"/>
  <c r="F489" i="1"/>
  <c r="G489" i="1"/>
  <c r="L489" i="1"/>
  <c r="F490" i="1"/>
  <c r="G490" i="1"/>
  <c r="L490" i="1"/>
  <c r="F491" i="1"/>
  <c r="G491" i="1"/>
  <c r="L491" i="1"/>
  <c r="F492" i="1"/>
  <c r="G492" i="1"/>
  <c r="L492" i="1"/>
  <c r="F493" i="1"/>
  <c r="G493" i="1"/>
  <c r="L493" i="1"/>
  <c r="F494" i="1"/>
  <c r="G494" i="1"/>
  <c r="L494" i="1"/>
  <c r="F495" i="1"/>
  <c r="G495" i="1"/>
  <c r="L495" i="1"/>
  <c r="F496" i="1"/>
  <c r="G496" i="1"/>
  <c r="L496" i="1"/>
  <c r="F497" i="1"/>
  <c r="G497" i="1"/>
  <c r="L497" i="1"/>
  <c r="F498" i="1"/>
  <c r="G498" i="1"/>
  <c r="L498" i="1"/>
  <c r="F499" i="1"/>
  <c r="G499" i="1"/>
  <c r="L499" i="1"/>
  <c r="F500" i="1"/>
  <c r="G500" i="1"/>
  <c r="L500" i="1"/>
  <c r="F501" i="1"/>
  <c r="G501" i="1"/>
  <c r="L501" i="1"/>
  <c r="F502" i="1"/>
  <c r="G502" i="1"/>
  <c r="L502" i="1"/>
  <c r="F503" i="1"/>
  <c r="G503" i="1"/>
  <c r="L503" i="1"/>
  <c r="F504" i="1"/>
  <c r="G504" i="1"/>
  <c r="L504" i="1"/>
  <c r="F505" i="1"/>
  <c r="G505" i="1"/>
  <c r="L505" i="1"/>
  <c r="F506" i="1"/>
  <c r="G506" i="1"/>
  <c r="L506" i="1"/>
  <c r="F507" i="1"/>
  <c r="G507" i="1"/>
  <c r="L507" i="1"/>
  <c r="F508" i="1"/>
  <c r="G508" i="1"/>
  <c r="L508" i="1"/>
  <c r="F509" i="1"/>
  <c r="G509" i="1"/>
  <c r="L509" i="1"/>
  <c r="F510" i="1"/>
  <c r="G510" i="1"/>
  <c r="L510" i="1"/>
  <c r="F511" i="1"/>
  <c r="G511" i="1"/>
  <c r="L511" i="1"/>
  <c r="F512" i="1"/>
  <c r="G512" i="1"/>
  <c r="L512" i="1"/>
  <c r="F513" i="1"/>
  <c r="G513" i="1"/>
  <c r="L513" i="1"/>
  <c r="F514" i="1"/>
  <c r="G514" i="1"/>
  <c r="L514" i="1"/>
  <c r="F515" i="1"/>
  <c r="G515" i="1"/>
  <c r="L515" i="1"/>
  <c r="F516" i="1"/>
  <c r="G516" i="1"/>
  <c r="L516" i="1"/>
  <c r="F517" i="1"/>
  <c r="G517" i="1"/>
  <c r="L517" i="1"/>
  <c r="F518" i="1"/>
  <c r="G518" i="1"/>
  <c r="L518" i="1"/>
  <c r="F519" i="1"/>
  <c r="G519" i="1"/>
  <c r="L519" i="1"/>
  <c r="F520" i="1"/>
  <c r="G520" i="1"/>
  <c r="L520" i="1"/>
  <c r="F521" i="1"/>
  <c r="G521" i="1"/>
  <c r="L521" i="1"/>
  <c r="F522" i="1"/>
  <c r="G522" i="1"/>
  <c r="L522" i="1"/>
  <c r="F523" i="1"/>
  <c r="G523" i="1"/>
  <c r="L523" i="1"/>
  <c r="F524" i="1"/>
  <c r="G524" i="1"/>
  <c r="L524" i="1"/>
  <c r="F525" i="1"/>
  <c r="G525" i="1"/>
  <c r="L525" i="1"/>
  <c r="F526" i="1"/>
  <c r="G526" i="1"/>
  <c r="L526" i="1"/>
  <c r="F527" i="1"/>
  <c r="G527" i="1"/>
  <c r="L527" i="1"/>
  <c r="F528" i="1"/>
  <c r="G528" i="1"/>
  <c r="L528" i="1"/>
  <c r="F529" i="1"/>
  <c r="G529" i="1"/>
  <c r="L529" i="1"/>
  <c r="F530" i="1"/>
  <c r="G530" i="1"/>
  <c r="L530" i="1"/>
  <c r="F531" i="1"/>
  <c r="G531" i="1"/>
  <c r="L531" i="1"/>
  <c r="F532" i="1"/>
  <c r="G532" i="1"/>
  <c r="L532" i="1"/>
  <c r="F533" i="1"/>
  <c r="G533" i="1"/>
  <c r="L533" i="1"/>
  <c r="F534" i="1"/>
  <c r="G534" i="1"/>
  <c r="L534" i="1"/>
  <c r="F535" i="1"/>
  <c r="G535" i="1"/>
  <c r="L535" i="1"/>
  <c r="F536" i="1"/>
  <c r="G536" i="1"/>
  <c r="L536" i="1"/>
  <c r="F537" i="1"/>
  <c r="G537" i="1"/>
  <c r="L537" i="1"/>
  <c r="F538" i="1"/>
  <c r="G538" i="1"/>
  <c r="L538" i="1"/>
  <c r="F539" i="1"/>
  <c r="G539" i="1"/>
  <c r="L539" i="1"/>
  <c r="F540" i="1"/>
  <c r="G540" i="1"/>
  <c r="L540" i="1"/>
  <c r="F541" i="1"/>
  <c r="G541" i="1"/>
  <c r="L541" i="1"/>
  <c r="F542" i="1"/>
  <c r="G542" i="1"/>
  <c r="L542" i="1"/>
  <c r="F543" i="1"/>
  <c r="G543" i="1"/>
  <c r="L543" i="1"/>
  <c r="F544" i="1"/>
  <c r="G544" i="1"/>
  <c r="L544" i="1"/>
  <c r="F545" i="1"/>
  <c r="G545" i="1"/>
  <c r="L545" i="1"/>
  <c r="F546" i="1"/>
  <c r="G546" i="1"/>
  <c r="L546" i="1"/>
  <c r="F547" i="1"/>
  <c r="G547" i="1"/>
  <c r="L547" i="1"/>
  <c r="F548" i="1"/>
  <c r="G548" i="1"/>
  <c r="L548" i="1"/>
  <c r="F549" i="1"/>
  <c r="G549" i="1"/>
  <c r="L549" i="1"/>
  <c r="F550" i="1"/>
  <c r="G550" i="1"/>
  <c r="L550" i="1"/>
  <c r="F551" i="1"/>
  <c r="G551" i="1"/>
  <c r="L551" i="1"/>
  <c r="F552" i="1"/>
  <c r="G552" i="1"/>
  <c r="L552" i="1"/>
  <c r="F553" i="1"/>
  <c r="G553" i="1"/>
  <c r="L553" i="1"/>
  <c r="F554" i="1"/>
  <c r="G554" i="1"/>
  <c r="L554" i="1"/>
  <c r="F555" i="1"/>
  <c r="G555" i="1"/>
  <c r="L555" i="1"/>
  <c r="F556" i="1"/>
  <c r="G556" i="1"/>
  <c r="L556" i="1"/>
  <c r="F557" i="1"/>
  <c r="G557" i="1"/>
  <c r="L557" i="1"/>
  <c r="F558" i="1"/>
  <c r="G558" i="1"/>
  <c r="L558" i="1"/>
  <c r="F559" i="1"/>
  <c r="G559" i="1"/>
  <c r="L559" i="1"/>
  <c r="F560" i="1"/>
  <c r="G560" i="1"/>
  <c r="L560" i="1"/>
  <c r="F561" i="1"/>
  <c r="G561" i="1"/>
  <c r="L561" i="1"/>
  <c r="F562" i="1"/>
  <c r="G562" i="1"/>
  <c r="L562" i="1"/>
  <c r="F563" i="1"/>
  <c r="G563" i="1"/>
  <c r="L563" i="1"/>
  <c r="F564" i="1"/>
  <c r="G564" i="1"/>
  <c r="L564" i="1"/>
  <c r="F565" i="1"/>
  <c r="G565" i="1"/>
  <c r="L565" i="1"/>
  <c r="F566" i="1"/>
  <c r="G566" i="1"/>
  <c r="L566" i="1"/>
  <c r="F567" i="1"/>
  <c r="G567" i="1"/>
  <c r="L567" i="1"/>
  <c r="F568" i="1"/>
  <c r="G568" i="1"/>
  <c r="L568" i="1"/>
  <c r="F569" i="1"/>
  <c r="G569" i="1"/>
  <c r="L569" i="1"/>
  <c r="F570" i="1"/>
  <c r="G570" i="1"/>
  <c r="L570" i="1"/>
  <c r="F571" i="1"/>
  <c r="G571" i="1"/>
  <c r="L571" i="1"/>
  <c r="F572" i="1"/>
  <c r="G572" i="1"/>
  <c r="L572" i="1"/>
  <c r="F573" i="1"/>
  <c r="G573" i="1"/>
  <c r="L573" i="1"/>
  <c r="F574" i="1"/>
  <c r="G574" i="1"/>
  <c r="L574" i="1"/>
  <c r="F575" i="1"/>
  <c r="G575" i="1"/>
  <c r="L575" i="1"/>
  <c r="F576" i="1"/>
  <c r="G576" i="1"/>
  <c r="L576" i="1"/>
  <c r="F577" i="1"/>
  <c r="G577" i="1"/>
  <c r="L577" i="1"/>
  <c r="F578" i="1"/>
  <c r="G578" i="1"/>
  <c r="L578" i="1"/>
  <c r="F579" i="1"/>
  <c r="G579" i="1"/>
  <c r="L579" i="1"/>
  <c r="F580" i="1"/>
  <c r="G580" i="1"/>
  <c r="L580" i="1"/>
  <c r="F581" i="1"/>
  <c r="G581" i="1"/>
  <c r="L581" i="1"/>
  <c r="F582" i="1"/>
  <c r="G582" i="1"/>
  <c r="L582" i="1"/>
  <c r="F583" i="1"/>
  <c r="G583" i="1"/>
  <c r="L583" i="1"/>
  <c r="F584" i="1"/>
  <c r="G584" i="1"/>
  <c r="L584" i="1"/>
  <c r="F585" i="1"/>
  <c r="G585" i="1"/>
  <c r="L585" i="1"/>
  <c r="F586" i="1"/>
  <c r="G586" i="1"/>
  <c r="L586" i="1"/>
  <c r="F587" i="1"/>
  <c r="G587" i="1"/>
  <c r="L587" i="1"/>
  <c r="F588" i="1"/>
  <c r="G588" i="1"/>
  <c r="L588" i="1"/>
  <c r="F589" i="1"/>
  <c r="G589" i="1"/>
  <c r="L589" i="1"/>
  <c r="F590" i="1"/>
  <c r="G590" i="1"/>
  <c r="L590" i="1"/>
  <c r="F591" i="1"/>
  <c r="G591" i="1"/>
  <c r="L591" i="1"/>
  <c r="F592" i="1"/>
  <c r="G592" i="1"/>
  <c r="L592" i="1"/>
  <c r="F593" i="1"/>
  <c r="G593" i="1"/>
  <c r="L593" i="1"/>
  <c r="F594" i="1"/>
  <c r="G594" i="1"/>
  <c r="L594" i="1"/>
  <c r="F595" i="1"/>
  <c r="G595" i="1"/>
  <c r="L595" i="1"/>
  <c r="F596" i="1"/>
  <c r="G596" i="1"/>
  <c r="L596" i="1"/>
  <c r="F597" i="1"/>
  <c r="G597" i="1"/>
  <c r="L597" i="1"/>
  <c r="F598" i="1"/>
  <c r="G598" i="1"/>
  <c r="L598" i="1"/>
  <c r="F599" i="1"/>
  <c r="G599" i="1"/>
  <c r="L599" i="1"/>
  <c r="F600" i="1"/>
  <c r="G600" i="1"/>
  <c r="L600" i="1"/>
  <c r="F601" i="1"/>
  <c r="G601" i="1"/>
  <c r="L601" i="1"/>
  <c r="F602" i="1"/>
  <c r="G602" i="1"/>
  <c r="L602" i="1"/>
  <c r="F603" i="1"/>
  <c r="G603" i="1"/>
  <c r="L603" i="1"/>
  <c r="F604" i="1"/>
  <c r="G604" i="1"/>
  <c r="L604" i="1"/>
  <c r="F605" i="1"/>
  <c r="G605" i="1"/>
  <c r="L605" i="1"/>
  <c r="F606" i="1"/>
  <c r="G606" i="1"/>
  <c r="L606" i="1"/>
  <c r="F607" i="1"/>
  <c r="G607" i="1"/>
  <c r="L607" i="1"/>
  <c r="F608" i="1"/>
  <c r="G608" i="1"/>
  <c r="L608" i="1"/>
  <c r="F609" i="1"/>
  <c r="G609" i="1"/>
  <c r="L609" i="1"/>
  <c r="F610" i="1"/>
  <c r="G610" i="1"/>
  <c r="L610" i="1"/>
  <c r="F611" i="1"/>
  <c r="G611" i="1"/>
  <c r="L611" i="1"/>
  <c r="F612" i="1"/>
  <c r="G612" i="1"/>
  <c r="L612" i="1"/>
  <c r="F613" i="1"/>
  <c r="G613" i="1"/>
  <c r="L613" i="1"/>
  <c r="F614" i="1"/>
  <c r="G614" i="1"/>
  <c r="L614" i="1"/>
  <c r="F615" i="1"/>
  <c r="G615" i="1"/>
  <c r="L615" i="1"/>
  <c r="F616" i="1"/>
  <c r="G616" i="1"/>
  <c r="L616" i="1"/>
  <c r="F617" i="1"/>
  <c r="G617" i="1"/>
  <c r="L617" i="1"/>
  <c r="F618" i="1"/>
  <c r="G618" i="1"/>
  <c r="L618" i="1"/>
  <c r="F619" i="1"/>
  <c r="G619" i="1"/>
  <c r="L619" i="1"/>
  <c r="F620" i="1"/>
  <c r="G620" i="1"/>
  <c r="L620" i="1"/>
  <c r="F621" i="1"/>
  <c r="G621" i="1"/>
  <c r="L621" i="1"/>
  <c r="F622" i="1"/>
  <c r="G622" i="1"/>
  <c r="L622" i="1"/>
  <c r="F623" i="1"/>
  <c r="G623" i="1"/>
  <c r="L623" i="1"/>
  <c r="F624" i="1"/>
  <c r="G624" i="1"/>
  <c r="L624" i="1"/>
  <c r="F625" i="1"/>
  <c r="G625" i="1"/>
  <c r="L625" i="1"/>
  <c r="F626" i="1"/>
  <c r="G626" i="1"/>
  <c r="L626" i="1"/>
  <c r="F627" i="1"/>
  <c r="G627" i="1"/>
  <c r="L627" i="1"/>
  <c r="F628" i="1"/>
  <c r="G628" i="1"/>
  <c r="L628" i="1"/>
  <c r="F629" i="1"/>
  <c r="G629" i="1"/>
  <c r="L629" i="1"/>
  <c r="F630" i="1"/>
  <c r="G630" i="1"/>
  <c r="L630" i="1"/>
  <c r="F631" i="1"/>
  <c r="G631" i="1"/>
  <c r="L631" i="1"/>
  <c r="F632" i="1"/>
  <c r="G632" i="1"/>
  <c r="L632" i="1"/>
  <c r="F633" i="1"/>
  <c r="G633" i="1"/>
  <c r="L633" i="1"/>
  <c r="F634" i="1"/>
  <c r="G634" i="1"/>
  <c r="L634" i="1"/>
  <c r="F635" i="1"/>
  <c r="G635" i="1"/>
  <c r="L635" i="1"/>
  <c r="F636" i="1"/>
  <c r="G636" i="1"/>
  <c r="L636" i="1"/>
  <c r="F637" i="1"/>
  <c r="G637" i="1"/>
  <c r="L637" i="1"/>
  <c r="F638" i="1"/>
  <c r="G638" i="1"/>
  <c r="L638" i="1"/>
  <c r="F639" i="1"/>
  <c r="G639" i="1"/>
  <c r="L639" i="1"/>
  <c r="F640" i="1"/>
  <c r="G640" i="1"/>
  <c r="L640" i="1"/>
  <c r="F641" i="1"/>
  <c r="G641" i="1"/>
  <c r="L641" i="1"/>
  <c r="F642" i="1"/>
  <c r="G642" i="1"/>
  <c r="L642" i="1"/>
  <c r="F643" i="1"/>
  <c r="G643" i="1"/>
  <c r="L643" i="1"/>
  <c r="F644" i="1"/>
  <c r="G644" i="1"/>
  <c r="L644" i="1"/>
  <c r="F645" i="1"/>
  <c r="G645" i="1"/>
  <c r="L645" i="1"/>
  <c r="F646" i="1"/>
  <c r="G646" i="1"/>
  <c r="L646" i="1"/>
  <c r="F647" i="1"/>
  <c r="G647" i="1"/>
  <c r="L647" i="1"/>
  <c r="F648" i="1"/>
  <c r="G648" i="1"/>
  <c r="L648" i="1"/>
  <c r="F649" i="1"/>
  <c r="G649" i="1"/>
  <c r="L649" i="1"/>
  <c r="F650" i="1"/>
  <c r="G650" i="1"/>
  <c r="L650" i="1"/>
  <c r="F651" i="1"/>
  <c r="G651" i="1"/>
  <c r="L651" i="1"/>
  <c r="F652" i="1"/>
  <c r="G652" i="1"/>
  <c r="L652" i="1"/>
  <c r="F653" i="1"/>
  <c r="G653" i="1"/>
  <c r="L653" i="1"/>
  <c r="F654" i="1"/>
  <c r="G654" i="1"/>
  <c r="L654" i="1"/>
  <c r="F655" i="1"/>
  <c r="G655" i="1"/>
  <c r="L655" i="1"/>
  <c r="F656" i="1"/>
  <c r="G656" i="1"/>
  <c r="L656" i="1"/>
  <c r="F657" i="1"/>
  <c r="G657" i="1"/>
  <c r="L657" i="1"/>
  <c r="F658" i="1"/>
  <c r="G658" i="1"/>
  <c r="L658" i="1"/>
  <c r="F659" i="1"/>
  <c r="G659" i="1"/>
  <c r="L659" i="1"/>
  <c r="F660" i="1"/>
  <c r="G660" i="1"/>
  <c r="L660" i="1"/>
  <c r="F661" i="1"/>
  <c r="G661" i="1"/>
  <c r="L661" i="1"/>
  <c r="F662" i="1"/>
  <c r="G662" i="1"/>
  <c r="L662" i="1"/>
  <c r="F663" i="1"/>
  <c r="G663" i="1"/>
  <c r="L663" i="1"/>
  <c r="F664" i="1"/>
  <c r="G664" i="1"/>
  <c r="L664" i="1"/>
  <c r="F665" i="1"/>
  <c r="G665" i="1"/>
  <c r="L665" i="1"/>
  <c r="F666" i="1"/>
  <c r="G666" i="1"/>
  <c r="L666" i="1"/>
  <c r="F667" i="1"/>
  <c r="G667" i="1"/>
  <c r="L667" i="1"/>
  <c r="F668" i="1"/>
  <c r="G668" i="1"/>
  <c r="L668" i="1"/>
  <c r="F669" i="1"/>
  <c r="G669" i="1"/>
  <c r="L669" i="1"/>
  <c r="F670" i="1"/>
  <c r="G670" i="1"/>
  <c r="L670" i="1"/>
  <c r="F671" i="1"/>
  <c r="G671" i="1"/>
  <c r="L671" i="1"/>
  <c r="F672" i="1"/>
  <c r="G672" i="1"/>
  <c r="L672" i="1"/>
  <c r="F673" i="1"/>
  <c r="G673" i="1"/>
  <c r="L673" i="1"/>
  <c r="F674" i="1"/>
  <c r="G674" i="1"/>
  <c r="L674" i="1"/>
  <c r="F675" i="1"/>
  <c r="G675" i="1"/>
  <c r="L675" i="1"/>
  <c r="F676" i="1"/>
  <c r="G676" i="1"/>
  <c r="L676" i="1"/>
  <c r="F677" i="1"/>
  <c r="G677" i="1"/>
  <c r="L677" i="1"/>
  <c r="F678" i="1"/>
  <c r="G678" i="1"/>
  <c r="L678" i="1"/>
  <c r="F679" i="1"/>
  <c r="G679" i="1"/>
  <c r="L679" i="1"/>
  <c r="F680" i="1"/>
  <c r="G680" i="1"/>
  <c r="L680" i="1"/>
  <c r="F681" i="1"/>
  <c r="G681" i="1"/>
  <c r="L681" i="1"/>
  <c r="F682" i="1"/>
  <c r="G682" i="1"/>
  <c r="L682" i="1"/>
  <c r="F683" i="1"/>
  <c r="G683" i="1"/>
  <c r="L683" i="1"/>
  <c r="F684" i="1"/>
  <c r="G684" i="1"/>
  <c r="L684" i="1"/>
  <c r="F685" i="1"/>
  <c r="G685" i="1"/>
  <c r="L685" i="1"/>
  <c r="F686" i="1"/>
  <c r="G686" i="1"/>
  <c r="L686" i="1"/>
  <c r="F687" i="1"/>
  <c r="G687" i="1"/>
  <c r="L687" i="1"/>
  <c r="F688" i="1"/>
  <c r="G688" i="1"/>
  <c r="L688" i="1"/>
  <c r="F689" i="1"/>
  <c r="G689" i="1"/>
  <c r="L689" i="1"/>
  <c r="F690" i="1"/>
  <c r="G690" i="1"/>
  <c r="L690" i="1"/>
  <c r="F691" i="1"/>
  <c r="G691" i="1"/>
  <c r="L691" i="1"/>
  <c r="F692" i="1"/>
  <c r="G692" i="1"/>
  <c r="L692" i="1"/>
  <c r="F693" i="1"/>
  <c r="G693" i="1"/>
  <c r="L693" i="1"/>
  <c r="F694" i="1"/>
  <c r="G694" i="1"/>
  <c r="L694" i="1"/>
  <c r="F695" i="1"/>
  <c r="G695" i="1"/>
  <c r="L695" i="1"/>
  <c r="F696" i="1"/>
  <c r="G696" i="1"/>
  <c r="L696" i="1"/>
  <c r="F697" i="1"/>
  <c r="G697" i="1"/>
  <c r="L697" i="1"/>
  <c r="F698" i="1"/>
  <c r="G698" i="1"/>
  <c r="L698" i="1"/>
  <c r="F699" i="1"/>
  <c r="G699" i="1"/>
  <c r="L699" i="1"/>
  <c r="F700" i="1"/>
  <c r="G700" i="1"/>
  <c r="L700" i="1"/>
  <c r="F701" i="1"/>
  <c r="G701" i="1"/>
  <c r="L701" i="1"/>
  <c r="F702" i="1"/>
  <c r="G702" i="1"/>
  <c r="L702" i="1"/>
  <c r="F703" i="1"/>
  <c r="G703" i="1"/>
  <c r="L703" i="1"/>
  <c r="F704" i="1"/>
  <c r="G704" i="1"/>
  <c r="L704" i="1"/>
  <c r="F705" i="1"/>
  <c r="G705" i="1"/>
  <c r="L705" i="1"/>
  <c r="F706" i="1"/>
  <c r="G706" i="1"/>
  <c r="L706" i="1"/>
  <c r="F707" i="1"/>
  <c r="G707" i="1"/>
  <c r="L707" i="1"/>
  <c r="F708" i="1"/>
  <c r="G708" i="1"/>
  <c r="L708" i="1"/>
  <c r="F709" i="1"/>
  <c r="G709" i="1"/>
  <c r="L709" i="1"/>
  <c r="F710" i="1"/>
  <c r="G710" i="1"/>
  <c r="L710" i="1"/>
  <c r="F711" i="1"/>
  <c r="G711" i="1"/>
  <c r="L711" i="1"/>
  <c r="F712" i="1"/>
  <c r="G712" i="1"/>
  <c r="L712" i="1"/>
  <c r="F713" i="1"/>
  <c r="G713" i="1"/>
  <c r="L713" i="1"/>
  <c r="F714" i="1"/>
  <c r="G714" i="1"/>
  <c r="L714" i="1"/>
  <c r="F715" i="1"/>
  <c r="G715" i="1"/>
  <c r="L715" i="1"/>
  <c r="F716" i="1"/>
  <c r="G716" i="1"/>
  <c r="L716" i="1"/>
  <c r="F717" i="1"/>
  <c r="G717" i="1"/>
  <c r="L717" i="1"/>
  <c r="F718" i="1"/>
  <c r="G718" i="1"/>
  <c r="L718" i="1"/>
  <c r="F719" i="1"/>
  <c r="G719" i="1"/>
  <c r="L719" i="1"/>
  <c r="F720" i="1"/>
  <c r="G720" i="1"/>
  <c r="L720" i="1"/>
  <c r="F721" i="1"/>
  <c r="G721" i="1"/>
  <c r="L721" i="1"/>
  <c r="F722" i="1"/>
  <c r="G722" i="1"/>
  <c r="L722" i="1"/>
  <c r="F723" i="1"/>
  <c r="G723" i="1"/>
  <c r="L723" i="1"/>
  <c r="F724" i="1"/>
  <c r="G724" i="1"/>
  <c r="L724" i="1"/>
  <c r="F725" i="1"/>
  <c r="G725" i="1"/>
  <c r="L725" i="1"/>
  <c r="F726" i="1"/>
  <c r="G726" i="1"/>
  <c r="L726" i="1"/>
  <c r="F727" i="1"/>
  <c r="G727" i="1"/>
  <c r="L727" i="1"/>
  <c r="F728" i="1"/>
  <c r="G728" i="1"/>
  <c r="L728" i="1"/>
  <c r="F729" i="1"/>
  <c r="G729" i="1"/>
  <c r="L729" i="1"/>
  <c r="F730" i="1"/>
  <c r="G730" i="1"/>
  <c r="L730" i="1"/>
  <c r="F731" i="1"/>
  <c r="G731" i="1"/>
  <c r="L731" i="1"/>
  <c r="F732" i="1"/>
  <c r="G732" i="1"/>
  <c r="L732" i="1"/>
  <c r="F733" i="1"/>
  <c r="G733" i="1"/>
  <c r="L733" i="1"/>
  <c r="F734" i="1"/>
  <c r="G734" i="1"/>
  <c r="L734" i="1"/>
  <c r="F735" i="1"/>
  <c r="G735" i="1"/>
  <c r="L735" i="1"/>
  <c r="F736" i="1"/>
  <c r="G736" i="1"/>
  <c r="L736" i="1"/>
  <c r="F737" i="1"/>
  <c r="G737" i="1"/>
  <c r="L737" i="1"/>
  <c r="F738" i="1"/>
  <c r="G738" i="1"/>
  <c r="L738" i="1"/>
  <c r="F739" i="1"/>
  <c r="G739" i="1"/>
  <c r="L739" i="1"/>
  <c r="F740" i="1"/>
  <c r="G740" i="1"/>
  <c r="L740" i="1"/>
  <c r="F741" i="1"/>
  <c r="G741" i="1"/>
  <c r="L741" i="1"/>
  <c r="F742" i="1"/>
  <c r="G742" i="1"/>
  <c r="L742" i="1"/>
  <c r="F743" i="1"/>
  <c r="G743" i="1"/>
  <c r="L743" i="1"/>
  <c r="F744" i="1"/>
  <c r="G744" i="1"/>
  <c r="L744" i="1"/>
  <c r="F745" i="1"/>
  <c r="G745" i="1"/>
  <c r="L745" i="1"/>
  <c r="F746" i="1"/>
  <c r="G746" i="1"/>
  <c r="L746" i="1"/>
  <c r="F747" i="1"/>
  <c r="G747" i="1"/>
  <c r="L747" i="1"/>
  <c r="F748" i="1"/>
  <c r="G748" i="1"/>
  <c r="L748" i="1"/>
  <c r="F749" i="1"/>
  <c r="G749" i="1"/>
  <c r="L749" i="1"/>
  <c r="F750" i="1"/>
  <c r="G750" i="1"/>
  <c r="L750" i="1"/>
  <c r="F751" i="1"/>
  <c r="G751" i="1"/>
  <c r="L751" i="1"/>
  <c r="F752" i="1"/>
  <c r="G752" i="1"/>
  <c r="L752" i="1"/>
  <c r="F753" i="1"/>
  <c r="G753" i="1"/>
  <c r="L753" i="1"/>
  <c r="F754" i="1"/>
  <c r="G754" i="1"/>
  <c r="L754" i="1"/>
  <c r="F755" i="1"/>
  <c r="G755" i="1"/>
  <c r="L755" i="1"/>
  <c r="F756" i="1"/>
  <c r="G756" i="1"/>
  <c r="L756" i="1"/>
  <c r="F757" i="1"/>
  <c r="G757" i="1"/>
  <c r="L757" i="1"/>
  <c r="F758" i="1"/>
  <c r="G758" i="1"/>
  <c r="L758" i="1"/>
  <c r="F759" i="1"/>
  <c r="G759" i="1"/>
  <c r="L759" i="1"/>
  <c r="F760" i="1"/>
  <c r="G760" i="1"/>
  <c r="L760" i="1"/>
  <c r="F761" i="1"/>
  <c r="G761" i="1"/>
  <c r="L761" i="1"/>
  <c r="F762" i="1"/>
  <c r="G762" i="1"/>
  <c r="L762" i="1"/>
  <c r="F763" i="1"/>
  <c r="G763" i="1"/>
  <c r="L763" i="1"/>
  <c r="F764" i="1"/>
  <c r="G764" i="1"/>
  <c r="L764" i="1"/>
  <c r="F765" i="1"/>
  <c r="G765" i="1"/>
  <c r="L765" i="1"/>
  <c r="F766" i="1"/>
  <c r="G766" i="1"/>
  <c r="L766" i="1"/>
  <c r="F767" i="1"/>
  <c r="G767" i="1"/>
  <c r="L767" i="1"/>
  <c r="F768" i="1"/>
  <c r="G768" i="1"/>
  <c r="L768" i="1"/>
  <c r="F769" i="1"/>
  <c r="G769" i="1"/>
  <c r="L769" i="1"/>
  <c r="F770" i="1"/>
  <c r="G770" i="1"/>
  <c r="L770" i="1"/>
  <c r="F771" i="1"/>
  <c r="G771" i="1"/>
  <c r="L771" i="1"/>
  <c r="F772" i="1"/>
  <c r="G772" i="1"/>
  <c r="L772" i="1"/>
  <c r="F773" i="1"/>
  <c r="G773" i="1"/>
  <c r="L773" i="1"/>
  <c r="F774" i="1"/>
  <c r="G774" i="1"/>
  <c r="L774" i="1"/>
  <c r="F775" i="1"/>
  <c r="G775" i="1"/>
  <c r="L775" i="1"/>
  <c r="F776" i="1"/>
  <c r="G776" i="1"/>
  <c r="L776" i="1"/>
  <c r="F777" i="1"/>
  <c r="G777" i="1"/>
  <c r="L777" i="1"/>
  <c r="F778" i="1"/>
  <c r="G778" i="1"/>
  <c r="L778" i="1"/>
  <c r="F779" i="1"/>
  <c r="G779" i="1"/>
  <c r="L779" i="1"/>
  <c r="F780" i="1"/>
  <c r="G780" i="1"/>
  <c r="L780" i="1"/>
  <c r="F781" i="1"/>
  <c r="G781" i="1"/>
  <c r="L781" i="1"/>
  <c r="F782" i="1"/>
  <c r="G782" i="1"/>
  <c r="L782" i="1"/>
  <c r="F783" i="1"/>
  <c r="G783" i="1"/>
  <c r="L783" i="1"/>
  <c r="F784" i="1"/>
  <c r="G784" i="1"/>
  <c r="L784" i="1"/>
  <c r="F785" i="1"/>
  <c r="G785" i="1"/>
  <c r="L785" i="1"/>
  <c r="F786" i="1"/>
  <c r="G786" i="1"/>
  <c r="L786" i="1"/>
  <c r="F787" i="1"/>
  <c r="G787" i="1"/>
  <c r="L787" i="1"/>
  <c r="F788" i="1"/>
  <c r="G788" i="1"/>
  <c r="L788" i="1"/>
  <c r="F789" i="1"/>
  <c r="G789" i="1"/>
  <c r="L789" i="1"/>
  <c r="F790" i="1"/>
  <c r="G790" i="1"/>
  <c r="L790" i="1"/>
  <c r="F791" i="1"/>
  <c r="G791" i="1"/>
  <c r="L791" i="1"/>
  <c r="F792" i="1"/>
  <c r="G792" i="1"/>
  <c r="L792" i="1"/>
  <c r="F793" i="1"/>
  <c r="G793" i="1"/>
  <c r="L793" i="1"/>
  <c r="F794" i="1"/>
  <c r="G794" i="1"/>
  <c r="L794" i="1"/>
  <c r="F795" i="1"/>
  <c r="G795" i="1"/>
  <c r="L795" i="1"/>
  <c r="F796" i="1"/>
  <c r="G796" i="1"/>
  <c r="L796" i="1"/>
  <c r="F797" i="1"/>
  <c r="G797" i="1"/>
  <c r="L797" i="1"/>
  <c r="F798" i="1"/>
  <c r="G798" i="1"/>
  <c r="L798" i="1"/>
  <c r="F799" i="1"/>
  <c r="G799" i="1"/>
  <c r="L799" i="1"/>
  <c r="F800" i="1"/>
  <c r="G800" i="1"/>
  <c r="L800" i="1"/>
  <c r="F801" i="1"/>
  <c r="G801" i="1"/>
  <c r="L801" i="1"/>
  <c r="F802" i="1"/>
  <c r="G802" i="1"/>
  <c r="L802" i="1"/>
  <c r="F803" i="1"/>
  <c r="G803" i="1"/>
  <c r="L803" i="1"/>
  <c r="F804" i="1"/>
  <c r="G804" i="1"/>
  <c r="L804" i="1"/>
  <c r="F805" i="1"/>
  <c r="G805" i="1"/>
  <c r="L805" i="1"/>
  <c r="F806" i="1"/>
  <c r="G806" i="1"/>
  <c r="L806" i="1"/>
  <c r="F807" i="1"/>
  <c r="G807" i="1"/>
  <c r="L807" i="1"/>
  <c r="F808" i="1"/>
  <c r="G808" i="1"/>
  <c r="L808" i="1"/>
  <c r="F809" i="1"/>
  <c r="G809" i="1"/>
  <c r="L809" i="1"/>
  <c r="F810" i="1"/>
  <c r="G810" i="1"/>
  <c r="L810" i="1"/>
  <c r="F811" i="1"/>
  <c r="G811" i="1"/>
  <c r="L811" i="1"/>
  <c r="F812" i="1"/>
  <c r="G812" i="1"/>
  <c r="L812" i="1"/>
  <c r="F813" i="1"/>
  <c r="G813" i="1"/>
  <c r="L813" i="1"/>
  <c r="F814" i="1"/>
  <c r="G814" i="1"/>
  <c r="L814" i="1"/>
  <c r="F815" i="1"/>
  <c r="G815" i="1"/>
  <c r="L815" i="1"/>
  <c r="F816" i="1"/>
  <c r="G816" i="1"/>
  <c r="L816" i="1"/>
  <c r="F817" i="1"/>
  <c r="G817" i="1"/>
  <c r="L817" i="1"/>
  <c r="F818" i="1"/>
  <c r="G818" i="1"/>
  <c r="L818" i="1"/>
  <c r="F819" i="1"/>
  <c r="G819" i="1"/>
  <c r="L819" i="1"/>
  <c r="F820" i="1"/>
  <c r="G820" i="1"/>
  <c r="L820" i="1"/>
  <c r="F821" i="1"/>
  <c r="G821" i="1"/>
  <c r="L821" i="1"/>
  <c r="F822" i="1"/>
  <c r="G822" i="1"/>
  <c r="L822" i="1"/>
  <c r="F823" i="1"/>
  <c r="G823" i="1"/>
  <c r="L823" i="1"/>
  <c r="F824" i="1"/>
  <c r="G824" i="1"/>
  <c r="L824" i="1"/>
  <c r="F825" i="1"/>
  <c r="G825" i="1"/>
  <c r="L825" i="1"/>
  <c r="F826" i="1"/>
  <c r="G826" i="1"/>
  <c r="L826" i="1"/>
  <c r="F827" i="1"/>
  <c r="G827" i="1"/>
  <c r="L827" i="1"/>
  <c r="F828" i="1"/>
  <c r="G828" i="1"/>
  <c r="L828" i="1"/>
  <c r="F829" i="1"/>
  <c r="G829" i="1"/>
  <c r="L829" i="1"/>
  <c r="F830" i="1"/>
  <c r="G830" i="1"/>
  <c r="L830" i="1"/>
  <c r="F831" i="1"/>
  <c r="G831" i="1"/>
  <c r="L831" i="1"/>
  <c r="F832" i="1"/>
  <c r="G832" i="1"/>
  <c r="L832" i="1"/>
  <c r="F833" i="1"/>
  <c r="G833" i="1"/>
  <c r="L833" i="1"/>
  <c r="F834" i="1"/>
  <c r="G834" i="1"/>
  <c r="L834" i="1"/>
  <c r="F835" i="1"/>
  <c r="G835" i="1"/>
  <c r="L835" i="1"/>
  <c r="F836" i="1"/>
  <c r="G836" i="1"/>
  <c r="L836" i="1"/>
  <c r="F837" i="1"/>
  <c r="G837" i="1"/>
  <c r="L837" i="1"/>
  <c r="F838" i="1"/>
  <c r="G838" i="1"/>
  <c r="L838" i="1"/>
  <c r="F839" i="1"/>
  <c r="G839" i="1"/>
  <c r="L839" i="1"/>
  <c r="F840" i="1"/>
  <c r="G840" i="1"/>
  <c r="L840" i="1"/>
  <c r="F841" i="1"/>
  <c r="G841" i="1"/>
  <c r="L841" i="1"/>
  <c r="F842" i="1"/>
  <c r="G842" i="1"/>
  <c r="L842" i="1"/>
  <c r="F843" i="1"/>
  <c r="G843" i="1"/>
  <c r="L843" i="1"/>
  <c r="F844" i="1"/>
  <c r="G844" i="1"/>
  <c r="L844" i="1"/>
  <c r="F845" i="1"/>
  <c r="G845" i="1"/>
  <c r="L845" i="1"/>
  <c r="F846" i="1"/>
  <c r="G846" i="1"/>
  <c r="L846" i="1"/>
  <c r="F847" i="1"/>
  <c r="G847" i="1"/>
  <c r="L847" i="1"/>
  <c r="F848" i="1"/>
  <c r="G848" i="1"/>
  <c r="L848" i="1"/>
  <c r="F849" i="1"/>
  <c r="G849" i="1"/>
  <c r="L849" i="1"/>
  <c r="F850" i="1"/>
  <c r="G850" i="1"/>
  <c r="L850" i="1"/>
  <c r="F851" i="1"/>
  <c r="G851" i="1"/>
  <c r="L851" i="1"/>
  <c r="F852" i="1"/>
  <c r="G852" i="1"/>
  <c r="L852" i="1"/>
  <c r="F853" i="1"/>
  <c r="G853" i="1"/>
  <c r="L853" i="1"/>
  <c r="F854" i="1"/>
  <c r="G854" i="1"/>
  <c r="L854" i="1"/>
  <c r="F855" i="1"/>
  <c r="G855" i="1"/>
  <c r="L855" i="1"/>
  <c r="F856" i="1"/>
  <c r="G856" i="1"/>
  <c r="L856" i="1"/>
  <c r="F857" i="1"/>
  <c r="G857" i="1"/>
  <c r="L857" i="1"/>
  <c r="F858" i="1"/>
  <c r="G858" i="1"/>
  <c r="L858" i="1"/>
  <c r="F859" i="1"/>
  <c r="G859" i="1"/>
  <c r="L859" i="1"/>
  <c r="F860" i="1"/>
  <c r="G860" i="1"/>
  <c r="L860" i="1"/>
  <c r="F861" i="1"/>
  <c r="G861" i="1"/>
  <c r="L861" i="1"/>
  <c r="F862" i="1"/>
  <c r="G862" i="1"/>
  <c r="L862" i="1"/>
  <c r="F863" i="1"/>
  <c r="G863" i="1"/>
  <c r="L863" i="1"/>
  <c r="F864" i="1"/>
  <c r="G864" i="1"/>
  <c r="L864" i="1"/>
  <c r="F865" i="1"/>
  <c r="G865" i="1"/>
  <c r="L865" i="1"/>
  <c r="F866" i="1"/>
  <c r="G866" i="1"/>
  <c r="L866" i="1"/>
  <c r="F867" i="1"/>
  <c r="G867" i="1"/>
  <c r="L867" i="1"/>
  <c r="F868" i="1"/>
  <c r="G868" i="1"/>
  <c r="L868" i="1"/>
  <c r="F869" i="1"/>
  <c r="G869" i="1"/>
  <c r="L869" i="1"/>
  <c r="F870" i="1"/>
  <c r="G870" i="1"/>
  <c r="L870" i="1"/>
  <c r="F871" i="1"/>
  <c r="G871" i="1"/>
  <c r="L871" i="1"/>
  <c r="F872" i="1"/>
  <c r="G872" i="1"/>
  <c r="L872" i="1"/>
  <c r="F873" i="1"/>
  <c r="G873" i="1"/>
  <c r="L873" i="1"/>
  <c r="F874" i="1"/>
  <c r="G874" i="1"/>
  <c r="L874" i="1"/>
  <c r="F875" i="1"/>
  <c r="G875" i="1"/>
  <c r="L875" i="1"/>
  <c r="F876" i="1"/>
  <c r="G876" i="1"/>
  <c r="L876" i="1"/>
  <c r="F877" i="1"/>
  <c r="G877" i="1"/>
  <c r="L877" i="1"/>
  <c r="F878" i="1"/>
  <c r="G878" i="1"/>
  <c r="L878" i="1"/>
  <c r="F879" i="1"/>
  <c r="G879" i="1"/>
  <c r="L879" i="1"/>
  <c r="F880" i="1"/>
  <c r="G880" i="1"/>
  <c r="L880" i="1"/>
  <c r="F881" i="1"/>
  <c r="G881" i="1"/>
  <c r="L881" i="1"/>
  <c r="F882" i="1"/>
  <c r="G882" i="1"/>
  <c r="L882" i="1"/>
  <c r="F883" i="1"/>
  <c r="G883" i="1"/>
  <c r="L883" i="1"/>
  <c r="F884" i="1"/>
  <c r="G884" i="1"/>
  <c r="L884" i="1"/>
  <c r="F885" i="1"/>
  <c r="G885" i="1"/>
  <c r="L885" i="1"/>
  <c r="F886" i="1"/>
  <c r="G886" i="1"/>
  <c r="L886" i="1"/>
  <c r="F887" i="1"/>
  <c r="G887" i="1"/>
  <c r="L887" i="1"/>
  <c r="F888" i="1"/>
  <c r="G888" i="1"/>
  <c r="L888" i="1"/>
  <c r="F889" i="1"/>
  <c r="G889" i="1"/>
  <c r="L889" i="1"/>
  <c r="F890" i="1"/>
  <c r="G890" i="1"/>
  <c r="L890" i="1"/>
  <c r="F891" i="1"/>
  <c r="G891" i="1"/>
  <c r="L891" i="1"/>
  <c r="F892" i="1"/>
  <c r="G892" i="1"/>
  <c r="L892" i="1"/>
  <c r="F893" i="1"/>
  <c r="G893" i="1"/>
  <c r="L893" i="1"/>
  <c r="F894" i="1"/>
  <c r="G894" i="1"/>
  <c r="L894" i="1"/>
  <c r="F895" i="1"/>
  <c r="G895" i="1"/>
  <c r="L895" i="1"/>
  <c r="F896" i="1"/>
  <c r="G896" i="1"/>
  <c r="L896" i="1"/>
  <c r="F897" i="1"/>
  <c r="G897" i="1"/>
  <c r="L897" i="1"/>
  <c r="F898" i="1"/>
  <c r="G898" i="1"/>
  <c r="L898" i="1"/>
  <c r="F899" i="1"/>
  <c r="G899" i="1"/>
  <c r="L899" i="1"/>
  <c r="F900" i="1"/>
  <c r="G900" i="1"/>
  <c r="L900" i="1"/>
  <c r="F901" i="1"/>
  <c r="G901" i="1"/>
  <c r="L901" i="1"/>
  <c r="F902" i="1"/>
  <c r="G902" i="1"/>
  <c r="L902" i="1"/>
  <c r="F903" i="1"/>
  <c r="G903" i="1"/>
  <c r="L903" i="1"/>
  <c r="F904" i="1"/>
  <c r="G904" i="1"/>
  <c r="L904" i="1"/>
  <c r="F905" i="1"/>
  <c r="G905" i="1"/>
  <c r="L905" i="1"/>
  <c r="F906" i="1"/>
  <c r="G906" i="1"/>
  <c r="L906" i="1"/>
  <c r="F907" i="1"/>
  <c r="G907" i="1"/>
  <c r="L907" i="1"/>
  <c r="F908" i="1"/>
  <c r="G908" i="1"/>
  <c r="L908" i="1"/>
  <c r="F909" i="1"/>
  <c r="G909" i="1"/>
  <c r="L909" i="1"/>
  <c r="F910" i="1"/>
  <c r="G910" i="1"/>
  <c r="L910" i="1"/>
  <c r="F911" i="1"/>
  <c r="G911" i="1"/>
  <c r="L911" i="1"/>
  <c r="F912" i="1"/>
  <c r="G912" i="1"/>
  <c r="L912" i="1"/>
  <c r="F913" i="1"/>
  <c r="G913" i="1"/>
  <c r="L913" i="1"/>
  <c r="F914" i="1"/>
  <c r="G914" i="1"/>
  <c r="L914" i="1"/>
  <c r="F915" i="1"/>
  <c r="G915" i="1"/>
  <c r="L915" i="1"/>
  <c r="F916" i="1"/>
  <c r="G916" i="1"/>
  <c r="L916" i="1"/>
  <c r="F917" i="1"/>
  <c r="G917" i="1"/>
  <c r="L917" i="1"/>
  <c r="F918" i="1"/>
  <c r="G918" i="1"/>
  <c r="L918" i="1"/>
  <c r="F919" i="1"/>
  <c r="G919" i="1"/>
  <c r="L919" i="1"/>
  <c r="F920" i="1"/>
  <c r="G920" i="1"/>
  <c r="L920" i="1"/>
  <c r="F921" i="1"/>
  <c r="G921" i="1"/>
  <c r="L921" i="1"/>
  <c r="F922" i="1"/>
  <c r="G922" i="1"/>
  <c r="L922" i="1"/>
  <c r="F923" i="1"/>
  <c r="G923" i="1"/>
  <c r="L923" i="1"/>
  <c r="F924" i="1"/>
  <c r="G924" i="1"/>
  <c r="L924" i="1"/>
  <c r="F925" i="1"/>
  <c r="G925" i="1"/>
  <c r="L925" i="1"/>
  <c r="F926" i="1"/>
  <c r="G926" i="1"/>
  <c r="L926" i="1"/>
  <c r="F927" i="1"/>
  <c r="G927" i="1"/>
  <c r="L927" i="1"/>
  <c r="F928" i="1"/>
  <c r="G928" i="1"/>
  <c r="L928" i="1"/>
  <c r="F929" i="1"/>
  <c r="G929" i="1"/>
  <c r="L929" i="1"/>
  <c r="F930" i="1"/>
  <c r="G930" i="1"/>
  <c r="L930" i="1"/>
  <c r="F931" i="1"/>
  <c r="G931" i="1"/>
  <c r="L931" i="1"/>
  <c r="F932" i="1"/>
  <c r="G932" i="1"/>
  <c r="L932" i="1"/>
  <c r="F933" i="1"/>
  <c r="G933" i="1"/>
  <c r="L933" i="1"/>
  <c r="F934" i="1"/>
  <c r="G934" i="1"/>
  <c r="L934" i="1"/>
  <c r="F935" i="1"/>
  <c r="G935" i="1"/>
  <c r="L935" i="1"/>
  <c r="F936" i="1"/>
  <c r="G936" i="1"/>
  <c r="L936" i="1"/>
  <c r="F937" i="1"/>
  <c r="G937" i="1"/>
  <c r="L937" i="1"/>
  <c r="F938" i="1"/>
  <c r="G938" i="1"/>
  <c r="L938" i="1"/>
  <c r="F939" i="1"/>
  <c r="G939" i="1"/>
  <c r="L939" i="1"/>
  <c r="F940" i="1"/>
  <c r="G940" i="1"/>
  <c r="L940" i="1"/>
  <c r="F941" i="1"/>
  <c r="G941" i="1"/>
  <c r="L941" i="1"/>
  <c r="F942" i="1"/>
  <c r="G942" i="1"/>
  <c r="L942" i="1"/>
  <c r="F943" i="1"/>
  <c r="G943" i="1"/>
  <c r="L943" i="1"/>
  <c r="F944" i="1"/>
  <c r="G944" i="1"/>
  <c r="L944" i="1"/>
  <c r="F945" i="1"/>
  <c r="G945" i="1"/>
  <c r="L945" i="1"/>
  <c r="F946" i="1"/>
  <c r="G946" i="1"/>
  <c r="L946" i="1"/>
  <c r="F947" i="1"/>
  <c r="G947" i="1"/>
  <c r="L947" i="1"/>
  <c r="F948" i="1"/>
  <c r="G948" i="1"/>
  <c r="L948" i="1"/>
  <c r="F949" i="1"/>
  <c r="G949" i="1"/>
  <c r="L949" i="1"/>
  <c r="F950" i="1"/>
  <c r="G950" i="1"/>
  <c r="L950" i="1"/>
  <c r="F951" i="1"/>
  <c r="G951" i="1"/>
  <c r="L951" i="1"/>
  <c r="F952" i="1"/>
  <c r="G952" i="1"/>
  <c r="L952" i="1"/>
  <c r="F953" i="1"/>
  <c r="G953" i="1"/>
  <c r="L953" i="1"/>
  <c r="F954" i="1"/>
  <c r="G954" i="1"/>
  <c r="L954" i="1"/>
  <c r="F955" i="1"/>
  <c r="G955" i="1"/>
  <c r="L955" i="1"/>
  <c r="F956" i="1"/>
  <c r="G956" i="1"/>
  <c r="L956" i="1"/>
  <c r="F957" i="1"/>
  <c r="G957" i="1"/>
  <c r="L957" i="1"/>
  <c r="F958" i="1"/>
  <c r="G958" i="1"/>
  <c r="L958" i="1"/>
  <c r="F959" i="1"/>
  <c r="G959" i="1"/>
  <c r="L959" i="1"/>
  <c r="F960" i="1"/>
  <c r="G960" i="1"/>
  <c r="L960" i="1"/>
  <c r="F961" i="1"/>
  <c r="G961" i="1"/>
  <c r="L961" i="1"/>
  <c r="F962" i="1"/>
  <c r="G962" i="1"/>
  <c r="L962" i="1"/>
  <c r="F963" i="1"/>
  <c r="G963" i="1"/>
  <c r="L963" i="1"/>
  <c r="F964" i="1"/>
  <c r="G964" i="1"/>
  <c r="L964" i="1"/>
  <c r="F965" i="1"/>
  <c r="G965" i="1"/>
  <c r="L965" i="1"/>
  <c r="F966" i="1"/>
  <c r="G966" i="1"/>
  <c r="L966" i="1"/>
  <c r="F967" i="1"/>
  <c r="G967" i="1"/>
  <c r="L967" i="1"/>
  <c r="F968" i="1"/>
  <c r="G968" i="1"/>
  <c r="L968" i="1"/>
  <c r="F969" i="1"/>
  <c r="G969" i="1"/>
  <c r="L969" i="1"/>
  <c r="F970" i="1"/>
  <c r="G970" i="1"/>
  <c r="L970" i="1"/>
  <c r="F971" i="1"/>
  <c r="G971" i="1"/>
  <c r="L971" i="1"/>
  <c r="F972" i="1"/>
  <c r="G972" i="1"/>
  <c r="L972" i="1"/>
  <c r="F973" i="1"/>
  <c r="G973" i="1"/>
  <c r="L973" i="1"/>
  <c r="F974" i="1"/>
  <c r="G974" i="1"/>
  <c r="L974" i="1"/>
  <c r="F975" i="1"/>
  <c r="G975" i="1"/>
  <c r="L975" i="1"/>
  <c r="F976" i="1"/>
  <c r="G976" i="1"/>
  <c r="L976" i="1"/>
  <c r="F977" i="1"/>
  <c r="G977" i="1"/>
  <c r="L977" i="1"/>
  <c r="F978" i="1"/>
  <c r="G978" i="1"/>
  <c r="L978" i="1"/>
  <c r="F979" i="1"/>
  <c r="G979" i="1"/>
  <c r="L979" i="1"/>
  <c r="F980" i="1"/>
  <c r="G980" i="1"/>
  <c r="L980" i="1"/>
  <c r="F981" i="1"/>
  <c r="G981" i="1"/>
  <c r="L981" i="1"/>
  <c r="F982" i="1"/>
  <c r="G982" i="1"/>
  <c r="L982" i="1"/>
  <c r="F983" i="1"/>
  <c r="G983" i="1"/>
  <c r="L983" i="1"/>
  <c r="F984" i="1"/>
  <c r="G984" i="1"/>
  <c r="L984" i="1"/>
  <c r="F985" i="1"/>
  <c r="G985" i="1"/>
  <c r="L985" i="1"/>
  <c r="F986" i="1"/>
  <c r="G986" i="1"/>
  <c r="L986" i="1"/>
  <c r="F987" i="1"/>
  <c r="G987" i="1"/>
  <c r="L987" i="1"/>
  <c r="F988" i="1"/>
  <c r="G988" i="1"/>
  <c r="L988" i="1"/>
  <c r="F989" i="1"/>
  <c r="G989" i="1"/>
  <c r="L989" i="1"/>
  <c r="F990" i="1"/>
  <c r="G990" i="1"/>
  <c r="L990" i="1"/>
  <c r="F991" i="1"/>
  <c r="G991" i="1"/>
  <c r="L991" i="1"/>
  <c r="F992" i="1"/>
  <c r="G992" i="1"/>
  <c r="L992" i="1"/>
  <c r="F993" i="1"/>
  <c r="G993" i="1"/>
  <c r="L993" i="1"/>
  <c r="F994" i="1"/>
  <c r="G994" i="1"/>
  <c r="L994" i="1"/>
  <c r="F995" i="1"/>
  <c r="G995" i="1"/>
  <c r="L995" i="1"/>
  <c r="F996" i="1"/>
  <c r="G996" i="1"/>
  <c r="L996" i="1"/>
  <c r="F997" i="1"/>
  <c r="G997" i="1"/>
  <c r="L997" i="1"/>
  <c r="F998" i="1"/>
  <c r="G998" i="1"/>
  <c r="L998" i="1"/>
  <c r="F999" i="1"/>
  <c r="G999" i="1"/>
  <c r="L999" i="1"/>
  <c r="F1000" i="1"/>
  <c r="G1000" i="1"/>
  <c r="L1000" i="1"/>
  <c r="F1001" i="1"/>
  <c r="G1001" i="1"/>
  <c r="L1001" i="1"/>
  <c r="F1002" i="1"/>
  <c r="G1002" i="1"/>
  <c r="L1002" i="1"/>
  <c r="F1003" i="1"/>
  <c r="G1003" i="1"/>
  <c r="L1003" i="1"/>
  <c r="F1004" i="1"/>
  <c r="G1004" i="1"/>
  <c r="L1004" i="1"/>
  <c r="F1005" i="1"/>
  <c r="G1005" i="1"/>
  <c r="L1005" i="1"/>
  <c r="F1006" i="1"/>
  <c r="G1006" i="1"/>
  <c r="L1006" i="1"/>
  <c r="F1007" i="1"/>
  <c r="G1007" i="1"/>
  <c r="L1007" i="1"/>
  <c r="F1008" i="1"/>
  <c r="G1008" i="1"/>
  <c r="L1008" i="1"/>
  <c r="F1009" i="1"/>
  <c r="G1009" i="1"/>
  <c r="L1009" i="1"/>
  <c r="F1010" i="1"/>
  <c r="G1010" i="1"/>
  <c r="L1010" i="1"/>
  <c r="F1011" i="1"/>
  <c r="G1011" i="1"/>
  <c r="L1011" i="1"/>
  <c r="F1012" i="1"/>
  <c r="G1012" i="1"/>
  <c r="L1012" i="1"/>
  <c r="F1013" i="1"/>
  <c r="G1013" i="1"/>
  <c r="L1013" i="1"/>
  <c r="F1014" i="1"/>
  <c r="G1014" i="1"/>
  <c r="L1014" i="1"/>
  <c r="F1015" i="1"/>
  <c r="G1015" i="1"/>
  <c r="L1015" i="1"/>
  <c r="F1016" i="1"/>
  <c r="G1016" i="1"/>
  <c r="L1016" i="1"/>
  <c r="F1017" i="1"/>
  <c r="G1017" i="1"/>
  <c r="L1017" i="1"/>
  <c r="F1018" i="1"/>
  <c r="G1018" i="1"/>
  <c r="L1018" i="1"/>
  <c r="F1019" i="1"/>
  <c r="G1019" i="1"/>
  <c r="L1019" i="1"/>
  <c r="F1020" i="1"/>
  <c r="G1020" i="1"/>
  <c r="L1020" i="1"/>
  <c r="F1021" i="1"/>
  <c r="G1021" i="1"/>
  <c r="L1021" i="1"/>
  <c r="F1022" i="1"/>
  <c r="G1022" i="1"/>
  <c r="L1022" i="1"/>
  <c r="F1023" i="1"/>
  <c r="G1023" i="1"/>
  <c r="L1023" i="1"/>
  <c r="F1024" i="1"/>
  <c r="G1024" i="1"/>
  <c r="L1024" i="1"/>
  <c r="F1025" i="1"/>
  <c r="G1025" i="1"/>
  <c r="L1025" i="1"/>
  <c r="F1026" i="1"/>
  <c r="G1026" i="1"/>
  <c r="L1026" i="1"/>
  <c r="F1027" i="1"/>
  <c r="G1027" i="1"/>
  <c r="L1027" i="1"/>
  <c r="F1028" i="1"/>
  <c r="G1028" i="1"/>
  <c r="L1028" i="1"/>
  <c r="F1029" i="1"/>
  <c r="G1029" i="1"/>
  <c r="L1029" i="1"/>
  <c r="F1030" i="1"/>
  <c r="G1030" i="1"/>
  <c r="L1030" i="1"/>
  <c r="F1031" i="1"/>
  <c r="G1031" i="1"/>
  <c r="L1031" i="1"/>
  <c r="F1032" i="1"/>
  <c r="G1032" i="1"/>
  <c r="L1032" i="1"/>
  <c r="F1033" i="1"/>
  <c r="G1033" i="1"/>
  <c r="L1033" i="1"/>
  <c r="F1034" i="1"/>
  <c r="G1034" i="1"/>
  <c r="L1034" i="1"/>
  <c r="F1035" i="1"/>
  <c r="G1035" i="1"/>
  <c r="L1035" i="1"/>
  <c r="F1036" i="1"/>
  <c r="G1036" i="1"/>
  <c r="L1036" i="1"/>
  <c r="F1037" i="1"/>
  <c r="G1037" i="1"/>
  <c r="L1037" i="1"/>
  <c r="F1038" i="1"/>
  <c r="G1038" i="1"/>
  <c r="L1038" i="1"/>
  <c r="F1039" i="1"/>
  <c r="G1039" i="1"/>
  <c r="L1039" i="1"/>
  <c r="F1040" i="1"/>
  <c r="G1040" i="1"/>
  <c r="L1040" i="1"/>
  <c r="F1041" i="1"/>
  <c r="G1041" i="1"/>
  <c r="L1041" i="1"/>
  <c r="F1042" i="1"/>
  <c r="G1042" i="1"/>
  <c r="L1042" i="1"/>
  <c r="F1043" i="1"/>
  <c r="G1043" i="1"/>
  <c r="L1043" i="1"/>
  <c r="F1044" i="1"/>
  <c r="G1044" i="1"/>
  <c r="L1044" i="1"/>
  <c r="F1045" i="1"/>
  <c r="G1045" i="1"/>
  <c r="L1045" i="1"/>
  <c r="F1046" i="1"/>
  <c r="G1046" i="1"/>
  <c r="L1046" i="1"/>
  <c r="F1047" i="1"/>
  <c r="G1047" i="1"/>
  <c r="L1047" i="1"/>
  <c r="F1048" i="1"/>
  <c r="G1048" i="1"/>
  <c r="L1048" i="1"/>
  <c r="F1049" i="1"/>
  <c r="G1049" i="1"/>
  <c r="L1049" i="1"/>
  <c r="F1050" i="1"/>
  <c r="G1050" i="1"/>
  <c r="L1050" i="1"/>
  <c r="F1051" i="1"/>
  <c r="G1051" i="1"/>
  <c r="L1051" i="1"/>
  <c r="F1052" i="1"/>
  <c r="G1052" i="1"/>
  <c r="L1052" i="1"/>
  <c r="F1053" i="1"/>
  <c r="G1053" i="1"/>
  <c r="L1053" i="1"/>
  <c r="F1054" i="1"/>
  <c r="G1054" i="1"/>
  <c r="L1054" i="1"/>
  <c r="F1055" i="1"/>
  <c r="G1055" i="1"/>
  <c r="L1055" i="1"/>
  <c r="F1056" i="1"/>
  <c r="G1056" i="1"/>
  <c r="L1056" i="1"/>
  <c r="F1057" i="1"/>
  <c r="G1057" i="1"/>
  <c r="L1057" i="1"/>
  <c r="F1058" i="1"/>
  <c r="G1058" i="1"/>
  <c r="L1058" i="1"/>
  <c r="F1059" i="1"/>
  <c r="G1059" i="1"/>
  <c r="L1059" i="1"/>
  <c r="F1060" i="1"/>
  <c r="G1060" i="1"/>
  <c r="L1060" i="1"/>
  <c r="F1061" i="1"/>
  <c r="G1061" i="1"/>
  <c r="L1061" i="1"/>
  <c r="F1062" i="1"/>
  <c r="G1062" i="1"/>
  <c r="L1062" i="1"/>
  <c r="F1063" i="1"/>
  <c r="G1063" i="1"/>
  <c r="L1063" i="1"/>
  <c r="F1064" i="1"/>
  <c r="G1064" i="1"/>
  <c r="L1064" i="1"/>
  <c r="F1065" i="1"/>
  <c r="G1065" i="1"/>
  <c r="L1065" i="1"/>
  <c r="F1066" i="1"/>
  <c r="G1066" i="1"/>
  <c r="L1066" i="1"/>
  <c r="F1067" i="1"/>
  <c r="G1067" i="1"/>
  <c r="L1067" i="1"/>
  <c r="F1068" i="1"/>
  <c r="G1068" i="1"/>
  <c r="L1068" i="1"/>
  <c r="F1069" i="1"/>
  <c r="G1069" i="1"/>
  <c r="L1069" i="1"/>
  <c r="F1070" i="1"/>
  <c r="G1070" i="1"/>
  <c r="L1070" i="1"/>
  <c r="F1071" i="1"/>
  <c r="G1071" i="1"/>
  <c r="L1071" i="1"/>
  <c r="F1072" i="1"/>
  <c r="G1072" i="1"/>
  <c r="L1072" i="1"/>
  <c r="F1073" i="1"/>
  <c r="G1073" i="1"/>
  <c r="L1073" i="1"/>
  <c r="F1074" i="1"/>
  <c r="G1074" i="1"/>
  <c r="L1074" i="1"/>
  <c r="F1075" i="1"/>
  <c r="G1075" i="1"/>
  <c r="L1075" i="1"/>
  <c r="F1076" i="1"/>
  <c r="G1076" i="1"/>
  <c r="L1076" i="1"/>
  <c r="F1077" i="1"/>
  <c r="G1077" i="1"/>
  <c r="L1077" i="1"/>
  <c r="F1078" i="1"/>
  <c r="G1078" i="1"/>
  <c r="L1078" i="1"/>
  <c r="F1079" i="1"/>
  <c r="G1079" i="1"/>
  <c r="L1079" i="1"/>
  <c r="F1080" i="1"/>
  <c r="G1080" i="1"/>
  <c r="L1080" i="1"/>
  <c r="F1081" i="1"/>
  <c r="G1081" i="1"/>
  <c r="L1081" i="1"/>
  <c r="F1082" i="1"/>
  <c r="G1082" i="1"/>
  <c r="L1082" i="1"/>
  <c r="F1083" i="1"/>
  <c r="G1083" i="1"/>
  <c r="L1083" i="1"/>
  <c r="F1084" i="1"/>
  <c r="G1084" i="1"/>
  <c r="L1084" i="1"/>
  <c r="F1085" i="1"/>
  <c r="G1085" i="1"/>
  <c r="L1085" i="1"/>
  <c r="F1086" i="1"/>
  <c r="G1086" i="1"/>
  <c r="L1086" i="1"/>
  <c r="F1087" i="1"/>
  <c r="G1087" i="1"/>
  <c r="L1087" i="1"/>
  <c r="F1088" i="1"/>
  <c r="G1088" i="1"/>
  <c r="L1088" i="1"/>
  <c r="F1089" i="1"/>
  <c r="G1089" i="1"/>
  <c r="L1089" i="1"/>
  <c r="F1090" i="1"/>
  <c r="G1090" i="1"/>
  <c r="L1090" i="1"/>
  <c r="F1091" i="1"/>
  <c r="G1091" i="1"/>
  <c r="L1091" i="1"/>
  <c r="F1092" i="1"/>
  <c r="G1092" i="1"/>
  <c r="L1092" i="1"/>
  <c r="F1093" i="1"/>
  <c r="G1093" i="1"/>
  <c r="L1093" i="1"/>
  <c r="F1094" i="1"/>
  <c r="G1094" i="1"/>
  <c r="L1094" i="1"/>
  <c r="F1095" i="1"/>
  <c r="G1095" i="1"/>
  <c r="L1095" i="1"/>
  <c r="F1096" i="1"/>
  <c r="G1096" i="1"/>
  <c r="L1096" i="1"/>
  <c r="F1097" i="1"/>
  <c r="G1097" i="1"/>
  <c r="L1097" i="1"/>
  <c r="F1098" i="1"/>
  <c r="G1098" i="1"/>
  <c r="L1098" i="1"/>
  <c r="F1099" i="1"/>
  <c r="G1099" i="1"/>
  <c r="L1099" i="1"/>
  <c r="F1100" i="1"/>
  <c r="G1100" i="1"/>
  <c r="L1100" i="1"/>
  <c r="F1101" i="1"/>
  <c r="G1101" i="1"/>
  <c r="L1101" i="1"/>
  <c r="F1102" i="1"/>
  <c r="G1102" i="1"/>
  <c r="L1102" i="1"/>
  <c r="F1103" i="1"/>
  <c r="G1103" i="1"/>
  <c r="L1103" i="1"/>
  <c r="F1104" i="1"/>
  <c r="G1104" i="1"/>
  <c r="L1104" i="1"/>
  <c r="F1105" i="1"/>
  <c r="G1105" i="1"/>
  <c r="L1105" i="1"/>
  <c r="F1106" i="1"/>
  <c r="G1106" i="1"/>
  <c r="L1106" i="1"/>
  <c r="F1107" i="1"/>
  <c r="G1107" i="1"/>
  <c r="L1107" i="1"/>
  <c r="F1108" i="1"/>
  <c r="G1108" i="1"/>
  <c r="L1108" i="1"/>
  <c r="F1109" i="1"/>
  <c r="G1109" i="1"/>
  <c r="L1109" i="1"/>
  <c r="F1110" i="1"/>
  <c r="G1110" i="1"/>
  <c r="L1110" i="1"/>
  <c r="F1111" i="1"/>
  <c r="G1111" i="1"/>
  <c r="L1111" i="1"/>
  <c r="F1112" i="1"/>
  <c r="G1112" i="1"/>
  <c r="L1112" i="1"/>
  <c r="F1113" i="1"/>
  <c r="G1113" i="1"/>
  <c r="L1113" i="1"/>
  <c r="F1114" i="1"/>
  <c r="G1114" i="1"/>
  <c r="L1114" i="1"/>
  <c r="F1115" i="1"/>
  <c r="G1115" i="1"/>
  <c r="L1115" i="1"/>
  <c r="F1116" i="1"/>
  <c r="G1116" i="1"/>
  <c r="L1116" i="1"/>
  <c r="F1117" i="1"/>
  <c r="G1117" i="1"/>
  <c r="L1117" i="1"/>
  <c r="F1118" i="1"/>
  <c r="G1118" i="1"/>
  <c r="L1118" i="1"/>
  <c r="F1119" i="1"/>
  <c r="G1119" i="1"/>
  <c r="L1119" i="1"/>
  <c r="F1120" i="1"/>
  <c r="G1120" i="1"/>
  <c r="L1120" i="1"/>
  <c r="F1121" i="1"/>
  <c r="G1121" i="1"/>
  <c r="L1121" i="1"/>
  <c r="F1122" i="1"/>
  <c r="G1122" i="1"/>
  <c r="L1122" i="1"/>
  <c r="F1123" i="1"/>
  <c r="G1123" i="1"/>
  <c r="L1123" i="1"/>
  <c r="F1124" i="1"/>
  <c r="G1124" i="1"/>
  <c r="L1124" i="1"/>
  <c r="F1125" i="1"/>
  <c r="G1125" i="1"/>
  <c r="L1125" i="1"/>
  <c r="F1126" i="1"/>
  <c r="G1126" i="1"/>
  <c r="L1126" i="1"/>
  <c r="F1127" i="1"/>
  <c r="G1127" i="1"/>
  <c r="L1127" i="1"/>
  <c r="F1128" i="1"/>
  <c r="G1128" i="1"/>
  <c r="L1128" i="1"/>
  <c r="F1129" i="1"/>
  <c r="G1129" i="1"/>
  <c r="L1129" i="1"/>
  <c r="F1130" i="1"/>
  <c r="G1130" i="1"/>
  <c r="L1130" i="1"/>
  <c r="F1131" i="1"/>
  <c r="G1131" i="1"/>
  <c r="L1131" i="1"/>
  <c r="F1132" i="1"/>
  <c r="G1132" i="1"/>
  <c r="L1132" i="1"/>
  <c r="F1133" i="1"/>
  <c r="G1133" i="1"/>
  <c r="L1133" i="1"/>
  <c r="F1134" i="1"/>
  <c r="G1134" i="1"/>
  <c r="L1134" i="1"/>
  <c r="F1135" i="1"/>
  <c r="G1135" i="1"/>
  <c r="L1135" i="1"/>
  <c r="F1136" i="1"/>
  <c r="G1136" i="1"/>
  <c r="L1136" i="1"/>
  <c r="F1137" i="1"/>
  <c r="G1137" i="1"/>
  <c r="L1137" i="1"/>
  <c r="F1138" i="1"/>
  <c r="G1138" i="1"/>
  <c r="L1138" i="1"/>
  <c r="F1139" i="1"/>
  <c r="G1139" i="1"/>
  <c r="L1139" i="1"/>
  <c r="F1140" i="1"/>
  <c r="G1140" i="1"/>
  <c r="L1140" i="1"/>
  <c r="F1141" i="1"/>
  <c r="G1141" i="1"/>
  <c r="L1141" i="1"/>
  <c r="F1142" i="1"/>
  <c r="G1142" i="1"/>
  <c r="L1142" i="1"/>
  <c r="F1143" i="1"/>
  <c r="G1143" i="1"/>
  <c r="L1143" i="1"/>
  <c r="F1144" i="1"/>
  <c r="G1144" i="1"/>
  <c r="L1144" i="1"/>
  <c r="F1145" i="1"/>
  <c r="G1145" i="1"/>
  <c r="L1145" i="1"/>
  <c r="F1146" i="1"/>
  <c r="G1146" i="1"/>
  <c r="L1146" i="1"/>
  <c r="F1147" i="1"/>
  <c r="G1147" i="1"/>
  <c r="L1147" i="1"/>
  <c r="F1148" i="1"/>
  <c r="G1148" i="1"/>
  <c r="L1148" i="1"/>
  <c r="F1149" i="1"/>
  <c r="G1149" i="1"/>
  <c r="L1149" i="1"/>
  <c r="F1150" i="1"/>
  <c r="G1150" i="1"/>
  <c r="L1150" i="1"/>
  <c r="F1151" i="1"/>
  <c r="G1151" i="1"/>
  <c r="L1151" i="1"/>
  <c r="F1152" i="1"/>
  <c r="G1152" i="1"/>
  <c r="L1152" i="1"/>
  <c r="F1153" i="1"/>
  <c r="G1153" i="1"/>
  <c r="L1153" i="1"/>
  <c r="F1154" i="1"/>
  <c r="G1154" i="1"/>
  <c r="L1154" i="1"/>
  <c r="F1155" i="1"/>
  <c r="G1155" i="1"/>
  <c r="L1155" i="1"/>
  <c r="F1156" i="1"/>
  <c r="G1156" i="1"/>
  <c r="L1156" i="1"/>
  <c r="F1157" i="1"/>
  <c r="G1157" i="1"/>
  <c r="L1157" i="1"/>
  <c r="F1158" i="1"/>
  <c r="G1158" i="1"/>
  <c r="L1158" i="1"/>
  <c r="F1159" i="1"/>
  <c r="G1159" i="1"/>
  <c r="L1159" i="1"/>
  <c r="F1160" i="1"/>
  <c r="G1160" i="1"/>
  <c r="L1160" i="1"/>
  <c r="F1161" i="1"/>
  <c r="G1161" i="1"/>
  <c r="L1161" i="1"/>
  <c r="F1162" i="1"/>
  <c r="G1162" i="1"/>
  <c r="L1162" i="1"/>
  <c r="F1163" i="1"/>
  <c r="G1163" i="1"/>
  <c r="L1163" i="1"/>
  <c r="F1164" i="1"/>
  <c r="G1164" i="1"/>
  <c r="L1164" i="1"/>
  <c r="F1165" i="1"/>
  <c r="G1165" i="1"/>
  <c r="L1165" i="1"/>
  <c r="F1166" i="1"/>
  <c r="G1166" i="1"/>
  <c r="L1166" i="1"/>
  <c r="F1167" i="1"/>
  <c r="G1167" i="1"/>
  <c r="L1167" i="1"/>
  <c r="F1168" i="1"/>
  <c r="G1168" i="1"/>
  <c r="L1168" i="1"/>
  <c r="F1169" i="1"/>
  <c r="G1169" i="1"/>
  <c r="L1169" i="1"/>
  <c r="F1170" i="1"/>
  <c r="G1170" i="1"/>
  <c r="L1170" i="1"/>
  <c r="F1171" i="1"/>
  <c r="G1171" i="1"/>
  <c r="L1171" i="1"/>
  <c r="F1172" i="1"/>
  <c r="G1172" i="1"/>
  <c r="L1172" i="1"/>
  <c r="F1173" i="1"/>
  <c r="G1173" i="1"/>
  <c r="L1173" i="1"/>
  <c r="F1174" i="1"/>
  <c r="G1174" i="1"/>
  <c r="L1174" i="1"/>
  <c r="F1175" i="1"/>
  <c r="G1175" i="1"/>
  <c r="L1175" i="1"/>
  <c r="F1176" i="1"/>
  <c r="G1176" i="1"/>
  <c r="L1176" i="1"/>
  <c r="F1177" i="1"/>
  <c r="G1177" i="1"/>
  <c r="L1177" i="1"/>
  <c r="F1178" i="1"/>
  <c r="G1178" i="1"/>
  <c r="L1178" i="1"/>
  <c r="F1179" i="1"/>
  <c r="G1179" i="1"/>
  <c r="L1179" i="1"/>
  <c r="F1180" i="1"/>
  <c r="G1180" i="1"/>
  <c r="L1180" i="1"/>
  <c r="F1181" i="1"/>
  <c r="G1181" i="1"/>
  <c r="L1181" i="1"/>
  <c r="F1182" i="1"/>
  <c r="G1182" i="1"/>
  <c r="L1182" i="1"/>
  <c r="F1183" i="1"/>
  <c r="G1183" i="1"/>
  <c r="L1183" i="1"/>
  <c r="F1184" i="1"/>
  <c r="G1184" i="1"/>
  <c r="L1184" i="1"/>
  <c r="F1185" i="1"/>
  <c r="G1185" i="1"/>
  <c r="L1185" i="1"/>
  <c r="F1186" i="1"/>
  <c r="G1186" i="1"/>
  <c r="L1186" i="1"/>
  <c r="F1187" i="1"/>
  <c r="G1187" i="1"/>
  <c r="L1187" i="1"/>
  <c r="F1188" i="1"/>
  <c r="G1188" i="1"/>
  <c r="L1188" i="1"/>
  <c r="F1189" i="1"/>
  <c r="G1189" i="1"/>
  <c r="L1189" i="1"/>
  <c r="F1190" i="1"/>
  <c r="G1190" i="1"/>
  <c r="L1190" i="1"/>
  <c r="F1191" i="1"/>
  <c r="G1191" i="1"/>
  <c r="L1191" i="1"/>
  <c r="F1192" i="1"/>
  <c r="G1192" i="1"/>
  <c r="L1192" i="1"/>
  <c r="F1193" i="1"/>
  <c r="G1193" i="1"/>
  <c r="L1193" i="1"/>
  <c r="F1194" i="1"/>
  <c r="G1194" i="1"/>
  <c r="L1194" i="1"/>
  <c r="F1195" i="1"/>
  <c r="G1195" i="1"/>
  <c r="L1195" i="1"/>
  <c r="F1196" i="1"/>
  <c r="G1196" i="1"/>
  <c r="L1196" i="1"/>
  <c r="F1197" i="1"/>
  <c r="G1197" i="1"/>
  <c r="L1197" i="1"/>
  <c r="F1198" i="1"/>
  <c r="G1198" i="1"/>
  <c r="L1198" i="1"/>
  <c r="F1199" i="1"/>
  <c r="G1199" i="1"/>
  <c r="L1199" i="1"/>
  <c r="F1200" i="1"/>
  <c r="G1200" i="1"/>
  <c r="L1200" i="1"/>
  <c r="F1201" i="1"/>
  <c r="G1201" i="1"/>
  <c r="L1201" i="1"/>
  <c r="F1202" i="1"/>
  <c r="G1202" i="1"/>
  <c r="L1202" i="1"/>
  <c r="F1203" i="1"/>
  <c r="G1203" i="1"/>
  <c r="L1203" i="1"/>
  <c r="F1204" i="1"/>
  <c r="G1204" i="1"/>
  <c r="L1204" i="1"/>
  <c r="F1205" i="1"/>
  <c r="G1205" i="1"/>
  <c r="L1205" i="1"/>
  <c r="F1206" i="1"/>
  <c r="G1206" i="1"/>
  <c r="L1206" i="1"/>
  <c r="F1207" i="1"/>
  <c r="G1207" i="1"/>
  <c r="L1207" i="1"/>
  <c r="F1208" i="1"/>
  <c r="G1208" i="1"/>
  <c r="L1208" i="1"/>
  <c r="F1209" i="1"/>
  <c r="G1209" i="1"/>
  <c r="L1209" i="1"/>
  <c r="F1210" i="1"/>
  <c r="G1210" i="1"/>
  <c r="L1210" i="1"/>
  <c r="F1211" i="1"/>
  <c r="G1211" i="1"/>
  <c r="L1211" i="1"/>
  <c r="F1212" i="1"/>
  <c r="G1212" i="1"/>
  <c r="L1212" i="1"/>
  <c r="F1213" i="1"/>
  <c r="G1213" i="1"/>
  <c r="L1213" i="1"/>
  <c r="F1214" i="1"/>
  <c r="G1214" i="1"/>
  <c r="L1214" i="1"/>
  <c r="F1215" i="1"/>
  <c r="G1215" i="1"/>
  <c r="L1215" i="1"/>
  <c r="F1216" i="1"/>
  <c r="G1216" i="1"/>
  <c r="L1216" i="1"/>
  <c r="F1217" i="1"/>
  <c r="G1217" i="1"/>
  <c r="L1217" i="1"/>
  <c r="F1218" i="1"/>
  <c r="G1218" i="1"/>
  <c r="L1218" i="1"/>
  <c r="F1219" i="1"/>
  <c r="G1219" i="1"/>
  <c r="L1219" i="1"/>
  <c r="F1220" i="1"/>
  <c r="G1220" i="1"/>
  <c r="L1220" i="1"/>
  <c r="F1221" i="1"/>
  <c r="G1221" i="1"/>
  <c r="L1221" i="1"/>
  <c r="F1222" i="1"/>
  <c r="G1222" i="1"/>
  <c r="L1222" i="1"/>
  <c r="F1223" i="1"/>
  <c r="G1223" i="1"/>
  <c r="L1223" i="1"/>
  <c r="F1224" i="1"/>
  <c r="G1224" i="1"/>
  <c r="L1224" i="1"/>
  <c r="F1225" i="1"/>
  <c r="G1225" i="1"/>
  <c r="L1225" i="1"/>
  <c r="F1226" i="1"/>
  <c r="G1226" i="1"/>
  <c r="L1226" i="1"/>
  <c r="F1227" i="1"/>
  <c r="G1227" i="1"/>
  <c r="L1227" i="1"/>
  <c r="F1228" i="1"/>
  <c r="G1228" i="1"/>
  <c r="L1228" i="1"/>
  <c r="F1229" i="1"/>
  <c r="G1229" i="1"/>
  <c r="L1229" i="1"/>
  <c r="F1230" i="1"/>
  <c r="G1230" i="1"/>
  <c r="L1230" i="1"/>
  <c r="F1231" i="1"/>
  <c r="G1231" i="1"/>
  <c r="L1231" i="1"/>
  <c r="F1232" i="1"/>
  <c r="G1232" i="1"/>
  <c r="L1232" i="1"/>
  <c r="F1233" i="1"/>
  <c r="G1233" i="1"/>
  <c r="L1233" i="1"/>
  <c r="F1234" i="1"/>
  <c r="G1234" i="1"/>
  <c r="L1234" i="1"/>
  <c r="F1235" i="1"/>
  <c r="G1235" i="1"/>
  <c r="L1235" i="1"/>
  <c r="F1236" i="1"/>
  <c r="G1236" i="1"/>
  <c r="L1236" i="1"/>
  <c r="F1237" i="1"/>
  <c r="G1237" i="1"/>
  <c r="L1237" i="1"/>
  <c r="F1238" i="1"/>
  <c r="G1238" i="1"/>
  <c r="L1238" i="1"/>
  <c r="F1239" i="1"/>
  <c r="G1239" i="1"/>
  <c r="L1239" i="1"/>
  <c r="F1240" i="1"/>
  <c r="G1240" i="1"/>
  <c r="L1240" i="1"/>
  <c r="F1241" i="1"/>
  <c r="G1241" i="1"/>
  <c r="L1241" i="1"/>
  <c r="F1242" i="1"/>
  <c r="G1242" i="1"/>
  <c r="L1242" i="1"/>
  <c r="F1243" i="1"/>
  <c r="G1243" i="1"/>
  <c r="L1243" i="1"/>
  <c r="F1244" i="1"/>
  <c r="G1244" i="1"/>
  <c r="L1244" i="1"/>
  <c r="F1245" i="1"/>
  <c r="G1245" i="1"/>
  <c r="L1245" i="1"/>
  <c r="F1246" i="1"/>
  <c r="G1246" i="1"/>
  <c r="L1246" i="1"/>
  <c r="F1247" i="1"/>
  <c r="G1247" i="1"/>
  <c r="L1247" i="1"/>
  <c r="F1248" i="1"/>
  <c r="G1248" i="1"/>
  <c r="L1248" i="1"/>
  <c r="F1249" i="1"/>
  <c r="G1249" i="1"/>
  <c r="L1249" i="1"/>
  <c r="F1250" i="1"/>
  <c r="G1250" i="1"/>
  <c r="L1250" i="1"/>
  <c r="F1251" i="1"/>
  <c r="G1251" i="1"/>
  <c r="L1251" i="1"/>
  <c r="F1252" i="1"/>
  <c r="G1252" i="1"/>
  <c r="L1252" i="1"/>
  <c r="F1253" i="1"/>
  <c r="G1253" i="1"/>
  <c r="L1253" i="1"/>
  <c r="F1254" i="1"/>
  <c r="G1254" i="1"/>
  <c r="L1254" i="1"/>
  <c r="F1255" i="1"/>
  <c r="G1255" i="1"/>
  <c r="L1255" i="1"/>
  <c r="F1256" i="1"/>
  <c r="G1256" i="1"/>
  <c r="L1256" i="1"/>
  <c r="F1257" i="1"/>
  <c r="G1257" i="1"/>
  <c r="L1257" i="1"/>
  <c r="F1258" i="1"/>
  <c r="G1258" i="1"/>
  <c r="L1258" i="1"/>
  <c r="F1259" i="1"/>
  <c r="G1259" i="1"/>
  <c r="L1259" i="1"/>
  <c r="F1260" i="1"/>
  <c r="G1260" i="1"/>
  <c r="L1260" i="1"/>
  <c r="F1261" i="1"/>
  <c r="G1261" i="1"/>
  <c r="L1261" i="1"/>
  <c r="F1262" i="1"/>
  <c r="G1262" i="1"/>
  <c r="L1262" i="1"/>
  <c r="F1263" i="1"/>
  <c r="G1263" i="1"/>
  <c r="L1263" i="1"/>
  <c r="F1264" i="1"/>
  <c r="G1264" i="1"/>
  <c r="L1264" i="1"/>
  <c r="F1265" i="1"/>
  <c r="G1265" i="1"/>
  <c r="L1265" i="1"/>
  <c r="F1266" i="1"/>
  <c r="G1266" i="1"/>
  <c r="L1266" i="1"/>
  <c r="F1267" i="1"/>
  <c r="G1267" i="1"/>
  <c r="L1267" i="1"/>
  <c r="F1268" i="1"/>
  <c r="G1268" i="1"/>
  <c r="L1268" i="1"/>
  <c r="F1269" i="1"/>
  <c r="G1269" i="1"/>
  <c r="L1269" i="1"/>
  <c r="F1270" i="1"/>
  <c r="G1270" i="1"/>
  <c r="L1270" i="1"/>
  <c r="F1271" i="1"/>
  <c r="G1271" i="1"/>
  <c r="L1271" i="1"/>
  <c r="F1272" i="1"/>
  <c r="G1272" i="1"/>
  <c r="L1272" i="1"/>
  <c r="F1273" i="1"/>
  <c r="G1273" i="1"/>
  <c r="L1273" i="1"/>
  <c r="F1274" i="1"/>
  <c r="G1274" i="1"/>
  <c r="L1274" i="1"/>
  <c r="F1275" i="1"/>
  <c r="G1275" i="1"/>
  <c r="L1275" i="1"/>
  <c r="F1276" i="1"/>
  <c r="G1276" i="1"/>
  <c r="L1276" i="1"/>
  <c r="F1277" i="1"/>
  <c r="G1277" i="1"/>
  <c r="L1277" i="1"/>
  <c r="F1278" i="1"/>
  <c r="G1278" i="1"/>
  <c r="L1278" i="1"/>
  <c r="F1279" i="1"/>
  <c r="G1279" i="1"/>
  <c r="L1279" i="1"/>
  <c r="F1280" i="1"/>
  <c r="G1280" i="1"/>
  <c r="L1280" i="1"/>
  <c r="F1281" i="1"/>
  <c r="G1281" i="1"/>
  <c r="L1281" i="1"/>
  <c r="F1282" i="1"/>
  <c r="G1282" i="1"/>
  <c r="L1282" i="1"/>
  <c r="F1283" i="1"/>
  <c r="G1283" i="1"/>
  <c r="L1283" i="1"/>
  <c r="F1284" i="1"/>
  <c r="G1284" i="1"/>
  <c r="L1284" i="1"/>
  <c r="F1285" i="1"/>
  <c r="G1285" i="1"/>
  <c r="L1285" i="1"/>
  <c r="F1286" i="1"/>
  <c r="G1286" i="1"/>
  <c r="L1286" i="1"/>
  <c r="F1287" i="1"/>
  <c r="G1287" i="1"/>
  <c r="L1287" i="1"/>
  <c r="F1288" i="1"/>
  <c r="G1288" i="1"/>
  <c r="L1288" i="1"/>
  <c r="F1289" i="1"/>
  <c r="G1289" i="1"/>
  <c r="L1289" i="1"/>
  <c r="F1290" i="1"/>
  <c r="G1290" i="1"/>
  <c r="L1290" i="1"/>
  <c r="F1291" i="1"/>
  <c r="G1291" i="1"/>
  <c r="L1291" i="1"/>
  <c r="F1292" i="1"/>
  <c r="G1292" i="1"/>
  <c r="L1292" i="1"/>
  <c r="F1293" i="1"/>
  <c r="G1293" i="1"/>
  <c r="L1293" i="1"/>
  <c r="F1294" i="1"/>
  <c r="G1294" i="1"/>
  <c r="L1294" i="1"/>
  <c r="F1295" i="1"/>
  <c r="G1295" i="1"/>
  <c r="L1295" i="1"/>
  <c r="F1296" i="1"/>
  <c r="G1296" i="1"/>
  <c r="L1296" i="1"/>
  <c r="F1297" i="1"/>
  <c r="G1297" i="1"/>
  <c r="L1297" i="1"/>
  <c r="F1298" i="1"/>
  <c r="G1298" i="1"/>
  <c r="L1298" i="1"/>
  <c r="F1299" i="1"/>
  <c r="G1299" i="1"/>
  <c r="L1299" i="1"/>
  <c r="F1300" i="1"/>
  <c r="G1300" i="1"/>
  <c r="L1300" i="1"/>
  <c r="F1301" i="1"/>
  <c r="G1301" i="1"/>
  <c r="L1301" i="1"/>
  <c r="F1302" i="1"/>
  <c r="G1302" i="1"/>
  <c r="L1302" i="1"/>
  <c r="F1303" i="1"/>
  <c r="G1303" i="1"/>
  <c r="L1303" i="1"/>
  <c r="F1304" i="1"/>
  <c r="G1304" i="1"/>
  <c r="L1304" i="1"/>
  <c r="F1305" i="1"/>
  <c r="G1305" i="1"/>
  <c r="L1305" i="1"/>
  <c r="F1306" i="1"/>
  <c r="G1306" i="1"/>
  <c r="L1306" i="1"/>
  <c r="F1307" i="1"/>
  <c r="G1307" i="1"/>
  <c r="L1307" i="1"/>
  <c r="F1308" i="1"/>
  <c r="G1308" i="1"/>
  <c r="L1308" i="1"/>
  <c r="F1309" i="1"/>
  <c r="G1309" i="1"/>
  <c r="L1309" i="1"/>
  <c r="F1310" i="1"/>
  <c r="G1310" i="1"/>
  <c r="L1310" i="1"/>
  <c r="F1311" i="1"/>
  <c r="G1311" i="1"/>
  <c r="L1311" i="1"/>
  <c r="F1312" i="1"/>
  <c r="G1312" i="1"/>
  <c r="L1312" i="1"/>
  <c r="F1313" i="1"/>
  <c r="G1313" i="1"/>
  <c r="L1313" i="1"/>
  <c r="F1314" i="1"/>
  <c r="G1314" i="1"/>
  <c r="L1314" i="1"/>
  <c r="F1315" i="1"/>
  <c r="G1315" i="1"/>
  <c r="L1315" i="1"/>
  <c r="F1316" i="1"/>
  <c r="G1316" i="1"/>
  <c r="L1316" i="1"/>
  <c r="F1317" i="1"/>
  <c r="G1317" i="1"/>
  <c r="L1317" i="1"/>
  <c r="F1318" i="1"/>
  <c r="G1318" i="1"/>
  <c r="L1318" i="1"/>
  <c r="F1319" i="1"/>
  <c r="G1319" i="1"/>
  <c r="L1319" i="1"/>
  <c r="F1320" i="1"/>
  <c r="G1320" i="1"/>
  <c r="L1320" i="1"/>
  <c r="F1321" i="1"/>
  <c r="G1321" i="1"/>
  <c r="L1321" i="1"/>
  <c r="F1322" i="1"/>
  <c r="G1322" i="1"/>
  <c r="L1322" i="1"/>
  <c r="F1323" i="1"/>
  <c r="G1323" i="1"/>
  <c r="L1323" i="1"/>
  <c r="F1324" i="1"/>
  <c r="G1324" i="1"/>
  <c r="L1324" i="1"/>
  <c r="F1325" i="1"/>
  <c r="G1325" i="1"/>
  <c r="L1325" i="1"/>
  <c r="F1326" i="1"/>
  <c r="G1326" i="1"/>
  <c r="L1326" i="1"/>
  <c r="F1327" i="1"/>
  <c r="G1327" i="1"/>
  <c r="L1327" i="1"/>
  <c r="F1328" i="1"/>
  <c r="G1328" i="1"/>
  <c r="L1328" i="1"/>
  <c r="F1329" i="1"/>
  <c r="G1329" i="1"/>
  <c r="L1329" i="1"/>
  <c r="F1330" i="1"/>
  <c r="G1330" i="1"/>
  <c r="L1330" i="1"/>
  <c r="F1331" i="1"/>
  <c r="G1331" i="1"/>
  <c r="L1331" i="1"/>
  <c r="F1332" i="1"/>
  <c r="G1332" i="1"/>
  <c r="L1332" i="1"/>
  <c r="F1333" i="1"/>
  <c r="G1333" i="1"/>
  <c r="L1333" i="1"/>
  <c r="F1334" i="1"/>
  <c r="G1334" i="1"/>
  <c r="L1334" i="1"/>
  <c r="F1335" i="1"/>
  <c r="G1335" i="1"/>
  <c r="L1335" i="1"/>
  <c r="F1336" i="1"/>
  <c r="G1336" i="1"/>
  <c r="L1336" i="1"/>
  <c r="F1337" i="1"/>
  <c r="G1337" i="1"/>
  <c r="L1337" i="1"/>
  <c r="F1338" i="1"/>
  <c r="G1338" i="1"/>
  <c r="L1338" i="1"/>
  <c r="F1339" i="1"/>
  <c r="G1339" i="1"/>
  <c r="L1339" i="1"/>
  <c r="F1340" i="1"/>
  <c r="G1340" i="1"/>
  <c r="L1340" i="1"/>
  <c r="F1341" i="1"/>
  <c r="G1341" i="1"/>
  <c r="L1341" i="1"/>
  <c r="F1342" i="1"/>
  <c r="G1342" i="1"/>
  <c r="L1342" i="1"/>
  <c r="F1343" i="1"/>
  <c r="G1343" i="1"/>
  <c r="L1343" i="1"/>
  <c r="F1344" i="1"/>
  <c r="G1344" i="1"/>
  <c r="L1344" i="1"/>
  <c r="F1345" i="1"/>
  <c r="G1345" i="1"/>
  <c r="L1345" i="1"/>
  <c r="F1346" i="1"/>
  <c r="G1346" i="1"/>
  <c r="L1346" i="1"/>
  <c r="F1347" i="1"/>
  <c r="G1347" i="1"/>
  <c r="L1347" i="1"/>
  <c r="F1348" i="1"/>
  <c r="G1348" i="1"/>
  <c r="L1348" i="1"/>
  <c r="F1349" i="1"/>
  <c r="G1349" i="1"/>
  <c r="L1349" i="1"/>
  <c r="F1350" i="1"/>
  <c r="G1350" i="1"/>
  <c r="L1350" i="1"/>
  <c r="F1351" i="1"/>
  <c r="G1351" i="1"/>
  <c r="L1351" i="1"/>
  <c r="F1352" i="1"/>
  <c r="G1352" i="1"/>
  <c r="L1352" i="1"/>
  <c r="F1353" i="1"/>
  <c r="G1353" i="1"/>
  <c r="L1353" i="1"/>
  <c r="F1354" i="1"/>
  <c r="G1354" i="1"/>
  <c r="L1354" i="1"/>
  <c r="F1355" i="1"/>
  <c r="G1355" i="1"/>
  <c r="L1355" i="1"/>
  <c r="F1356" i="1"/>
  <c r="G1356" i="1"/>
  <c r="L1356" i="1"/>
  <c r="F1357" i="1"/>
  <c r="G1357" i="1"/>
  <c r="L1357" i="1"/>
  <c r="F1358" i="1"/>
  <c r="G1358" i="1"/>
  <c r="L1358" i="1"/>
  <c r="F1359" i="1"/>
  <c r="G1359" i="1"/>
  <c r="L1359" i="1"/>
  <c r="F1360" i="1"/>
  <c r="G1360" i="1"/>
  <c r="L1360" i="1"/>
  <c r="F1361" i="1"/>
  <c r="G1361" i="1"/>
  <c r="L1361" i="1"/>
  <c r="F1362" i="1"/>
  <c r="G1362" i="1"/>
  <c r="L1362" i="1"/>
  <c r="F1363" i="1"/>
  <c r="G1363" i="1"/>
  <c r="L1363" i="1"/>
  <c r="F1364" i="1"/>
  <c r="G1364" i="1"/>
  <c r="L1364" i="1"/>
  <c r="F1365" i="1"/>
  <c r="G1365" i="1"/>
  <c r="L1365" i="1"/>
  <c r="F1366" i="1"/>
  <c r="G1366" i="1"/>
  <c r="L1366" i="1"/>
  <c r="F1367" i="1"/>
  <c r="G1367" i="1"/>
  <c r="L1367" i="1"/>
  <c r="F1368" i="1"/>
  <c r="G1368" i="1"/>
  <c r="L1368" i="1"/>
  <c r="F1369" i="1"/>
  <c r="G1369" i="1"/>
  <c r="L1369" i="1"/>
  <c r="F1370" i="1"/>
  <c r="G1370" i="1"/>
  <c r="L1370" i="1"/>
  <c r="F1371" i="1"/>
  <c r="G1371" i="1"/>
  <c r="L1371" i="1"/>
  <c r="F1372" i="1"/>
  <c r="G1372" i="1"/>
  <c r="L1372" i="1"/>
  <c r="F1373" i="1"/>
  <c r="G1373" i="1"/>
  <c r="L1373" i="1"/>
  <c r="F1374" i="1"/>
  <c r="G1374" i="1"/>
  <c r="L1374" i="1"/>
  <c r="F1375" i="1"/>
  <c r="G1375" i="1"/>
  <c r="L1375" i="1"/>
  <c r="F1376" i="1"/>
  <c r="G1376" i="1"/>
  <c r="L1376" i="1"/>
  <c r="F1377" i="1"/>
  <c r="G1377" i="1"/>
  <c r="L1377" i="1"/>
  <c r="F1378" i="1"/>
  <c r="G1378" i="1"/>
  <c r="L1378" i="1"/>
  <c r="F1379" i="1"/>
  <c r="G1379" i="1"/>
  <c r="L1379" i="1"/>
  <c r="F1380" i="1"/>
  <c r="G1380" i="1"/>
  <c r="L1380" i="1"/>
  <c r="F1381" i="1"/>
  <c r="G1381" i="1"/>
  <c r="L1381" i="1"/>
  <c r="F1382" i="1"/>
  <c r="G1382" i="1"/>
  <c r="L1382" i="1"/>
  <c r="F1383" i="1"/>
  <c r="G1383" i="1"/>
  <c r="L1383" i="1"/>
  <c r="F1384" i="1"/>
  <c r="G1384" i="1"/>
  <c r="L1384" i="1"/>
  <c r="F1385" i="1"/>
  <c r="G1385" i="1"/>
  <c r="L1385" i="1"/>
  <c r="F1386" i="1"/>
  <c r="G1386" i="1"/>
  <c r="L1386" i="1"/>
  <c r="F1387" i="1"/>
  <c r="G1387" i="1"/>
  <c r="L1387" i="1"/>
  <c r="F1388" i="1"/>
  <c r="G1388" i="1"/>
  <c r="L1388" i="1"/>
  <c r="F1389" i="1"/>
  <c r="G1389" i="1"/>
  <c r="L1389" i="1"/>
  <c r="F1390" i="1"/>
  <c r="G1390" i="1"/>
  <c r="L1390" i="1"/>
  <c r="F1391" i="1"/>
  <c r="G1391" i="1"/>
  <c r="L1391" i="1"/>
  <c r="F1392" i="1"/>
  <c r="G1392" i="1"/>
  <c r="L1392" i="1"/>
  <c r="F1393" i="1"/>
  <c r="G1393" i="1"/>
  <c r="L1393" i="1"/>
  <c r="F1394" i="1"/>
  <c r="G1394" i="1"/>
  <c r="L1394" i="1"/>
  <c r="F1395" i="1"/>
  <c r="G1395" i="1"/>
  <c r="L1395" i="1"/>
  <c r="F1396" i="1"/>
  <c r="G1396" i="1"/>
  <c r="L1396" i="1"/>
  <c r="F1397" i="1"/>
  <c r="G1397" i="1"/>
  <c r="L1397" i="1"/>
  <c r="F1398" i="1"/>
  <c r="G1398" i="1"/>
  <c r="L1398" i="1"/>
  <c r="F1399" i="1"/>
  <c r="G1399" i="1"/>
  <c r="L1399" i="1"/>
  <c r="F1400" i="1"/>
  <c r="G1400" i="1"/>
  <c r="L1400" i="1"/>
  <c r="F1401" i="1"/>
  <c r="G1401" i="1"/>
  <c r="L1401" i="1"/>
  <c r="F1402" i="1"/>
  <c r="G1402" i="1"/>
  <c r="L1402" i="1"/>
  <c r="F1403" i="1"/>
  <c r="G1403" i="1"/>
  <c r="L1403" i="1"/>
  <c r="F1404" i="1"/>
  <c r="G1404" i="1"/>
  <c r="L1404" i="1"/>
  <c r="F1405" i="1"/>
  <c r="G1405" i="1"/>
  <c r="L1405" i="1"/>
  <c r="F1406" i="1"/>
  <c r="G1406" i="1"/>
  <c r="L1406" i="1"/>
  <c r="F1407" i="1"/>
  <c r="G1407" i="1"/>
  <c r="L1407" i="1"/>
  <c r="F1408" i="1"/>
  <c r="G1408" i="1"/>
  <c r="L1408" i="1"/>
  <c r="F1409" i="1"/>
  <c r="G1409" i="1"/>
  <c r="L1409" i="1"/>
  <c r="F1410" i="1"/>
  <c r="G1410" i="1"/>
  <c r="L1410" i="1"/>
  <c r="F1411" i="1"/>
  <c r="G1411" i="1"/>
  <c r="L1411" i="1"/>
  <c r="F1412" i="1"/>
  <c r="G1412" i="1"/>
  <c r="L1412" i="1"/>
  <c r="F1413" i="1"/>
  <c r="G1413" i="1"/>
  <c r="L1413" i="1"/>
  <c r="F1414" i="1"/>
  <c r="G1414" i="1"/>
  <c r="L1414" i="1"/>
  <c r="F1415" i="1"/>
  <c r="G1415" i="1"/>
  <c r="L1415" i="1"/>
  <c r="F1416" i="1"/>
  <c r="G1416" i="1"/>
  <c r="L1416" i="1"/>
  <c r="F1417" i="1"/>
  <c r="G1417" i="1"/>
  <c r="L1417" i="1"/>
  <c r="F1418" i="1"/>
  <c r="G1418" i="1"/>
  <c r="L1418" i="1"/>
  <c r="F1419" i="1"/>
  <c r="G1419" i="1"/>
  <c r="L1419" i="1"/>
  <c r="F1420" i="1"/>
  <c r="G1420" i="1"/>
  <c r="L1420" i="1"/>
  <c r="F1421" i="1"/>
  <c r="G1421" i="1"/>
  <c r="L1421" i="1"/>
  <c r="F1422" i="1"/>
  <c r="G1422" i="1"/>
  <c r="L1422" i="1"/>
  <c r="F1423" i="1"/>
  <c r="G1423" i="1"/>
  <c r="L1423" i="1"/>
  <c r="F1424" i="1"/>
  <c r="G1424" i="1"/>
  <c r="L1424" i="1"/>
  <c r="F1425" i="1"/>
  <c r="G1425" i="1"/>
  <c r="L1425" i="1"/>
  <c r="F1426" i="1"/>
  <c r="G1426" i="1"/>
  <c r="L1426" i="1"/>
  <c r="F1427" i="1"/>
  <c r="G1427" i="1"/>
  <c r="L1427" i="1"/>
  <c r="F1428" i="1"/>
  <c r="G1428" i="1"/>
  <c r="L1428" i="1"/>
  <c r="F1429" i="1"/>
  <c r="G1429" i="1"/>
  <c r="L1429" i="1"/>
  <c r="F1430" i="1"/>
  <c r="G1430" i="1"/>
  <c r="L1430" i="1"/>
  <c r="F1431" i="1"/>
  <c r="G1431" i="1"/>
  <c r="L1431" i="1"/>
  <c r="F1432" i="1"/>
  <c r="G1432" i="1"/>
  <c r="L1432" i="1"/>
  <c r="F1433" i="1"/>
  <c r="G1433" i="1"/>
  <c r="L1433" i="1"/>
  <c r="F1434" i="1"/>
  <c r="G1434" i="1"/>
  <c r="L1434" i="1"/>
  <c r="F1435" i="1"/>
  <c r="G1435" i="1"/>
  <c r="L1435" i="1"/>
  <c r="F1436" i="1"/>
  <c r="G1436" i="1"/>
  <c r="L1436" i="1"/>
  <c r="F1437" i="1"/>
  <c r="G1437" i="1"/>
  <c r="L1437" i="1"/>
  <c r="F1438" i="1"/>
  <c r="G1438" i="1"/>
  <c r="L1438" i="1"/>
  <c r="F1439" i="1"/>
  <c r="G1439" i="1"/>
  <c r="L1439" i="1"/>
  <c r="F1440" i="1"/>
  <c r="G1440" i="1"/>
  <c r="L1440" i="1"/>
  <c r="F1441" i="1"/>
  <c r="G1441" i="1"/>
  <c r="L1441" i="1"/>
  <c r="F1442" i="1"/>
  <c r="G1442" i="1"/>
  <c r="L1442" i="1"/>
  <c r="F1443" i="1"/>
  <c r="G1443" i="1"/>
  <c r="L1443" i="1"/>
  <c r="F1444" i="1"/>
  <c r="G1444" i="1"/>
  <c r="L1444" i="1"/>
  <c r="F1445" i="1"/>
  <c r="G1445" i="1"/>
  <c r="L1445" i="1"/>
  <c r="F1446" i="1"/>
  <c r="G1446" i="1"/>
  <c r="L1446" i="1"/>
  <c r="F1447" i="1"/>
  <c r="G1447" i="1"/>
  <c r="L1447" i="1"/>
  <c r="F1448" i="1"/>
  <c r="G1448" i="1"/>
  <c r="L1448" i="1"/>
  <c r="F1449" i="1"/>
  <c r="G1449" i="1"/>
  <c r="L1449" i="1"/>
  <c r="F1450" i="1"/>
  <c r="G1450" i="1"/>
  <c r="L1450" i="1"/>
  <c r="F1451" i="1"/>
  <c r="G1451" i="1"/>
  <c r="L1451" i="1"/>
  <c r="F1452" i="1"/>
  <c r="G1452" i="1"/>
  <c r="L1452" i="1"/>
  <c r="F1453" i="1"/>
  <c r="G1453" i="1"/>
  <c r="L1453" i="1"/>
  <c r="F1454" i="1"/>
  <c r="G1454" i="1"/>
  <c r="L1454" i="1"/>
  <c r="F1455" i="1"/>
  <c r="G1455" i="1"/>
  <c r="L1455" i="1"/>
  <c r="F1456" i="1"/>
  <c r="G1456" i="1"/>
  <c r="L1456" i="1"/>
  <c r="F1457" i="1"/>
  <c r="G1457" i="1"/>
  <c r="L1457" i="1"/>
  <c r="F1458" i="1"/>
  <c r="G1458" i="1"/>
  <c r="L1458" i="1"/>
  <c r="F1459" i="1"/>
  <c r="G1459" i="1"/>
  <c r="L1459" i="1"/>
  <c r="F1460" i="1"/>
  <c r="G1460" i="1"/>
  <c r="L1460" i="1"/>
  <c r="F1461" i="1"/>
  <c r="G1461" i="1"/>
  <c r="L1461" i="1"/>
  <c r="F1462" i="1"/>
  <c r="G1462" i="1"/>
  <c r="L1462" i="1"/>
  <c r="F1463" i="1"/>
  <c r="G1463" i="1"/>
  <c r="L1463" i="1"/>
  <c r="F1464" i="1"/>
  <c r="G1464" i="1"/>
  <c r="L1464" i="1"/>
  <c r="F1465" i="1"/>
  <c r="G1465" i="1"/>
  <c r="L1465" i="1"/>
  <c r="F1466" i="1"/>
  <c r="G1466" i="1"/>
  <c r="L1466" i="1"/>
  <c r="F1467" i="1"/>
  <c r="G1467" i="1"/>
  <c r="L1467" i="1"/>
  <c r="F1468" i="1"/>
  <c r="G1468" i="1"/>
  <c r="L1468" i="1"/>
  <c r="F1469" i="1"/>
  <c r="G1469" i="1"/>
  <c r="L1469" i="1"/>
  <c r="F1470" i="1"/>
  <c r="G1470" i="1"/>
  <c r="L1470" i="1"/>
  <c r="F1471" i="1"/>
  <c r="G1471" i="1"/>
  <c r="L1471" i="1"/>
  <c r="F1472" i="1"/>
  <c r="G1472" i="1"/>
  <c r="L1472" i="1"/>
  <c r="F1473" i="1"/>
  <c r="G1473" i="1"/>
  <c r="L1473" i="1"/>
  <c r="F1474" i="1"/>
  <c r="G1474" i="1"/>
  <c r="L1474" i="1"/>
  <c r="F1475" i="1"/>
  <c r="G1475" i="1"/>
  <c r="L1475" i="1"/>
  <c r="F1476" i="1"/>
  <c r="G1476" i="1"/>
  <c r="L1476" i="1"/>
  <c r="F1477" i="1"/>
  <c r="G1477" i="1"/>
  <c r="L1477" i="1"/>
  <c r="F1478" i="1"/>
  <c r="G1478" i="1"/>
  <c r="L1478" i="1"/>
  <c r="F1479" i="1"/>
  <c r="G1479" i="1"/>
  <c r="L1479" i="1"/>
  <c r="F1480" i="1"/>
  <c r="G1480" i="1"/>
  <c r="L1480" i="1"/>
  <c r="F1481" i="1"/>
  <c r="G1481" i="1"/>
  <c r="L1481" i="1"/>
  <c r="F1482" i="1"/>
  <c r="G1482" i="1"/>
  <c r="L1482" i="1"/>
  <c r="F1483" i="1"/>
  <c r="G1483" i="1"/>
  <c r="L1483" i="1"/>
  <c r="F1484" i="1"/>
  <c r="G1484" i="1"/>
  <c r="L1484" i="1"/>
  <c r="F1485" i="1"/>
  <c r="G1485" i="1"/>
  <c r="L1485" i="1"/>
  <c r="F1486" i="1"/>
  <c r="G1486" i="1"/>
  <c r="L1486" i="1"/>
  <c r="F1487" i="1"/>
  <c r="G1487" i="1"/>
  <c r="L1487" i="1"/>
  <c r="F1488" i="1"/>
  <c r="G1488" i="1"/>
  <c r="L1488" i="1"/>
  <c r="F1489" i="1"/>
  <c r="G1489" i="1"/>
  <c r="L1489" i="1"/>
  <c r="F1490" i="1"/>
  <c r="G1490" i="1"/>
  <c r="L1490" i="1"/>
  <c r="F1491" i="1"/>
  <c r="G1491" i="1"/>
  <c r="L1491" i="1"/>
  <c r="F1492" i="1"/>
  <c r="G1492" i="1"/>
  <c r="L1492" i="1"/>
  <c r="F1493" i="1"/>
  <c r="G1493" i="1"/>
  <c r="L1493" i="1"/>
  <c r="F1494" i="1"/>
  <c r="G1494" i="1"/>
  <c r="L1494" i="1"/>
  <c r="F1495" i="1"/>
  <c r="G1495" i="1"/>
  <c r="L1495" i="1"/>
  <c r="F1496" i="1"/>
  <c r="G1496" i="1"/>
  <c r="L1496" i="1"/>
  <c r="F1497" i="1"/>
  <c r="G1497" i="1"/>
  <c r="L1497" i="1"/>
  <c r="F1498" i="1"/>
  <c r="G1498" i="1"/>
  <c r="L1498" i="1"/>
  <c r="F1499" i="1"/>
  <c r="G1499" i="1"/>
  <c r="L1499" i="1"/>
  <c r="F1500" i="1"/>
  <c r="G1500" i="1"/>
  <c r="L1500" i="1"/>
  <c r="F1501" i="1"/>
  <c r="G1501" i="1"/>
  <c r="L1501" i="1"/>
  <c r="F1502" i="1"/>
  <c r="G1502" i="1"/>
  <c r="L1502" i="1"/>
  <c r="F1503" i="1"/>
  <c r="G1503" i="1"/>
  <c r="L1503" i="1"/>
  <c r="F1504" i="1"/>
  <c r="G1504" i="1"/>
  <c r="L1504" i="1"/>
  <c r="F1505" i="1"/>
  <c r="G1505" i="1"/>
  <c r="L1505" i="1"/>
  <c r="F1506" i="1"/>
  <c r="G1506" i="1"/>
  <c r="L1506" i="1"/>
  <c r="F1507" i="1"/>
  <c r="G1507" i="1"/>
  <c r="L1507" i="1"/>
  <c r="F1508" i="1"/>
  <c r="G1508" i="1"/>
  <c r="L1508" i="1"/>
  <c r="F1509" i="1"/>
  <c r="G1509" i="1"/>
  <c r="L1509" i="1"/>
  <c r="F1510" i="1"/>
  <c r="G1510" i="1"/>
  <c r="L1510" i="1"/>
  <c r="F1511" i="1"/>
  <c r="G1511" i="1"/>
  <c r="L1511" i="1"/>
  <c r="F1512" i="1"/>
  <c r="G1512" i="1"/>
  <c r="L1512" i="1"/>
  <c r="F1513" i="1"/>
  <c r="G1513" i="1"/>
  <c r="L1513" i="1"/>
  <c r="F1514" i="1"/>
  <c r="G1514" i="1"/>
  <c r="L1514" i="1"/>
  <c r="F1515" i="1"/>
  <c r="G1515" i="1"/>
  <c r="L1515" i="1"/>
  <c r="F1516" i="1"/>
  <c r="G1516" i="1"/>
  <c r="L1516" i="1"/>
  <c r="F1517" i="1"/>
  <c r="G1517" i="1"/>
  <c r="L1517" i="1"/>
  <c r="F1518" i="1"/>
  <c r="G1518" i="1"/>
  <c r="L1518" i="1"/>
  <c r="F1519" i="1"/>
  <c r="G1519" i="1"/>
  <c r="L1519" i="1"/>
  <c r="F1520" i="1"/>
  <c r="G1520" i="1"/>
  <c r="L1520" i="1"/>
  <c r="F1521" i="1"/>
  <c r="G1521" i="1"/>
  <c r="L1521" i="1"/>
  <c r="F1522" i="1"/>
  <c r="G1522" i="1"/>
  <c r="L1522" i="1"/>
  <c r="F1523" i="1"/>
  <c r="G1523" i="1"/>
  <c r="L1523" i="1"/>
  <c r="F1524" i="1"/>
  <c r="G1524" i="1"/>
  <c r="L1524" i="1"/>
  <c r="F1525" i="1"/>
  <c r="G1525" i="1"/>
  <c r="L1525" i="1"/>
  <c r="F1526" i="1"/>
  <c r="G1526" i="1"/>
  <c r="L1526" i="1"/>
  <c r="F1527" i="1"/>
  <c r="G1527" i="1"/>
  <c r="L1527" i="1"/>
  <c r="F1528" i="1"/>
  <c r="G1528" i="1"/>
  <c r="L1528" i="1"/>
  <c r="F1529" i="1"/>
  <c r="G1529" i="1"/>
  <c r="L1529" i="1"/>
  <c r="F1530" i="1"/>
  <c r="G1530" i="1"/>
  <c r="L1530" i="1"/>
  <c r="F1531" i="1"/>
  <c r="G1531" i="1"/>
  <c r="L1531" i="1"/>
  <c r="F1532" i="1"/>
  <c r="G1532" i="1"/>
  <c r="L1532" i="1"/>
  <c r="F1533" i="1"/>
  <c r="G1533" i="1"/>
  <c r="L1533" i="1"/>
  <c r="F1534" i="1"/>
  <c r="G1534" i="1"/>
  <c r="L1534" i="1"/>
  <c r="F1535" i="1"/>
  <c r="G1535" i="1"/>
  <c r="L1535" i="1"/>
  <c r="F1536" i="1"/>
  <c r="G1536" i="1"/>
  <c r="L1536" i="1"/>
  <c r="F1537" i="1"/>
  <c r="G1537" i="1"/>
  <c r="L1537" i="1"/>
  <c r="F1538" i="1"/>
  <c r="G1538" i="1"/>
  <c r="L1538" i="1"/>
  <c r="F1539" i="1"/>
  <c r="G1539" i="1"/>
  <c r="L1539" i="1"/>
  <c r="F1540" i="1"/>
  <c r="G1540" i="1"/>
  <c r="L1540" i="1"/>
  <c r="F1541" i="1"/>
  <c r="G1541" i="1"/>
  <c r="L1541" i="1"/>
  <c r="F1542" i="1"/>
  <c r="G1542" i="1"/>
  <c r="L1542" i="1"/>
  <c r="F1543" i="1"/>
  <c r="G1543" i="1"/>
  <c r="L1543" i="1"/>
  <c r="F1544" i="1"/>
  <c r="G1544" i="1"/>
  <c r="L1544" i="1"/>
  <c r="F1545" i="1"/>
  <c r="G1545" i="1"/>
  <c r="L1545" i="1"/>
  <c r="F1546" i="1"/>
  <c r="G1546" i="1"/>
  <c r="L1546" i="1"/>
  <c r="F1547" i="1"/>
  <c r="G1547" i="1"/>
  <c r="L1547" i="1"/>
  <c r="F1548" i="1"/>
  <c r="G1548" i="1"/>
  <c r="L1548" i="1"/>
  <c r="F1549" i="1"/>
  <c r="G1549" i="1"/>
  <c r="L1549" i="1"/>
  <c r="F1550" i="1"/>
  <c r="G1550" i="1"/>
  <c r="L1550" i="1"/>
  <c r="F1551" i="1"/>
  <c r="G1551" i="1"/>
  <c r="L1551" i="1"/>
  <c r="F1552" i="1"/>
  <c r="G1552" i="1"/>
  <c r="L1552" i="1"/>
  <c r="F1553" i="1"/>
  <c r="G1553" i="1"/>
  <c r="L1553" i="1"/>
  <c r="F1554" i="1"/>
  <c r="G1554" i="1"/>
  <c r="L1554" i="1"/>
  <c r="F1555" i="1"/>
  <c r="G1555" i="1"/>
  <c r="L1555" i="1"/>
  <c r="F1556" i="1"/>
  <c r="G1556" i="1"/>
  <c r="L1556" i="1"/>
  <c r="F1557" i="1"/>
  <c r="G1557" i="1"/>
  <c r="L1557" i="1"/>
  <c r="F1558" i="1"/>
  <c r="G1558" i="1"/>
  <c r="L1558" i="1"/>
  <c r="F1559" i="1"/>
  <c r="G1559" i="1"/>
  <c r="L1559" i="1"/>
  <c r="F1560" i="1"/>
  <c r="G1560" i="1"/>
  <c r="L1560" i="1"/>
  <c r="F1561" i="1"/>
  <c r="G1561" i="1"/>
  <c r="L1561" i="1"/>
  <c r="F1562" i="1"/>
  <c r="G1562" i="1"/>
  <c r="L1562" i="1"/>
  <c r="F1563" i="1"/>
  <c r="G1563" i="1"/>
  <c r="L1563" i="1"/>
  <c r="F1564" i="1"/>
  <c r="G1564" i="1"/>
  <c r="L1564" i="1"/>
  <c r="F1565" i="1"/>
  <c r="G1565" i="1"/>
  <c r="L1565" i="1"/>
  <c r="F1566" i="1"/>
  <c r="G1566" i="1"/>
  <c r="L1566" i="1"/>
  <c r="F1567" i="1"/>
  <c r="G1567" i="1"/>
  <c r="L1567" i="1"/>
  <c r="F1568" i="1"/>
  <c r="G1568" i="1"/>
  <c r="L1568" i="1"/>
  <c r="F1569" i="1"/>
  <c r="G1569" i="1"/>
  <c r="L1569" i="1"/>
  <c r="F1570" i="1"/>
  <c r="G1570" i="1"/>
  <c r="L1570" i="1"/>
  <c r="F1571" i="1"/>
  <c r="G1571" i="1"/>
  <c r="L1571" i="1"/>
  <c r="F1572" i="1"/>
  <c r="G1572" i="1"/>
  <c r="L1572" i="1"/>
  <c r="F1573" i="1"/>
  <c r="G1573" i="1"/>
  <c r="L1573" i="1"/>
  <c r="F1574" i="1"/>
  <c r="G1574" i="1"/>
  <c r="L1574" i="1"/>
  <c r="F1575" i="1"/>
  <c r="G1575" i="1"/>
  <c r="L1575" i="1"/>
  <c r="F1576" i="1"/>
  <c r="G1576" i="1"/>
  <c r="L1576" i="1"/>
  <c r="F1577" i="1"/>
  <c r="G1577" i="1"/>
  <c r="L1577" i="1"/>
  <c r="F1578" i="1"/>
  <c r="G1578" i="1"/>
  <c r="L1578" i="1"/>
  <c r="F1579" i="1"/>
  <c r="G1579" i="1"/>
  <c r="L1579" i="1"/>
  <c r="F1580" i="1"/>
  <c r="G1580" i="1"/>
  <c r="L1580" i="1"/>
  <c r="F1581" i="1"/>
  <c r="G1581" i="1"/>
  <c r="L1581" i="1"/>
  <c r="F1582" i="1"/>
  <c r="G1582" i="1"/>
  <c r="L1582" i="1"/>
  <c r="F1583" i="1"/>
  <c r="G1583" i="1"/>
  <c r="L1583" i="1"/>
  <c r="F1584" i="1"/>
  <c r="G1584" i="1"/>
  <c r="L1584" i="1"/>
  <c r="F1585" i="1"/>
  <c r="G1585" i="1"/>
  <c r="L1585" i="1"/>
  <c r="F1586" i="1"/>
  <c r="G1586" i="1"/>
  <c r="L1586" i="1"/>
  <c r="F1587" i="1"/>
  <c r="G1587" i="1"/>
  <c r="L1587" i="1"/>
  <c r="F1588" i="1"/>
  <c r="G1588" i="1"/>
  <c r="L1588" i="1"/>
  <c r="F1589" i="1"/>
  <c r="G1589" i="1"/>
  <c r="L1589" i="1"/>
  <c r="F1590" i="1"/>
  <c r="G1590" i="1"/>
  <c r="L1590" i="1"/>
  <c r="F1591" i="1"/>
  <c r="G1591" i="1"/>
  <c r="L1591" i="1"/>
  <c r="F1592" i="1"/>
  <c r="G1592" i="1"/>
  <c r="L1592" i="1"/>
  <c r="F1593" i="1"/>
  <c r="G1593" i="1"/>
  <c r="L1593" i="1"/>
  <c r="F1594" i="1"/>
  <c r="G1594" i="1"/>
  <c r="L1594" i="1"/>
  <c r="F1595" i="1"/>
  <c r="G1595" i="1"/>
  <c r="L1595" i="1"/>
  <c r="F1596" i="1"/>
  <c r="G1596" i="1"/>
  <c r="L1596" i="1"/>
  <c r="F1597" i="1"/>
  <c r="G1597" i="1"/>
  <c r="L1597" i="1"/>
  <c r="F1598" i="1"/>
  <c r="G1598" i="1"/>
  <c r="L1598" i="1"/>
  <c r="F1599" i="1"/>
  <c r="G1599" i="1"/>
  <c r="L1599" i="1"/>
  <c r="F1600" i="1"/>
  <c r="G1600" i="1"/>
  <c r="L1600" i="1"/>
  <c r="F1601" i="1"/>
  <c r="G1601" i="1"/>
  <c r="L1601" i="1"/>
  <c r="F1602" i="1"/>
  <c r="G1602" i="1"/>
  <c r="L1602" i="1"/>
  <c r="F1603" i="1"/>
  <c r="G1603" i="1"/>
  <c r="L1603" i="1"/>
  <c r="F1604" i="1"/>
  <c r="G1604" i="1"/>
  <c r="L1604" i="1"/>
  <c r="F1605" i="1"/>
  <c r="G1605" i="1"/>
  <c r="L1605" i="1"/>
  <c r="F1606" i="1"/>
  <c r="G1606" i="1"/>
  <c r="L1606" i="1"/>
  <c r="F1607" i="1"/>
  <c r="G1607" i="1"/>
  <c r="L1607" i="1"/>
  <c r="F1608" i="1"/>
  <c r="G1608" i="1"/>
  <c r="L1608" i="1"/>
  <c r="F1609" i="1"/>
  <c r="G1609" i="1"/>
  <c r="L1609" i="1"/>
  <c r="F1610" i="1"/>
  <c r="G1610" i="1"/>
  <c r="L1610" i="1"/>
  <c r="F1611" i="1"/>
  <c r="G1611" i="1"/>
  <c r="L1611" i="1"/>
  <c r="F1612" i="1"/>
  <c r="G1612" i="1"/>
  <c r="L1612" i="1"/>
  <c r="F1613" i="1"/>
  <c r="G1613" i="1"/>
  <c r="L1613" i="1"/>
  <c r="F1614" i="1"/>
  <c r="G1614" i="1"/>
  <c r="L1614" i="1"/>
  <c r="F1615" i="1"/>
  <c r="G1615" i="1"/>
  <c r="L1615" i="1"/>
  <c r="F1616" i="1"/>
  <c r="G1616" i="1"/>
  <c r="L1616" i="1"/>
  <c r="F1617" i="1"/>
  <c r="G1617" i="1"/>
  <c r="L1617" i="1"/>
  <c r="F1618" i="1"/>
  <c r="G1618" i="1"/>
  <c r="L1618" i="1"/>
  <c r="F1619" i="1"/>
  <c r="G1619" i="1"/>
  <c r="L1619" i="1"/>
  <c r="F1620" i="1"/>
  <c r="G1620" i="1"/>
  <c r="L1620" i="1"/>
  <c r="F1621" i="1"/>
  <c r="G1621" i="1"/>
  <c r="L1621" i="1"/>
  <c r="F1622" i="1"/>
  <c r="G1622" i="1"/>
  <c r="L1622" i="1"/>
  <c r="F1623" i="1"/>
  <c r="G1623" i="1"/>
  <c r="L1623" i="1"/>
  <c r="F1624" i="1"/>
  <c r="G1624" i="1"/>
  <c r="L1624" i="1"/>
  <c r="F1625" i="1"/>
  <c r="G1625" i="1"/>
  <c r="L1625" i="1"/>
  <c r="F1626" i="1"/>
  <c r="G1626" i="1"/>
  <c r="L1626" i="1"/>
  <c r="F1627" i="1"/>
  <c r="G1627" i="1"/>
  <c r="L1627" i="1"/>
  <c r="F1628" i="1"/>
  <c r="G1628" i="1"/>
  <c r="L1628" i="1"/>
  <c r="F1629" i="1"/>
  <c r="G1629" i="1"/>
  <c r="L1629" i="1"/>
  <c r="F1630" i="1"/>
  <c r="G1630" i="1"/>
  <c r="L1630" i="1"/>
  <c r="F1631" i="1"/>
  <c r="G1631" i="1"/>
  <c r="L1631" i="1"/>
  <c r="F1632" i="1"/>
  <c r="G1632" i="1"/>
  <c r="L1632" i="1"/>
  <c r="F1633" i="1"/>
  <c r="G1633" i="1"/>
  <c r="L1633" i="1"/>
  <c r="F1634" i="1"/>
  <c r="G1634" i="1"/>
  <c r="L1634" i="1"/>
  <c r="F1635" i="1"/>
  <c r="G1635" i="1"/>
  <c r="L1635" i="1"/>
  <c r="F1636" i="1"/>
  <c r="G1636" i="1"/>
  <c r="L1636" i="1"/>
  <c r="F1637" i="1"/>
  <c r="G1637" i="1"/>
  <c r="L1637" i="1"/>
  <c r="F1638" i="1"/>
  <c r="G1638" i="1"/>
  <c r="L1638" i="1"/>
  <c r="F1639" i="1"/>
  <c r="G1639" i="1"/>
  <c r="L1639" i="1"/>
  <c r="F1640" i="1"/>
  <c r="G1640" i="1"/>
  <c r="L1640" i="1"/>
  <c r="F1641" i="1"/>
  <c r="G1641" i="1"/>
  <c r="L1641" i="1"/>
  <c r="F1642" i="1"/>
  <c r="G1642" i="1"/>
  <c r="L1642" i="1"/>
  <c r="F1643" i="1"/>
  <c r="G1643" i="1"/>
  <c r="L1643" i="1"/>
  <c r="F1644" i="1"/>
  <c r="G1644" i="1"/>
  <c r="L1644" i="1"/>
  <c r="F1645" i="1"/>
  <c r="G1645" i="1"/>
  <c r="L1645" i="1"/>
  <c r="F1646" i="1"/>
  <c r="G1646" i="1"/>
  <c r="L1646" i="1"/>
  <c r="F1647" i="1"/>
  <c r="G1647" i="1"/>
  <c r="L1647" i="1"/>
  <c r="F1648" i="1"/>
  <c r="G1648" i="1"/>
  <c r="L1648" i="1"/>
  <c r="F1649" i="1"/>
  <c r="G1649" i="1"/>
  <c r="L1649" i="1"/>
  <c r="F1650" i="1"/>
  <c r="G1650" i="1"/>
  <c r="L1650" i="1"/>
  <c r="F1651" i="1"/>
  <c r="G1651" i="1"/>
  <c r="L1651" i="1"/>
  <c r="F1652" i="1"/>
  <c r="G1652" i="1"/>
  <c r="L1652" i="1"/>
  <c r="F1653" i="1"/>
  <c r="G1653" i="1"/>
  <c r="L1653" i="1"/>
  <c r="F1654" i="1"/>
  <c r="G1654" i="1"/>
  <c r="L1654" i="1"/>
  <c r="F1655" i="1"/>
  <c r="G1655" i="1"/>
  <c r="L1655" i="1"/>
  <c r="F1656" i="1"/>
  <c r="G1656" i="1"/>
  <c r="L1656" i="1"/>
  <c r="F1657" i="1"/>
  <c r="G1657" i="1"/>
  <c r="L1657" i="1"/>
  <c r="F1658" i="1"/>
  <c r="G1658" i="1"/>
  <c r="L1658" i="1"/>
  <c r="F1659" i="1"/>
  <c r="G1659" i="1"/>
  <c r="L1659" i="1"/>
  <c r="F1660" i="1"/>
  <c r="G1660" i="1"/>
  <c r="L1660" i="1"/>
  <c r="F1661" i="1"/>
  <c r="G1661" i="1"/>
  <c r="L1661" i="1"/>
  <c r="F1662" i="1"/>
  <c r="G1662" i="1"/>
  <c r="L1662" i="1"/>
  <c r="F1663" i="1"/>
  <c r="G1663" i="1"/>
  <c r="L1663" i="1"/>
  <c r="F1664" i="1"/>
  <c r="G1664" i="1"/>
  <c r="L1664" i="1"/>
  <c r="F1665" i="1"/>
  <c r="G1665" i="1"/>
  <c r="L1665" i="1"/>
  <c r="F1666" i="1"/>
  <c r="G1666" i="1"/>
  <c r="L1666" i="1"/>
  <c r="F1667" i="1"/>
  <c r="G1667" i="1"/>
  <c r="L1667" i="1"/>
  <c r="F1668" i="1"/>
  <c r="G1668" i="1"/>
  <c r="L1668" i="1"/>
  <c r="F1669" i="1"/>
  <c r="G1669" i="1"/>
  <c r="L1669" i="1"/>
  <c r="F1670" i="1"/>
  <c r="G1670" i="1"/>
  <c r="L1670" i="1"/>
  <c r="F1671" i="1"/>
  <c r="G1671" i="1"/>
  <c r="L1671" i="1"/>
  <c r="F1672" i="1"/>
  <c r="G1672" i="1"/>
  <c r="L1672" i="1"/>
  <c r="F1673" i="1"/>
  <c r="G1673" i="1"/>
  <c r="L1673" i="1"/>
  <c r="F1674" i="1"/>
  <c r="G1674" i="1"/>
  <c r="L1674" i="1"/>
  <c r="F1675" i="1"/>
  <c r="G1675" i="1"/>
  <c r="L1675" i="1"/>
  <c r="F1676" i="1"/>
  <c r="G1676" i="1"/>
  <c r="L1676" i="1"/>
  <c r="F1677" i="1"/>
  <c r="G1677" i="1"/>
  <c r="L1677" i="1"/>
  <c r="F1678" i="1"/>
  <c r="G1678" i="1"/>
  <c r="L1678" i="1"/>
  <c r="F1679" i="1"/>
  <c r="G1679" i="1"/>
  <c r="L1679" i="1"/>
  <c r="F1680" i="1"/>
  <c r="G1680" i="1"/>
  <c r="L1680" i="1"/>
  <c r="F1681" i="1"/>
  <c r="G1681" i="1"/>
  <c r="L1681" i="1"/>
  <c r="F1682" i="1"/>
  <c r="G1682" i="1"/>
  <c r="L1682" i="1"/>
  <c r="F1683" i="1"/>
  <c r="G1683" i="1"/>
  <c r="L1683" i="1"/>
  <c r="F1684" i="1"/>
  <c r="G1684" i="1"/>
  <c r="L1684" i="1"/>
  <c r="F1685" i="1"/>
  <c r="G1685" i="1"/>
  <c r="L1685" i="1"/>
  <c r="F1686" i="1"/>
  <c r="G1686" i="1"/>
  <c r="L1686" i="1"/>
  <c r="F1687" i="1"/>
  <c r="G1687" i="1"/>
  <c r="L1687" i="1"/>
  <c r="F1688" i="1"/>
  <c r="G1688" i="1"/>
  <c r="L1688" i="1"/>
  <c r="F1689" i="1"/>
  <c r="G1689" i="1"/>
  <c r="L1689" i="1"/>
  <c r="F1690" i="1"/>
  <c r="G1690" i="1"/>
  <c r="L1690" i="1"/>
  <c r="F1691" i="1"/>
  <c r="G1691" i="1"/>
  <c r="L1691" i="1"/>
  <c r="F1692" i="1"/>
  <c r="G1692" i="1"/>
  <c r="L1692" i="1"/>
  <c r="F1693" i="1"/>
  <c r="G1693" i="1"/>
  <c r="L1693" i="1"/>
  <c r="F1694" i="1"/>
  <c r="G1694" i="1"/>
  <c r="L1694" i="1"/>
  <c r="F1695" i="1"/>
  <c r="G1695" i="1"/>
  <c r="L1695" i="1"/>
  <c r="F1696" i="1"/>
  <c r="G1696" i="1"/>
  <c r="L1696" i="1"/>
  <c r="F1697" i="1"/>
  <c r="G1697" i="1"/>
  <c r="L1697" i="1"/>
  <c r="F1698" i="1"/>
  <c r="G1698" i="1"/>
  <c r="L1698" i="1"/>
  <c r="F1699" i="1"/>
  <c r="G1699" i="1"/>
  <c r="L1699" i="1"/>
  <c r="F1700" i="1"/>
  <c r="G1700" i="1"/>
  <c r="L1700" i="1"/>
  <c r="F1701" i="1"/>
  <c r="G1701" i="1"/>
  <c r="L1701" i="1"/>
  <c r="F1702" i="1"/>
  <c r="G1702" i="1"/>
  <c r="L1702" i="1"/>
  <c r="F1703" i="1"/>
  <c r="G1703" i="1"/>
  <c r="L1703" i="1"/>
  <c r="F1704" i="1"/>
  <c r="G1704" i="1"/>
  <c r="L1704" i="1"/>
  <c r="F1705" i="1"/>
  <c r="G1705" i="1"/>
  <c r="L1705" i="1"/>
  <c r="F1706" i="1"/>
  <c r="G1706" i="1"/>
  <c r="L1706" i="1"/>
  <c r="F1707" i="1"/>
  <c r="G1707" i="1"/>
  <c r="L1707" i="1"/>
  <c r="F1708" i="1"/>
  <c r="G1708" i="1"/>
  <c r="L1708" i="1"/>
  <c r="F1709" i="1"/>
  <c r="G1709" i="1"/>
  <c r="L1709" i="1"/>
  <c r="F1710" i="1"/>
  <c r="G1710" i="1"/>
  <c r="L1710" i="1"/>
  <c r="F1711" i="1"/>
  <c r="G1711" i="1"/>
  <c r="L1711" i="1"/>
  <c r="F1712" i="1"/>
  <c r="G1712" i="1"/>
  <c r="L1712" i="1"/>
  <c r="F1713" i="1"/>
  <c r="G1713" i="1"/>
  <c r="L1713" i="1"/>
  <c r="F1714" i="1"/>
  <c r="G1714" i="1"/>
  <c r="L1714" i="1"/>
  <c r="F1715" i="1"/>
  <c r="G1715" i="1"/>
  <c r="L1715" i="1"/>
  <c r="F1716" i="1"/>
  <c r="G1716" i="1"/>
  <c r="L1716" i="1"/>
  <c r="F1717" i="1"/>
  <c r="G1717" i="1"/>
  <c r="L1717" i="1"/>
  <c r="F1718" i="1"/>
  <c r="G1718" i="1"/>
  <c r="L1718" i="1"/>
  <c r="F1719" i="1"/>
  <c r="G1719" i="1"/>
  <c r="L1719" i="1"/>
  <c r="F1720" i="1"/>
  <c r="G1720" i="1"/>
  <c r="L1720" i="1"/>
  <c r="F1721" i="1"/>
  <c r="G1721" i="1"/>
  <c r="L1721" i="1"/>
  <c r="F1722" i="1"/>
  <c r="G1722" i="1"/>
  <c r="L1722" i="1"/>
  <c r="F1723" i="1"/>
  <c r="G1723" i="1"/>
  <c r="L1723" i="1"/>
  <c r="F1724" i="1"/>
  <c r="G1724" i="1"/>
  <c r="L1724" i="1"/>
  <c r="F1725" i="1"/>
  <c r="G1725" i="1"/>
  <c r="L1725" i="1"/>
  <c r="F1726" i="1"/>
  <c r="G1726" i="1"/>
  <c r="L1726" i="1"/>
  <c r="F1727" i="1"/>
  <c r="G1727" i="1"/>
  <c r="L1727" i="1"/>
  <c r="F1728" i="1"/>
  <c r="G1728" i="1"/>
  <c r="L1728" i="1"/>
  <c r="F1729" i="1"/>
  <c r="G1729" i="1"/>
  <c r="L1729" i="1"/>
  <c r="F1730" i="1"/>
  <c r="G1730" i="1"/>
  <c r="L1730" i="1"/>
  <c r="F1731" i="1"/>
  <c r="G1731" i="1"/>
  <c r="L1731" i="1"/>
  <c r="F1732" i="1"/>
  <c r="G1732" i="1"/>
  <c r="L1732" i="1"/>
  <c r="F1733" i="1"/>
  <c r="G1733" i="1"/>
  <c r="L1733" i="1"/>
  <c r="F1734" i="1"/>
  <c r="G1734" i="1"/>
  <c r="L1734" i="1"/>
  <c r="F1735" i="1"/>
  <c r="G1735" i="1"/>
  <c r="L1735" i="1"/>
  <c r="F1736" i="1"/>
  <c r="G1736" i="1"/>
  <c r="L1736" i="1"/>
  <c r="F1737" i="1"/>
  <c r="G1737" i="1"/>
  <c r="L1737" i="1"/>
  <c r="F1738" i="1"/>
  <c r="G1738" i="1"/>
  <c r="L1738" i="1"/>
  <c r="F1739" i="1"/>
  <c r="G1739" i="1"/>
  <c r="L1739" i="1"/>
  <c r="F1740" i="1"/>
  <c r="G1740" i="1"/>
  <c r="L1740" i="1"/>
  <c r="F1741" i="1"/>
  <c r="G1741" i="1"/>
  <c r="L1741" i="1"/>
  <c r="F1742" i="1"/>
  <c r="G1742" i="1"/>
  <c r="L1742" i="1"/>
  <c r="F1743" i="1"/>
  <c r="G1743" i="1"/>
  <c r="L1743" i="1"/>
  <c r="F1744" i="1"/>
  <c r="G1744" i="1"/>
  <c r="L1744" i="1"/>
  <c r="F1745" i="1"/>
  <c r="G1745" i="1"/>
  <c r="L1745" i="1"/>
  <c r="F1746" i="1"/>
  <c r="G1746" i="1"/>
  <c r="L1746" i="1"/>
  <c r="F1747" i="1"/>
  <c r="G1747" i="1"/>
  <c r="L1747" i="1"/>
  <c r="F1748" i="1"/>
  <c r="G1748" i="1"/>
  <c r="L1748" i="1"/>
  <c r="F1749" i="1"/>
  <c r="G1749" i="1"/>
  <c r="L1749" i="1"/>
  <c r="F1750" i="1"/>
  <c r="G1750" i="1"/>
  <c r="L1750" i="1"/>
  <c r="F1751" i="1"/>
  <c r="G1751" i="1"/>
  <c r="L1751" i="1"/>
  <c r="F1752" i="1"/>
  <c r="G1752" i="1"/>
  <c r="L1752" i="1"/>
  <c r="F1753" i="1"/>
  <c r="G1753" i="1"/>
  <c r="L1753" i="1"/>
  <c r="F1754" i="1"/>
  <c r="G1754" i="1"/>
  <c r="L1754" i="1"/>
  <c r="F1755" i="1"/>
  <c r="G1755" i="1"/>
  <c r="L1755" i="1"/>
  <c r="F1756" i="1"/>
  <c r="G1756" i="1"/>
  <c r="L1756" i="1"/>
  <c r="F1757" i="1"/>
  <c r="G1757" i="1"/>
  <c r="L1757" i="1"/>
  <c r="F1758" i="1"/>
  <c r="G1758" i="1"/>
  <c r="L1758" i="1"/>
  <c r="F1759" i="1"/>
  <c r="G1759" i="1"/>
  <c r="L1759" i="1"/>
  <c r="F1760" i="1"/>
  <c r="G1760" i="1"/>
  <c r="L1760" i="1"/>
  <c r="F1761" i="1"/>
  <c r="G1761" i="1"/>
  <c r="L1761" i="1"/>
  <c r="F1762" i="1"/>
  <c r="G1762" i="1"/>
  <c r="L1762" i="1"/>
  <c r="F1763" i="1"/>
  <c r="G1763" i="1"/>
  <c r="L1763" i="1"/>
  <c r="F1764" i="1"/>
  <c r="G1764" i="1"/>
  <c r="L1764" i="1"/>
  <c r="F1765" i="1"/>
  <c r="G1765" i="1"/>
  <c r="L1765" i="1"/>
  <c r="F1766" i="1"/>
  <c r="G1766" i="1"/>
  <c r="L1766" i="1"/>
  <c r="F1767" i="1"/>
  <c r="G1767" i="1"/>
  <c r="L1767" i="1"/>
  <c r="F1768" i="1"/>
  <c r="G1768" i="1"/>
  <c r="L1768" i="1"/>
  <c r="F1769" i="1"/>
  <c r="G1769" i="1"/>
  <c r="L1769" i="1"/>
  <c r="F1770" i="1"/>
  <c r="G1770" i="1"/>
  <c r="L1770" i="1"/>
  <c r="F1771" i="1"/>
  <c r="G1771" i="1"/>
  <c r="L1771" i="1"/>
  <c r="F1772" i="1"/>
  <c r="G1772" i="1"/>
  <c r="L1772" i="1"/>
  <c r="F1773" i="1"/>
  <c r="G1773" i="1"/>
  <c r="L1773" i="1"/>
  <c r="F1774" i="1"/>
  <c r="G1774" i="1"/>
  <c r="L1774" i="1"/>
  <c r="F1775" i="1"/>
  <c r="G1775" i="1"/>
  <c r="L1775" i="1"/>
  <c r="F1776" i="1"/>
  <c r="G1776" i="1"/>
  <c r="L1776" i="1"/>
  <c r="F1777" i="1"/>
  <c r="G1777" i="1"/>
  <c r="L1777" i="1"/>
  <c r="F1778" i="1"/>
  <c r="G1778" i="1"/>
  <c r="L1778" i="1"/>
  <c r="F1779" i="1"/>
  <c r="G1779" i="1"/>
  <c r="L1779" i="1"/>
  <c r="F1780" i="1"/>
  <c r="G1780" i="1"/>
  <c r="L1780" i="1"/>
  <c r="F1781" i="1"/>
  <c r="G1781" i="1"/>
  <c r="L1781" i="1"/>
  <c r="F1782" i="1"/>
  <c r="G1782" i="1"/>
  <c r="L1782" i="1"/>
  <c r="F1783" i="1"/>
  <c r="G1783" i="1"/>
  <c r="L1783" i="1"/>
  <c r="F1784" i="1"/>
  <c r="G1784" i="1"/>
  <c r="L1784" i="1"/>
  <c r="F1785" i="1"/>
  <c r="G1785" i="1"/>
  <c r="L1785" i="1"/>
  <c r="F1786" i="1"/>
  <c r="G1786" i="1"/>
  <c r="L1786" i="1"/>
  <c r="F1787" i="1"/>
  <c r="G1787" i="1"/>
  <c r="L1787" i="1"/>
  <c r="F1788" i="1"/>
  <c r="G1788" i="1"/>
  <c r="L1788" i="1"/>
  <c r="F1789" i="1"/>
  <c r="G1789" i="1"/>
  <c r="L1789" i="1"/>
  <c r="F1790" i="1"/>
  <c r="G1790" i="1"/>
  <c r="L1790" i="1"/>
  <c r="F1791" i="1"/>
  <c r="G1791" i="1"/>
  <c r="L1791" i="1"/>
  <c r="F1792" i="1"/>
  <c r="G1792" i="1"/>
  <c r="L1792" i="1"/>
  <c r="F1793" i="1"/>
  <c r="G1793" i="1"/>
  <c r="L1793" i="1"/>
  <c r="F1794" i="1"/>
  <c r="G1794" i="1"/>
  <c r="L1794" i="1"/>
  <c r="F1795" i="1"/>
  <c r="G1795" i="1"/>
  <c r="L1795" i="1"/>
  <c r="F1796" i="1"/>
  <c r="G1796" i="1"/>
  <c r="L1796" i="1"/>
  <c r="F1797" i="1"/>
  <c r="G1797" i="1"/>
  <c r="L1797" i="1"/>
  <c r="F1798" i="1"/>
  <c r="G1798" i="1"/>
  <c r="L1798" i="1"/>
  <c r="F1799" i="1"/>
  <c r="G1799" i="1"/>
  <c r="L1799" i="1"/>
  <c r="F1800" i="1"/>
  <c r="G1800" i="1"/>
  <c r="L1800" i="1"/>
  <c r="F1801" i="1"/>
  <c r="G1801" i="1"/>
  <c r="L1801" i="1"/>
  <c r="F1802" i="1"/>
  <c r="G1802" i="1"/>
  <c r="L1802" i="1"/>
  <c r="F1803" i="1"/>
  <c r="G1803" i="1"/>
  <c r="L1803" i="1"/>
  <c r="F1804" i="1"/>
  <c r="G1804" i="1"/>
  <c r="L1804" i="1"/>
  <c r="F1805" i="1"/>
  <c r="G1805" i="1"/>
  <c r="L1805" i="1"/>
  <c r="F1806" i="1"/>
  <c r="G1806" i="1"/>
  <c r="L1806" i="1"/>
  <c r="F1807" i="1"/>
  <c r="G1807" i="1"/>
  <c r="L1807" i="1"/>
  <c r="F1808" i="1"/>
  <c r="G1808" i="1"/>
  <c r="L1808" i="1"/>
  <c r="F1809" i="1"/>
  <c r="G1809" i="1"/>
  <c r="L1809" i="1"/>
  <c r="F1810" i="1"/>
  <c r="G1810" i="1"/>
  <c r="L1810" i="1"/>
  <c r="F1811" i="1"/>
  <c r="G1811" i="1"/>
  <c r="L1811" i="1"/>
  <c r="F1812" i="1"/>
  <c r="G1812" i="1"/>
  <c r="L1812" i="1"/>
  <c r="F1813" i="1"/>
  <c r="G1813" i="1"/>
  <c r="L1813" i="1"/>
  <c r="F1814" i="1"/>
  <c r="G1814" i="1"/>
  <c r="L1814" i="1"/>
  <c r="F1815" i="1"/>
  <c r="G1815" i="1"/>
  <c r="L1815" i="1"/>
  <c r="F1816" i="1"/>
  <c r="G1816" i="1"/>
  <c r="L1816" i="1"/>
  <c r="F1817" i="1"/>
  <c r="G1817" i="1"/>
  <c r="L1817" i="1"/>
  <c r="F1818" i="1"/>
  <c r="G1818" i="1"/>
  <c r="L1818" i="1"/>
  <c r="F1819" i="1"/>
  <c r="G1819" i="1"/>
  <c r="L1819" i="1"/>
  <c r="F1820" i="1"/>
  <c r="G1820" i="1"/>
  <c r="L1820" i="1"/>
  <c r="F1821" i="1"/>
  <c r="G1821" i="1"/>
  <c r="L1821" i="1"/>
  <c r="F1822" i="1"/>
  <c r="G1822" i="1"/>
  <c r="L1822" i="1"/>
  <c r="F1823" i="1"/>
  <c r="G1823" i="1"/>
  <c r="L1823" i="1"/>
  <c r="F1824" i="1"/>
  <c r="G1824" i="1"/>
  <c r="L1824" i="1"/>
  <c r="F1825" i="1"/>
  <c r="G1825" i="1"/>
  <c r="L1825" i="1"/>
  <c r="F1826" i="1"/>
  <c r="G1826" i="1"/>
  <c r="L1826" i="1"/>
  <c r="F1827" i="1"/>
  <c r="G1827" i="1"/>
  <c r="L1827" i="1"/>
  <c r="F1828" i="1"/>
  <c r="G1828" i="1"/>
  <c r="L1828" i="1"/>
  <c r="F1829" i="1"/>
  <c r="G1829" i="1"/>
  <c r="L1829" i="1"/>
  <c r="F1830" i="1"/>
  <c r="G1830" i="1"/>
  <c r="L1830" i="1"/>
  <c r="F1831" i="1"/>
  <c r="G1831" i="1"/>
  <c r="L1831" i="1"/>
  <c r="F1832" i="1"/>
  <c r="G1832" i="1"/>
  <c r="L1832" i="1"/>
  <c r="F1833" i="1"/>
  <c r="G1833" i="1"/>
  <c r="L1833" i="1"/>
  <c r="F1834" i="1"/>
  <c r="G1834" i="1"/>
  <c r="L1834" i="1"/>
  <c r="F1835" i="1"/>
  <c r="G1835" i="1"/>
  <c r="L1835" i="1"/>
  <c r="F1836" i="1"/>
  <c r="G1836" i="1"/>
  <c r="L1836" i="1"/>
  <c r="F1837" i="1"/>
  <c r="G1837" i="1"/>
  <c r="L1837" i="1"/>
  <c r="F1838" i="1"/>
  <c r="G1838" i="1"/>
  <c r="L1838" i="1"/>
  <c r="F1839" i="1"/>
  <c r="G1839" i="1"/>
  <c r="L1839" i="1"/>
  <c r="F1840" i="1"/>
  <c r="G1840" i="1"/>
  <c r="L1840" i="1"/>
  <c r="F1841" i="1"/>
  <c r="G1841" i="1"/>
  <c r="L1841" i="1"/>
  <c r="F1842" i="1"/>
  <c r="G1842" i="1"/>
  <c r="L1842" i="1"/>
  <c r="F1843" i="1"/>
  <c r="G1843" i="1"/>
  <c r="L1843" i="1"/>
  <c r="F1844" i="1"/>
  <c r="G1844" i="1"/>
  <c r="L1844" i="1"/>
  <c r="F1845" i="1"/>
  <c r="G1845" i="1"/>
  <c r="L1845" i="1"/>
  <c r="F1846" i="1"/>
  <c r="G1846" i="1"/>
  <c r="L1846" i="1"/>
  <c r="F1847" i="1"/>
  <c r="G1847" i="1"/>
  <c r="L1847" i="1"/>
  <c r="F1848" i="1"/>
  <c r="G1848" i="1"/>
  <c r="L1848" i="1"/>
  <c r="F1849" i="1"/>
  <c r="G1849" i="1"/>
  <c r="L1849" i="1"/>
  <c r="F1850" i="1"/>
  <c r="G1850" i="1"/>
  <c r="L1850" i="1"/>
  <c r="F1851" i="1"/>
  <c r="G1851" i="1"/>
  <c r="L1851" i="1"/>
  <c r="F1852" i="1"/>
  <c r="G1852" i="1"/>
  <c r="L1852" i="1"/>
  <c r="F1853" i="1"/>
  <c r="G1853" i="1"/>
  <c r="L1853" i="1"/>
  <c r="F1854" i="1"/>
  <c r="G1854" i="1"/>
  <c r="L1854" i="1"/>
  <c r="F1855" i="1"/>
  <c r="G1855" i="1"/>
  <c r="L1855" i="1"/>
  <c r="F1856" i="1"/>
  <c r="G1856" i="1"/>
  <c r="L1856" i="1"/>
  <c r="F1857" i="1"/>
  <c r="G1857" i="1"/>
  <c r="L1857" i="1"/>
  <c r="F1858" i="1"/>
  <c r="G1858" i="1"/>
  <c r="L1858" i="1"/>
  <c r="F1859" i="1"/>
  <c r="G1859" i="1"/>
  <c r="L1859" i="1"/>
  <c r="F1860" i="1"/>
  <c r="G1860" i="1"/>
  <c r="L1860" i="1"/>
  <c r="F1861" i="1"/>
  <c r="G1861" i="1"/>
  <c r="L1861" i="1"/>
  <c r="F1862" i="1"/>
  <c r="G1862" i="1"/>
  <c r="L1862" i="1"/>
  <c r="F1863" i="1"/>
  <c r="G1863" i="1"/>
  <c r="L1863" i="1"/>
  <c r="F1864" i="1"/>
  <c r="G1864" i="1"/>
  <c r="L1864" i="1"/>
  <c r="F1865" i="1"/>
  <c r="G1865" i="1"/>
  <c r="L1865" i="1"/>
  <c r="F1866" i="1"/>
  <c r="G1866" i="1"/>
  <c r="L1866" i="1"/>
  <c r="F1867" i="1"/>
  <c r="G1867" i="1"/>
  <c r="L1867" i="1"/>
  <c r="F1868" i="1"/>
  <c r="G1868" i="1"/>
  <c r="L1868" i="1"/>
  <c r="F1869" i="1"/>
  <c r="G1869" i="1"/>
  <c r="L1869" i="1"/>
  <c r="F1870" i="1"/>
  <c r="G1870" i="1"/>
  <c r="L1870" i="1"/>
  <c r="F1871" i="1"/>
  <c r="G1871" i="1"/>
  <c r="L1871" i="1"/>
  <c r="F1872" i="1"/>
  <c r="G1872" i="1"/>
  <c r="L1872" i="1"/>
  <c r="F1873" i="1"/>
  <c r="G1873" i="1"/>
  <c r="L1873" i="1"/>
  <c r="F1874" i="1"/>
  <c r="G1874" i="1"/>
  <c r="L1874" i="1"/>
  <c r="F1875" i="1"/>
  <c r="G1875" i="1"/>
  <c r="L1875" i="1"/>
  <c r="F1876" i="1"/>
  <c r="G1876" i="1"/>
  <c r="L1876" i="1"/>
  <c r="F1877" i="1"/>
  <c r="G1877" i="1"/>
  <c r="L1877" i="1"/>
  <c r="F1878" i="1"/>
  <c r="G1878" i="1"/>
  <c r="L1878" i="1"/>
  <c r="F1879" i="1"/>
  <c r="G1879" i="1"/>
  <c r="L1879" i="1"/>
  <c r="F1880" i="1"/>
  <c r="G1880" i="1"/>
  <c r="L1880" i="1"/>
  <c r="F1881" i="1"/>
  <c r="G1881" i="1"/>
  <c r="L1881" i="1"/>
  <c r="F1882" i="1"/>
  <c r="G1882" i="1"/>
  <c r="L1882" i="1"/>
  <c r="F1883" i="1"/>
  <c r="G1883" i="1"/>
  <c r="L1883" i="1"/>
  <c r="F1884" i="1"/>
  <c r="G1884" i="1"/>
  <c r="L1884" i="1"/>
  <c r="F1885" i="1"/>
  <c r="G1885" i="1"/>
  <c r="L1885" i="1"/>
  <c r="F1886" i="1"/>
  <c r="G1886" i="1"/>
  <c r="L1886" i="1"/>
  <c r="F1887" i="1"/>
  <c r="G1887" i="1"/>
  <c r="L1887" i="1"/>
  <c r="F1888" i="1"/>
  <c r="G1888" i="1"/>
  <c r="L1888" i="1"/>
  <c r="F1889" i="1"/>
  <c r="G1889" i="1"/>
  <c r="L1889" i="1"/>
  <c r="F1890" i="1"/>
  <c r="G1890" i="1"/>
  <c r="L1890" i="1"/>
  <c r="F1891" i="1"/>
  <c r="G1891" i="1"/>
  <c r="L1891" i="1"/>
  <c r="F1892" i="1"/>
  <c r="G1892" i="1"/>
  <c r="L1892" i="1"/>
  <c r="F1893" i="1"/>
  <c r="G1893" i="1"/>
  <c r="L1893" i="1"/>
  <c r="F1894" i="1"/>
  <c r="G1894" i="1"/>
  <c r="L1894" i="1"/>
  <c r="F1895" i="1"/>
  <c r="G1895" i="1"/>
  <c r="L1895" i="1"/>
  <c r="F1896" i="1"/>
  <c r="G1896" i="1"/>
  <c r="L1896" i="1"/>
  <c r="F1897" i="1"/>
  <c r="G1897" i="1"/>
  <c r="L1897" i="1"/>
  <c r="F1898" i="1"/>
  <c r="G1898" i="1"/>
  <c r="L1898" i="1"/>
  <c r="F1899" i="1"/>
  <c r="G1899" i="1"/>
  <c r="L1899" i="1"/>
  <c r="F1900" i="1"/>
  <c r="G1900" i="1"/>
  <c r="L1900" i="1"/>
  <c r="F1901" i="1"/>
  <c r="G1901" i="1"/>
  <c r="L1901" i="1"/>
  <c r="F1902" i="1"/>
  <c r="G1902" i="1"/>
  <c r="L1902" i="1"/>
  <c r="F1903" i="1"/>
  <c r="G1903" i="1"/>
  <c r="L1903" i="1"/>
  <c r="F1904" i="1"/>
  <c r="G1904" i="1"/>
  <c r="L1904" i="1"/>
  <c r="F1905" i="1"/>
  <c r="G1905" i="1"/>
  <c r="L1905" i="1"/>
  <c r="F1906" i="1"/>
  <c r="G1906" i="1"/>
  <c r="L1906" i="1"/>
  <c r="F1907" i="1"/>
  <c r="G1907" i="1"/>
  <c r="L1907" i="1"/>
  <c r="F1908" i="1"/>
  <c r="G1908" i="1"/>
  <c r="L1908" i="1"/>
  <c r="F1909" i="1"/>
  <c r="G1909" i="1"/>
  <c r="L1909" i="1"/>
  <c r="F1910" i="1"/>
  <c r="G1910" i="1"/>
  <c r="L1910" i="1"/>
  <c r="F1911" i="1"/>
  <c r="G1911" i="1"/>
  <c r="L1911" i="1"/>
  <c r="F1912" i="1"/>
  <c r="G1912" i="1"/>
  <c r="L1912" i="1"/>
  <c r="F1913" i="1"/>
  <c r="G1913" i="1"/>
  <c r="L1913" i="1"/>
  <c r="F1914" i="1"/>
  <c r="G1914" i="1"/>
  <c r="L1914" i="1"/>
  <c r="F1915" i="1"/>
  <c r="G1915" i="1"/>
  <c r="L1915" i="1"/>
  <c r="F1916" i="1"/>
  <c r="G1916" i="1"/>
  <c r="L1916" i="1"/>
  <c r="F1917" i="1"/>
  <c r="G1917" i="1"/>
  <c r="L1917" i="1"/>
  <c r="F1918" i="1"/>
  <c r="G1918" i="1"/>
  <c r="L1918" i="1"/>
  <c r="F1919" i="1"/>
  <c r="G1919" i="1"/>
  <c r="L1919" i="1"/>
  <c r="F1920" i="1"/>
  <c r="G1920" i="1"/>
  <c r="L1920" i="1"/>
  <c r="F1921" i="1"/>
  <c r="G1921" i="1"/>
  <c r="L1921" i="1"/>
  <c r="F1922" i="1"/>
  <c r="G1922" i="1"/>
  <c r="L1922" i="1"/>
  <c r="F1923" i="1"/>
  <c r="G1923" i="1"/>
  <c r="L1923" i="1"/>
  <c r="F1924" i="1"/>
  <c r="G1924" i="1"/>
  <c r="L1924" i="1"/>
  <c r="F1925" i="1"/>
  <c r="G1925" i="1"/>
  <c r="L1925" i="1"/>
  <c r="F1926" i="1"/>
  <c r="G1926" i="1"/>
  <c r="L1926" i="1"/>
  <c r="F1927" i="1"/>
  <c r="G1927" i="1"/>
  <c r="L1927" i="1"/>
  <c r="F1928" i="1"/>
  <c r="G1928" i="1"/>
  <c r="L1928" i="1"/>
  <c r="F1929" i="1"/>
  <c r="G1929" i="1"/>
  <c r="L1929" i="1"/>
  <c r="F1930" i="1"/>
  <c r="G1930" i="1"/>
  <c r="L1930" i="1"/>
  <c r="F1931" i="1"/>
  <c r="G1931" i="1"/>
  <c r="L1931" i="1"/>
  <c r="F1932" i="1"/>
  <c r="G1932" i="1"/>
  <c r="L1932" i="1"/>
  <c r="F1933" i="1"/>
  <c r="G1933" i="1"/>
  <c r="L1933" i="1"/>
  <c r="F1934" i="1"/>
  <c r="G1934" i="1"/>
  <c r="L1934" i="1"/>
  <c r="F1935" i="1"/>
  <c r="G1935" i="1"/>
  <c r="L1935" i="1"/>
  <c r="F1936" i="1"/>
  <c r="G1936" i="1"/>
  <c r="L1936" i="1"/>
  <c r="F1937" i="1"/>
  <c r="G1937" i="1"/>
  <c r="L1937" i="1"/>
  <c r="F1938" i="1"/>
  <c r="G1938" i="1"/>
  <c r="L1938" i="1"/>
  <c r="F1939" i="1"/>
  <c r="G1939" i="1"/>
  <c r="L1939" i="1"/>
  <c r="F1940" i="1"/>
  <c r="G1940" i="1"/>
  <c r="L1940" i="1"/>
  <c r="F1941" i="1"/>
  <c r="G1941" i="1"/>
  <c r="L1941" i="1"/>
  <c r="F1942" i="1"/>
  <c r="G1942" i="1"/>
  <c r="L1942" i="1"/>
  <c r="F1943" i="1"/>
  <c r="G1943" i="1"/>
  <c r="L1943" i="1"/>
  <c r="F1944" i="1"/>
  <c r="G1944" i="1"/>
  <c r="L1944" i="1"/>
  <c r="F1945" i="1"/>
  <c r="G1945" i="1"/>
  <c r="L1945" i="1"/>
  <c r="F1946" i="1"/>
  <c r="G1946" i="1"/>
  <c r="L1946" i="1"/>
  <c r="F1947" i="1"/>
  <c r="G1947" i="1"/>
  <c r="L1947" i="1"/>
  <c r="F1948" i="1"/>
  <c r="G1948" i="1"/>
  <c r="L1948" i="1"/>
  <c r="F1949" i="1"/>
  <c r="G1949" i="1"/>
  <c r="L1949" i="1"/>
  <c r="F1950" i="1"/>
  <c r="G1950" i="1"/>
  <c r="L1950" i="1"/>
  <c r="F1951" i="1"/>
  <c r="G1951" i="1"/>
  <c r="L1951" i="1"/>
  <c r="F1952" i="1"/>
  <c r="G1952" i="1"/>
  <c r="L1952" i="1"/>
  <c r="F1953" i="1"/>
  <c r="G1953" i="1"/>
  <c r="L1953" i="1"/>
  <c r="F1954" i="1"/>
  <c r="G1954" i="1"/>
  <c r="L1954" i="1"/>
  <c r="F1955" i="1"/>
  <c r="G1955" i="1"/>
  <c r="L1955" i="1"/>
  <c r="F1956" i="1"/>
  <c r="G1956" i="1"/>
  <c r="L1956" i="1"/>
  <c r="F1957" i="1"/>
  <c r="G1957" i="1"/>
  <c r="L1957" i="1"/>
  <c r="F1958" i="1"/>
  <c r="G1958" i="1"/>
  <c r="L1958" i="1"/>
  <c r="F1959" i="1"/>
  <c r="G1959" i="1"/>
  <c r="L1959" i="1"/>
  <c r="F1960" i="1"/>
  <c r="G1960" i="1"/>
  <c r="L1960" i="1"/>
  <c r="F1961" i="1"/>
  <c r="G1961" i="1"/>
  <c r="L1961" i="1"/>
  <c r="F1962" i="1"/>
  <c r="G1962" i="1"/>
  <c r="L1962" i="1"/>
  <c r="F1963" i="1"/>
  <c r="G1963" i="1"/>
  <c r="L1963" i="1"/>
  <c r="F1964" i="1"/>
  <c r="G1964" i="1"/>
  <c r="L1964" i="1"/>
  <c r="F1965" i="1"/>
  <c r="G1965" i="1"/>
  <c r="L1965" i="1"/>
  <c r="F1966" i="1"/>
  <c r="G1966" i="1"/>
  <c r="L1966" i="1"/>
  <c r="F1967" i="1"/>
  <c r="G1967" i="1"/>
  <c r="L1967" i="1"/>
  <c r="F1968" i="1"/>
  <c r="G1968" i="1"/>
  <c r="L1968" i="1"/>
  <c r="F1969" i="1"/>
  <c r="G1969" i="1"/>
  <c r="L1969" i="1"/>
  <c r="F1970" i="1"/>
  <c r="G1970" i="1"/>
  <c r="L1970" i="1"/>
  <c r="F1971" i="1"/>
  <c r="G1971" i="1"/>
  <c r="L1971" i="1"/>
  <c r="F1972" i="1"/>
  <c r="G1972" i="1"/>
  <c r="L1972" i="1"/>
  <c r="F1973" i="1"/>
  <c r="G1973" i="1"/>
  <c r="L1973" i="1"/>
  <c r="F1974" i="1"/>
  <c r="G1974" i="1"/>
  <c r="L1974" i="1"/>
  <c r="F1975" i="1"/>
  <c r="G1975" i="1"/>
  <c r="L1975" i="1"/>
  <c r="F1976" i="1"/>
  <c r="G1976" i="1"/>
  <c r="L1976" i="1"/>
  <c r="F1977" i="1"/>
  <c r="G1977" i="1"/>
  <c r="L1977" i="1"/>
  <c r="F1978" i="1"/>
  <c r="G1978" i="1"/>
  <c r="L1978" i="1"/>
  <c r="F1979" i="1"/>
  <c r="G1979" i="1"/>
  <c r="L1979" i="1"/>
  <c r="F1980" i="1"/>
  <c r="G1980" i="1"/>
  <c r="L1980" i="1"/>
  <c r="F1981" i="1"/>
  <c r="G1981" i="1"/>
  <c r="L1981" i="1"/>
  <c r="F1982" i="1"/>
  <c r="G1982" i="1"/>
  <c r="L1982" i="1"/>
  <c r="F1983" i="1"/>
  <c r="G1983" i="1"/>
  <c r="L1983" i="1"/>
  <c r="F1984" i="1"/>
  <c r="G1984" i="1"/>
  <c r="L1984" i="1"/>
  <c r="F1985" i="1"/>
  <c r="G1985" i="1"/>
  <c r="L1985" i="1"/>
  <c r="F1986" i="1"/>
  <c r="G1986" i="1"/>
  <c r="L1986" i="1"/>
  <c r="F1987" i="1"/>
  <c r="G1987" i="1"/>
  <c r="L1987" i="1"/>
  <c r="F1988" i="1"/>
  <c r="G1988" i="1"/>
  <c r="L1988" i="1"/>
  <c r="F1989" i="1"/>
  <c r="G1989" i="1"/>
  <c r="L1989" i="1"/>
  <c r="F1990" i="1"/>
  <c r="G1990" i="1"/>
  <c r="L1990" i="1"/>
  <c r="F1991" i="1"/>
  <c r="G1991" i="1"/>
  <c r="L1991" i="1"/>
  <c r="F1992" i="1"/>
  <c r="G1992" i="1"/>
  <c r="L1992" i="1"/>
  <c r="F1993" i="1"/>
  <c r="G1993" i="1"/>
  <c r="L1993" i="1"/>
  <c r="F1994" i="1"/>
  <c r="G1994" i="1"/>
  <c r="L1994" i="1"/>
  <c r="F1995" i="1"/>
  <c r="G1995" i="1"/>
  <c r="L1995" i="1"/>
  <c r="F1996" i="1"/>
  <c r="G1996" i="1"/>
  <c r="L1996" i="1"/>
  <c r="F1997" i="1"/>
  <c r="G1997" i="1"/>
  <c r="L1997" i="1"/>
  <c r="F1998" i="1"/>
  <c r="G1998" i="1"/>
  <c r="L1998" i="1"/>
  <c r="F1999" i="1"/>
  <c r="G1999" i="1"/>
  <c r="L1999" i="1"/>
  <c r="F2000" i="1"/>
  <c r="G2000" i="1"/>
  <c r="L2000" i="1"/>
  <c r="F2001" i="1"/>
  <c r="G2001" i="1"/>
  <c r="L2001" i="1"/>
  <c r="F2002" i="1"/>
  <c r="G2002" i="1"/>
  <c r="L2002" i="1"/>
  <c r="F2003" i="1"/>
  <c r="G2003" i="1"/>
  <c r="L2003" i="1"/>
  <c r="F2004" i="1"/>
  <c r="G2004" i="1"/>
  <c r="L2004" i="1"/>
  <c r="F2005" i="1"/>
  <c r="G2005" i="1"/>
  <c r="L2005" i="1"/>
  <c r="F2006" i="1"/>
  <c r="G2006" i="1"/>
  <c r="L2006" i="1"/>
  <c r="F2007" i="1"/>
  <c r="G2007" i="1"/>
  <c r="L2007" i="1"/>
  <c r="F2008" i="1"/>
  <c r="G2008" i="1"/>
  <c r="L2008" i="1"/>
  <c r="F2009" i="1"/>
  <c r="G2009" i="1"/>
  <c r="L2009" i="1"/>
  <c r="F2010" i="1"/>
  <c r="G2010" i="1"/>
  <c r="L2010" i="1"/>
  <c r="F2011" i="1"/>
  <c r="G2011" i="1"/>
  <c r="L2011" i="1"/>
  <c r="F2012" i="1"/>
  <c r="G2012" i="1"/>
  <c r="L2012" i="1"/>
  <c r="F2013" i="1"/>
  <c r="G2013" i="1"/>
  <c r="L2013" i="1"/>
  <c r="F2014" i="1"/>
  <c r="G2014" i="1"/>
  <c r="L2014" i="1"/>
  <c r="F2015" i="1"/>
  <c r="G2015" i="1"/>
  <c r="L2015" i="1"/>
  <c r="F2016" i="1"/>
  <c r="G2016" i="1"/>
  <c r="L2016" i="1"/>
  <c r="F2017" i="1"/>
  <c r="G2017" i="1"/>
  <c r="L2017" i="1"/>
  <c r="F2018" i="1"/>
  <c r="G2018" i="1"/>
  <c r="L2018" i="1"/>
  <c r="F2019" i="1"/>
  <c r="G2019" i="1"/>
  <c r="L2019" i="1"/>
  <c r="F2020" i="1"/>
  <c r="G2020" i="1"/>
  <c r="L2020" i="1"/>
  <c r="F2021" i="1"/>
  <c r="G2021" i="1"/>
  <c r="L2021" i="1"/>
  <c r="F2022" i="1"/>
  <c r="G2022" i="1"/>
  <c r="L2022" i="1"/>
  <c r="F2023" i="1"/>
  <c r="G2023" i="1"/>
  <c r="L2023" i="1"/>
  <c r="F2024" i="1"/>
  <c r="G2024" i="1"/>
  <c r="L2024" i="1"/>
  <c r="F2025" i="1"/>
  <c r="G2025" i="1"/>
  <c r="L2025" i="1"/>
  <c r="F2026" i="1"/>
  <c r="G2026" i="1"/>
  <c r="L2026" i="1"/>
  <c r="F2027" i="1"/>
  <c r="G2027" i="1"/>
  <c r="L2027" i="1"/>
  <c r="F2028" i="1"/>
  <c r="G2028" i="1"/>
  <c r="L2028" i="1"/>
  <c r="F2029" i="1"/>
  <c r="G2029" i="1"/>
  <c r="L2029" i="1"/>
  <c r="F2030" i="1"/>
  <c r="G2030" i="1"/>
  <c r="L2030" i="1"/>
  <c r="F2031" i="1"/>
  <c r="G2031" i="1"/>
  <c r="L2031" i="1"/>
  <c r="F2032" i="1"/>
  <c r="G2032" i="1"/>
  <c r="L2032" i="1"/>
  <c r="F2033" i="1"/>
  <c r="G2033" i="1"/>
  <c r="L2033" i="1"/>
  <c r="F2034" i="1"/>
  <c r="G2034" i="1"/>
  <c r="L2034" i="1"/>
  <c r="F2035" i="1"/>
  <c r="G2035" i="1"/>
  <c r="L2035" i="1"/>
  <c r="F2036" i="1"/>
  <c r="G2036" i="1"/>
  <c r="L2036" i="1"/>
  <c r="F2037" i="1"/>
  <c r="G2037" i="1"/>
  <c r="L2037" i="1"/>
  <c r="F2038" i="1"/>
  <c r="G2038" i="1"/>
  <c r="L2038" i="1"/>
  <c r="F2039" i="1"/>
  <c r="G2039" i="1"/>
  <c r="L2039" i="1"/>
  <c r="F2040" i="1"/>
  <c r="G2040" i="1"/>
  <c r="L2040" i="1"/>
  <c r="F2041" i="1"/>
  <c r="G2041" i="1"/>
  <c r="L2041" i="1"/>
  <c r="F2042" i="1"/>
  <c r="G2042" i="1"/>
  <c r="L2042" i="1"/>
  <c r="F2043" i="1"/>
  <c r="G2043" i="1"/>
  <c r="L2043" i="1"/>
  <c r="F2044" i="1"/>
  <c r="G2044" i="1"/>
  <c r="L2044" i="1"/>
  <c r="F2045" i="1"/>
  <c r="G2045" i="1"/>
  <c r="L2045" i="1"/>
  <c r="F2046" i="1"/>
  <c r="G2046" i="1"/>
  <c r="L2046" i="1"/>
  <c r="F2047" i="1"/>
  <c r="G2047" i="1"/>
  <c r="L2047" i="1"/>
  <c r="F2048" i="1"/>
  <c r="G2048" i="1"/>
  <c r="L2048" i="1"/>
  <c r="F2049" i="1"/>
  <c r="G2049" i="1"/>
  <c r="L2049" i="1"/>
  <c r="F2050" i="1"/>
  <c r="G2050" i="1"/>
  <c r="L2050" i="1"/>
  <c r="F2051" i="1"/>
  <c r="G2051" i="1"/>
  <c r="L2051" i="1"/>
  <c r="F2052" i="1"/>
  <c r="G2052" i="1"/>
  <c r="L2052" i="1"/>
  <c r="F2053" i="1"/>
  <c r="G2053" i="1"/>
  <c r="L2053" i="1"/>
  <c r="F2054" i="1"/>
  <c r="G2054" i="1"/>
  <c r="L2054" i="1"/>
  <c r="F2055" i="1"/>
  <c r="G2055" i="1"/>
  <c r="L2055" i="1"/>
  <c r="F2056" i="1"/>
  <c r="G2056" i="1"/>
  <c r="L2056" i="1"/>
  <c r="F2057" i="1"/>
  <c r="G2057" i="1"/>
  <c r="L2057" i="1"/>
  <c r="F2058" i="1"/>
  <c r="G2058" i="1"/>
  <c r="L2058" i="1"/>
  <c r="F2059" i="1"/>
  <c r="G2059" i="1"/>
  <c r="L2059" i="1"/>
  <c r="F2060" i="1"/>
  <c r="G2060" i="1"/>
  <c r="L2060" i="1"/>
  <c r="F2061" i="1"/>
  <c r="G2061" i="1"/>
  <c r="L2061" i="1"/>
  <c r="F2062" i="1"/>
  <c r="G2062" i="1"/>
  <c r="L2062" i="1"/>
  <c r="F2063" i="1"/>
  <c r="G2063" i="1"/>
  <c r="L2063" i="1"/>
  <c r="F2064" i="1"/>
  <c r="G2064" i="1"/>
  <c r="L2064" i="1"/>
  <c r="F2065" i="1"/>
  <c r="G2065" i="1"/>
  <c r="L2065" i="1"/>
  <c r="F2066" i="1"/>
  <c r="G2066" i="1"/>
  <c r="L2066" i="1"/>
  <c r="F2067" i="1"/>
  <c r="G2067" i="1"/>
  <c r="L2067" i="1"/>
  <c r="F2068" i="1"/>
  <c r="G2068" i="1"/>
  <c r="L2068" i="1"/>
  <c r="F2069" i="1"/>
  <c r="G2069" i="1"/>
  <c r="L2069" i="1"/>
  <c r="F2070" i="1"/>
  <c r="G2070" i="1"/>
  <c r="L2070" i="1"/>
  <c r="F2071" i="1"/>
  <c r="G2071" i="1"/>
  <c r="L2071" i="1"/>
  <c r="F2072" i="1"/>
  <c r="G2072" i="1"/>
  <c r="L2072" i="1"/>
  <c r="F2073" i="1"/>
  <c r="G2073" i="1"/>
  <c r="L2073" i="1"/>
  <c r="F2074" i="1"/>
  <c r="G2074" i="1"/>
  <c r="L2074" i="1"/>
  <c r="F2075" i="1"/>
  <c r="G2075" i="1"/>
  <c r="L2075" i="1"/>
  <c r="F2076" i="1"/>
  <c r="G2076" i="1"/>
  <c r="L2076" i="1"/>
  <c r="F2077" i="1"/>
  <c r="G2077" i="1"/>
  <c r="L2077" i="1"/>
  <c r="F2078" i="1"/>
  <c r="G2078" i="1"/>
  <c r="L2078" i="1"/>
  <c r="F2079" i="1"/>
  <c r="G2079" i="1"/>
  <c r="L2079" i="1"/>
  <c r="F2080" i="1"/>
  <c r="G2080" i="1"/>
  <c r="L2080" i="1"/>
  <c r="F2081" i="1"/>
  <c r="G2081" i="1"/>
  <c r="L2081" i="1"/>
  <c r="F2082" i="1"/>
  <c r="G2082" i="1"/>
  <c r="L2082" i="1"/>
  <c r="F2083" i="1"/>
  <c r="G2083" i="1"/>
  <c r="L2083" i="1"/>
  <c r="F2084" i="1"/>
  <c r="G2084" i="1"/>
  <c r="L2084" i="1"/>
  <c r="F2085" i="1"/>
  <c r="G2085" i="1"/>
  <c r="L2085" i="1"/>
  <c r="F2086" i="1"/>
  <c r="G2086" i="1"/>
  <c r="L2086" i="1"/>
  <c r="F2087" i="1"/>
  <c r="G2087" i="1"/>
  <c r="L2087" i="1"/>
  <c r="F2088" i="1"/>
  <c r="G2088" i="1"/>
  <c r="L2088" i="1"/>
  <c r="F2089" i="1"/>
  <c r="G2089" i="1"/>
  <c r="L2089" i="1"/>
  <c r="F2090" i="1"/>
  <c r="G2090" i="1"/>
  <c r="L2090" i="1"/>
  <c r="F2091" i="1"/>
  <c r="G2091" i="1"/>
  <c r="L2091" i="1"/>
  <c r="F2092" i="1"/>
  <c r="G2092" i="1"/>
  <c r="L2092" i="1"/>
  <c r="F2093" i="1"/>
  <c r="G2093" i="1"/>
  <c r="L2093" i="1"/>
  <c r="F2094" i="1"/>
  <c r="G2094" i="1"/>
  <c r="L2094" i="1"/>
  <c r="F2095" i="1"/>
  <c r="G2095" i="1"/>
  <c r="L2095" i="1"/>
  <c r="F2096" i="1"/>
  <c r="G2096" i="1"/>
  <c r="L2096" i="1"/>
  <c r="F2097" i="1"/>
  <c r="G2097" i="1"/>
  <c r="L2097" i="1"/>
  <c r="F2098" i="1"/>
  <c r="G2098" i="1"/>
  <c r="L2098" i="1"/>
  <c r="F2099" i="1"/>
  <c r="G2099" i="1"/>
  <c r="L2099" i="1"/>
  <c r="F2100" i="1"/>
  <c r="G2100" i="1"/>
  <c r="L2100" i="1"/>
  <c r="F2101" i="1"/>
  <c r="G2101" i="1"/>
  <c r="L2101" i="1"/>
  <c r="F2102" i="1"/>
  <c r="G2102" i="1"/>
  <c r="L2102" i="1"/>
  <c r="F2103" i="1"/>
  <c r="G2103" i="1"/>
  <c r="L2103" i="1"/>
  <c r="F2104" i="1"/>
  <c r="G2104" i="1"/>
  <c r="L2104" i="1"/>
  <c r="F2105" i="1"/>
  <c r="G2105" i="1"/>
  <c r="L2105" i="1"/>
  <c r="F2106" i="1"/>
  <c r="G2106" i="1"/>
  <c r="L2106" i="1"/>
  <c r="F2107" i="1"/>
  <c r="G2107" i="1"/>
  <c r="L2107" i="1"/>
  <c r="F2108" i="1"/>
  <c r="G2108" i="1"/>
  <c r="L2108" i="1"/>
  <c r="F2109" i="1"/>
  <c r="G2109" i="1"/>
  <c r="L2109" i="1"/>
  <c r="F2110" i="1"/>
  <c r="G2110" i="1"/>
  <c r="L2110" i="1"/>
  <c r="F2111" i="1"/>
  <c r="G2111" i="1"/>
  <c r="L2111" i="1"/>
  <c r="F2112" i="1"/>
  <c r="G2112" i="1"/>
  <c r="L2112" i="1"/>
  <c r="F2113" i="1"/>
  <c r="G2113" i="1"/>
  <c r="L2113" i="1"/>
  <c r="F2114" i="1"/>
  <c r="G2114" i="1"/>
  <c r="L2114" i="1"/>
  <c r="F2115" i="1"/>
  <c r="G2115" i="1"/>
  <c r="L2115" i="1"/>
  <c r="F2116" i="1"/>
  <c r="G2116" i="1"/>
  <c r="L2116" i="1"/>
  <c r="F2117" i="1"/>
  <c r="G2117" i="1"/>
  <c r="L2117" i="1"/>
  <c r="F2118" i="1"/>
  <c r="G2118" i="1"/>
  <c r="L2118" i="1"/>
  <c r="F2119" i="1"/>
  <c r="G2119" i="1"/>
  <c r="L2119" i="1"/>
  <c r="F2120" i="1"/>
  <c r="G2120" i="1"/>
  <c r="L2120" i="1"/>
  <c r="F2121" i="1"/>
  <c r="G2121" i="1"/>
  <c r="L2121" i="1"/>
  <c r="F2122" i="1"/>
  <c r="G2122" i="1"/>
  <c r="L2122" i="1"/>
  <c r="F2123" i="1"/>
  <c r="G2123" i="1"/>
  <c r="L2123" i="1"/>
  <c r="F2124" i="1"/>
  <c r="G2124" i="1"/>
  <c r="L2124" i="1"/>
  <c r="F2125" i="1"/>
  <c r="G2125" i="1"/>
  <c r="L2125" i="1"/>
  <c r="F2126" i="1"/>
  <c r="G2126" i="1"/>
  <c r="L2126" i="1"/>
  <c r="F2127" i="1"/>
  <c r="G2127" i="1"/>
  <c r="L2127" i="1"/>
  <c r="F2128" i="1"/>
  <c r="G2128" i="1"/>
  <c r="L2128" i="1"/>
  <c r="F2129" i="1"/>
  <c r="G2129" i="1"/>
  <c r="L2129" i="1"/>
  <c r="F2130" i="1"/>
  <c r="G2130" i="1"/>
  <c r="L2130" i="1"/>
  <c r="F2131" i="1"/>
  <c r="G2131" i="1"/>
  <c r="L2131" i="1"/>
  <c r="F2132" i="1"/>
  <c r="G2132" i="1"/>
  <c r="L2132" i="1"/>
  <c r="F2133" i="1"/>
  <c r="G2133" i="1"/>
  <c r="L2133" i="1"/>
  <c r="F2134" i="1"/>
  <c r="G2134" i="1"/>
  <c r="L2134" i="1"/>
  <c r="F2135" i="1"/>
  <c r="G2135" i="1"/>
  <c r="L2135" i="1"/>
  <c r="F2136" i="1"/>
  <c r="G2136" i="1"/>
  <c r="L2136" i="1"/>
  <c r="F2137" i="1"/>
  <c r="G2137" i="1"/>
  <c r="L2137" i="1"/>
  <c r="F2138" i="1"/>
  <c r="G2138" i="1"/>
  <c r="L2138" i="1"/>
  <c r="F2139" i="1"/>
  <c r="G2139" i="1"/>
  <c r="L2139" i="1"/>
  <c r="F2140" i="1"/>
  <c r="G2140" i="1"/>
  <c r="L2140" i="1"/>
  <c r="F2141" i="1"/>
  <c r="G2141" i="1"/>
  <c r="L2141" i="1"/>
  <c r="F2142" i="1"/>
  <c r="G2142" i="1"/>
  <c r="L2142" i="1"/>
  <c r="F2143" i="1"/>
  <c r="G2143" i="1"/>
  <c r="L2143" i="1"/>
  <c r="F2144" i="1"/>
  <c r="G2144" i="1"/>
  <c r="L2144" i="1"/>
  <c r="F2145" i="1"/>
  <c r="G2145" i="1"/>
  <c r="L2145" i="1"/>
  <c r="F2146" i="1"/>
  <c r="G2146" i="1"/>
  <c r="L2146" i="1"/>
  <c r="F2147" i="1"/>
  <c r="G2147" i="1"/>
  <c r="L2147" i="1"/>
  <c r="F2148" i="1"/>
  <c r="G2148" i="1"/>
  <c r="L2148" i="1"/>
  <c r="F2149" i="1"/>
  <c r="G2149" i="1"/>
  <c r="L2149" i="1"/>
  <c r="F2150" i="1"/>
  <c r="G2150" i="1"/>
  <c r="L2150" i="1"/>
  <c r="F2151" i="1"/>
  <c r="G2151" i="1"/>
  <c r="L2151" i="1"/>
  <c r="F2152" i="1"/>
  <c r="G2152" i="1"/>
  <c r="L2152" i="1"/>
  <c r="F2153" i="1"/>
  <c r="G2153" i="1"/>
  <c r="L2153" i="1"/>
  <c r="F2154" i="1"/>
  <c r="G2154" i="1"/>
  <c r="L2154" i="1"/>
  <c r="F2155" i="1"/>
  <c r="G2155" i="1"/>
  <c r="L2155" i="1"/>
  <c r="F2156" i="1"/>
  <c r="G2156" i="1"/>
  <c r="L2156" i="1"/>
  <c r="F2157" i="1"/>
  <c r="G2157" i="1"/>
  <c r="L2157" i="1"/>
  <c r="F2158" i="1"/>
  <c r="G2158" i="1"/>
  <c r="L2158" i="1"/>
  <c r="F2159" i="1"/>
  <c r="G2159" i="1"/>
  <c r="L2159" i="1"/>
  <c r="F2160" i="1"/>
  <c r="G2160" i="1"/>
  <c r="L2160" i="1"/>
  <c r="F2161" i="1"/>
  <c r="G2161" i="1"/>
  <c r="L2161" i="1"/>
  <c r="F2162" i="1"/>
  <c r="G2162" i="1"/>
  <c r="L2162" i="1"/>
  <c r="F2163" i="1"/>
  <c r="G2163" i="1"/>
  <c r="L2163" i="1"/>
  <c r="F2164" i="1"/>
  <c r="G2164" i="1"/>
  <c r="L2164" i="1"/>
  <c r="F2165" i="1"/>
  <c r="G2165" i="1"/>
  <c r="L2165" i="1"/>
  <c r="F2166" i="1"/>
  <c r="G2166" i="1"/>
  <c r="L2166" i="1"/>
  <c r="F2167" i="1"/>
  <c r="G2167" i="1"/>
  <c r="L2167" i="1"/>
  <c r="F2168" i="1"/>
  <c r="G2168" i="1"/>
  <c r="L2168" i="1"/>
  <c r="F2169" i="1"/>
  <c r="G2169" i="1"/>
  <c r="L2169" i="1"/>
  <c r="F2170" i="1"/>
  <c r="G2170" i="1"/>
  <c r="L2170" i="1"/>
  <c r="F2171" i="1"/>
  <c r="G2171" i="1"/>
  <c r="L2171" i="1"/>
  <c r="F2172" i="1"/>
  <c r="G2172" i="1"/>
  <c r="L2172" i="1"/>
  <c r="F2173" i="1"/>
  <c r="G2173" i="1"/>
  <c r="L2173" i="1"/>
  <c r="F2174" i="1"/>
  <c r="G2174" i="1"/>
  <c r="L2174" i="1"/>
  <c r="F2175" i="1"/>
  <c r="G2175" i="1"/>
  <c r="L2175" i="1"/>
  <c r="F2176" i="1"/>
  <c r="G2176" i="1"/>
  <c r="L2176" i="1"/>
  <c r="F2177" i="1"/>
  <c r="G2177" i="1"/>
  <c r="L2177" i="1"/>
  <c r="F2178" i="1"/>
  <c r="G2178" i="1"/>
  <c r="L2178" i="1"/>
  <c r="F2179" i="1"/>
  <c r="G2179" i="1"/>
  <c r="L2179" i="1"/>
  <c r="F2180" i="1"/>
  <c r="G2180" i="1"/>
  <c r="L2180" i="1"/>
  <c r="F2181" i="1"/>
  <c r="G2181" i="1"/>
  <c r="L2181" i="1"/>
  <c r="F2182" i="1"/>
  <c r="G2182" i="1"/>
  <c r="L2182" i="1"/>
  <c r="F2183" i="1"/>
  <c r="G2183" i="1"/>
  <c r="L2183" i="1"/>
  <c r="F2184" i="1"/>
  <c r="G2184" i="1"/>
  <c r="L2184" i="1"/>
  <c r="F2185" i="1"/>
  <c r="G2185" i="1"/>
  <c r="L2185" i="1"/>
  <c r="F2186" i="1"/>
  <c r="G2186" i="1"/>
  <c r="L2186" i="1"/>
  <c r="F2187" i="1"/>
  <c r="G2187" i="1"/>
  <c r="L2187" i="1"/>
  <c r="F2188" i="1"/>
  <c r="G2188" i="1"/>
  <c r="L2188" i="1"/>
  <c r="F2189" i="1"/>
  <c r="G2189" i="1"/>
  <c r="L2189" i="1"/>
  <c r="F2190" i="1"/>
  <c r="G2190" i="1"/>
  <c r="L2190" i="1"/>
  <c r="F2191" i="1"/>
  <c r="G2191" i="1"/>
  <c r="L2191" i="1"/>
  <c r="F2192" i="1"/>
  <c r="G2192" i="1"/>
  <c r="L2192" i="1"/>
  <c r="F2193" i="1"/>
  <c r="G2193" i="1"/>
  <c r="L2193" i="1"/>
  <c r="F2194" i="1"/>
  <c r="G2194" i="1"/>
  <c r="L2194" i="1"/>
  <c r="F2195" i="1"/>
  <c r="G2195" i="1"/>
  <c r="L2195" i="1"/>
  <c r="F2196" i="1"/>
  <c r="G2196" i="1"/>
  <c r="L2196" i="1"/>
  <c r="F2197" i="1"/>
  <c r="G2197" i="1"/>
  <c r="L2197" i="1"/>
  <c r="F2198" i="1"/>
  <c r="G2198" i="1"/>
  <c r="L2198" i="1"/>
  <c r="F2199" i="1"/>
  <c r="G2199" i="1"/>
  <c r="L2199" i="1"/>
  <c r="F2200" i="1"/>
  <c r="G2200" i="1"/>
  <c r="L2200" i="1"/>
  <c r="F2201" i="1"/>
  <c r="G2201" i="1"/>
  <c r="L2201" i="1"/>
  <c r="F2202" i="1"/>
  <c r="G2202" i="1"/>
  <c r="L2202" i="1"/>
  <c r="F2203" i="1"/>
  <c r="G2203" i="1"/>
  <c r="L2203" i="1"/>
  <c r="F2204" i="1"/>
  <c r="G2204" i="1"/>
  <c r="L2204" i="1"/>
  <c r="F2205" i="1"/>
  <c r="G2205" i="1"/>
  <c r="L2205" i="1"/>
  <c r="F2206" i="1"/>
  <c r="G2206" i="1"/>
  <c r="L2206" i="1"/>
  <c r="F2207" i="1"/>
  <c r="G2207" i="1"/>
  <c r="L2207" i="1"/>
  <c r="F2208" i="1"/>
  <c r="G2208" i="1"/>
  <c r="L2208" i="1"/>
  <c r="F2209" i="1"/>
  <c r="G2209" i="1"/>
  <c r="L2209" i="1"/>
  <c r="F2210" i="1"/>
  <c r="G2210" i="1"/>
  <c r="L2210" i="1"/>
  <c r="F2211" i="1"/>
  <c r="G2211" i="1"/>
  <c r="L2211" i="1"/>
  <c r="F2212" i="1"/>
  <c r="G2212" i="1"/>
  <c r="L2212" i="1"/>
  <c r="F2213" i="1"/>
  <c r="G2213" i="1"/>
  <c r="L2213" i="1"/>
  <c r="F2214" i="1"/>
  <c r="G2214" i="1"/>
  <c r="L2214" i="1"/>
  <c r="F2215" i="1"/>
  <c r="G2215" i="1"/>
  <c r="L2215" i="1"/>
  <c r="F2216" i="1"/>
  <c r="G2216" i="1"/>
  <c r="L2216" i="1"/>
  <c r="F2217" i="1"/>
  <c r="G2217" i="1"/>
  <c r="L2217" i="1"/>
  <c r="F2218" i="1"/>
  <c r="G2218" i="1"/>
  <c r="L2218" i="1"/>
  <c r="F2219" i="1"/>
  <c r="G2219" i="1"/>
  <c r="L2219" i="1"/>
  <c r="F2220" i="1"/>
  <c r="G2220" i="1"/>
  <c r="L2220" i="1"/>
  <c r="F2221" i="1"/>
  <c r="G2221" i="1"/>
  <c r="L2221" i="1"/>
  <c r="F2222" i="1"/>
  <c r="G2222" i="1"/>
  <c r="L2222" i="1"/>
  <c r="F2223" i="1"/>
  <c r="G2223" i="1"/>
  <c r="L2223" i="1"/>
  <c r="F2224" i="1"/>
  <c r="G2224" i="1"/>
  <c r="L2224" i="1"/>
  <c r="F2225" i="1"/>
  <c r="G2225" i="1"/>
  <c r="L2225" i="1"/>
  <c r="F2226" i="1"/>
  <c r="G2226" i="1"/>
  <c r="L2226" i="1"/>
  <c r="F2227" i="1"/>
  <c r="G2227" i="1"/>
  <c r="L2227" i="1"/>
  <c r="F2228" i="1"/>
  <c r="G2228" i="1"/>
  <c r="L2228" i="1"/>
  <c r="F2229" i="1"/>
  <c r="G2229" i="1"/>
  <c r="L2229" i="1"/>
  <c r="F2230" i="1"/>
  <c r="G2230" i="1"/>
  <c r="L2230" i="1"/>
  <c r="F2231" i="1"/>
  <c r="G2231" i="1"/>
  <c r="L2231" i="1"/>
  <c r="F2232" i="1"/>
  <c r="G2232" i="1"/>
  <c r="L2232" i="1"/>
  <c r="F2233" i="1"/>
  <c r="G2233" i="1"/>
  <c r="L2233" i="1"/>
  <c r="F2234" i="1"/>
  <c r="G2234" i="1"/>
  <c r="L2234" i="1"/>
  <c r="F2235" i="1"/>
  <c r="G2235" i="1"/>
  <c r="L2235" i="1"/>
  <c r="F2236" i="1"/>
  <c r="G2236" i="1"/>
  <c r="L2236" i="1"/>
  <c r="F2237" i="1"/>
  <c r="G2237" i="1"/>
  <c r="L2237" i="1"/>
  <c r="F2238" i="1"/>
  <c r="G2238" i="1"/>
  <c r="L2238" i="1"/>
  <c r="F2239" i="1"/>
  <c r="G2239" i="1"/>
  <c r="L2239" i="1"/>
  <c r="F2240" i="1"/>
  <c r="G2240" i="1"/>
  <c r="L2240" i="1"/>
  <c r="F2241" i="1"/>
  <c r="G2241" i="1"/>
  <c r="L2241" i="1"/>
  <c r="F2242" i="1"/>
  <c r="G2242" i="1"/>
  <c r="L2242" i="1"/>
  <c r="F2243" i="1"/>
  <c r="G2243" i="1"/>
  <c r="L2243" i="1"/>
  <c r="F2244" i="1"/>
  <c r="G2244" i="1"/>
  <c r="L2244" i="1"/>
  <c r="F2245" i="1"/>
  <c r="G2245" i="1"/>
  <c r="L2245" i="1"/>
  <c r="F2246" i="1"/>
  <c r="G2246" i="1"/>
  <c r="L2246" i="1"/>
  <c r="F2247" i="1"/>
  <c r="G2247" i="1"/>
  <c r="L2247" i="1"/>
  <c r="F2248" i="1"/>
  <c r="G2248" i="1"/>
  <c r="L2248" i="1"/>
  <c r="F2249" i="1"/>
  <c r="G2249" i="1"/>
  <c r="L2249" i="1"/>
  <c r="F2250" i="1"/>
  <c r="G2250" i="1"/>
  <c r="L2250" i="1"/>
  <c r="F2251" i="1"/>
  <c r="G2251" i="1"/>
  <c r="L2251" i="1"/>
  <c r="F2252" i="1"/>
  <c r="G2252" i="1"/>
  <c r="L2252" i="1"/>
  <c r="F2253" i="1"/>
  <c r="G2253" i="1"/>
  <c r="L2253" i="1"/>
  <c r="F2254" i="1"/>
  <c r="G2254" i="1"/>
  <c r="L2254" i="1"/>
  <c r="F2255" i="1"/>
  <c r="G2255" i="1"/>
  <c r="L2255" i="1"/>
  <c r="F2256" i="1"/>
  <c r="G2256" i="1"/>
  <c r="L2256" i="1"/>
  <c r="F2257" i="1"/>
  <c r="G2257" i="1"/>
  <c r="L2257" i="1"/>
  <c r="F2258" i="1"/>
  <c r="G2258" i="1"/>
  <c r="L2258" i="1"/>
  <c r="F2259" i="1"/>
  <c r="G2259" i="1"/>
  <c r="L2259" i="1"/>
  <c r="F2260" i="1"/>
  <c r="G2260" i="1"/>
  <c r="L2260" i="1"/>
  <c r="F2261" i="1"/>
  <c r="G2261" i="1"/>
  <c r="L2261" i="1"/>
  <c r="F2262" i="1"/>
  <c r="G2262" i="1"/>
  <c r="L2262" i="1"/>
  <c r="F2263" i="1"/>
  <c r="G2263" i="1"/>
  <c r="L2263" i="1"/>
  <c r="F2264" i="1"/>
  <c r="G2264" i="1"/>
  <c r="L2264" i="1"/>
  <c r="F2265" i="1"/>
  <c r="G2265" i="1"/>
  <c r="L2265" i="1"/>
  <c r="F2266" i="1"/>
  <c r="G2266" i="1"/>
  <c r="L2266" i="1"/>
  <c r="F2267" i="1"/>
  <c r="G2267" i="1"/>
  <c r="L2267" i="1"/>
  <c r="F2268" i="1"/>
  <c r="G2268" i="1"/>
  <c r="L2268" i="1"/>
  <c r="F2269" i="1"/>
  <c r="G2269" i="1"/>
  <c r="L2269" i="1"/>
  <c r="F2270" i="1"/>
  <c r="G2270" i="1"/>
  <c r="L2270" i="1"/>
  <c r="F2271" i="1"/>
  <c r="G2271" i="1"/>
  <c r="L2271" i="1"/>
  <c r="F2272" i="1"/>
  <c r="G2272" i="1"/>
  <c r="L2272" i="1"/>
  <c r="F2273" i="1"/>
  <c r="G2273" i="1"/>
  <c r="L2273" i="1"/>
  <c r="F2274" i="1"/>
  <c r="G2274" i="1"/>
  <c r="L2274" i="1"/>
  <c r="F2275" i="1"/>
  <c r="G2275" i="1"/>
  <c r="L2275" i="1"/>
  <c r="F2276" i="1"/>
  <c r="G2276" i="1"/>
  <c r="L2276" i="1"/>
  <c r="F2277" i="1"/>
  <c r="G2277" i="1"/>
  <c r="L2277" i="1"/>
  <c r="F2278" i="1"/>
  <c r="G2278" i="1"/>
  <c r="L2278" i="1"/>
  <c r="F2279" i="1"/>
  <c r="G2279" i="1"/>
  <c r="L2279" i="1"/>
  <c r="F2280" i="1"/>
  <c r="G2280" i="1"/>
  <c r="L2280" i="1"/>
  <c r="F2281" i="1"/>
  <c r="G2281" i="1"/>
  <c r="L2281" i="1"/>
  <c r="F2282" i="1"/>
  <c r="G2282" i="1"/>
  <c r="L2282" i="1"/>
  <c r="F2283" i="1"/>
  <c r="G2283" i="1"/>
  <c r="L2283" i="1"/>
  <c r="F2284" i="1"/>
  <c r="G2284" i="1"/>
  <c r="L2284" i="1"/>
  <c r="F2285" i="1"/>
  <c r="G2285" i="1"/>
  <c r="L2285" i="1"/>
  <c r="F2286" i="1"/>
  <c r="G2286" i="1"/>
  <c r="L2286" i="1"/>
  <c r="F2287" i="1"/>
  <c r="G2287" i="1"/>
  <c r="L2287" i="1"/>
  <c r="F2288" i="1"/>
  <c r="G2288" i="1"/>
  <c r="L2288" i="1"/>
  <c r="F2289" i="1"/>
  <c r="G2289" i="1"/>
  <c r="L2289" i="1"/>
  <c r="F2290" i="1"/>
  <c r="G2290" i="1"/>
  <c r="L2290" i="1"/>
  <c r="F2291" i="1"/>
  <c r="G2291" i="1"/>
  <c r="L2291" i="1"/>
  <c r="F2292" i="1"/>
  <c r="G2292" i="1"/>
  <c r="L2292" i="1"/>
  <c r="F2293" i="1"/>
  <c r="G2293" i="1"/>
  <c r="L2293" i="1"/>
  <c r="F2294" i="1"/>
  <c r="G2294" i="1"/>
  <c r="L2294" i="1"/>
  <c r="F2295" i="1"/>
  <c r="G2295" i="1"/>
  <c r="L2295" i="1"/>
  <c r="F2296" i="1"/>
  <c r="G2296" i="1"/>
  <c r="L2296" i="1"/>
  <c r="F2297" i="1"/>
  <c r="G2297" i="1"/>
  <c r="L2297" i="1"/>
  <c r="F2298" i="1"/>
  <c r="G2298" i="1"/>
  <c r="L2298" i="1"/>
  <c r="F2299" i="1"/>
  <c r="G2299" i="1"/>
  <c r="L2299" i="1"/>
  <c r="F2300" i="1"/>
  <c r="G2300" i="1"/>
  <c r="L2300" i="1"/>
  <c r="F2301" i="1"/>
  <c r="G2301" i="1"/>
  <c r="L2301" i="1"/>
  <c r="F2302" i="1"/>
  <c r="G2302" i="1"/>
  <c r="L2302" i="1"/>
  <c r="F2303" i="1"/>
  <c r="G2303" i="1"/>
  <c r="L2303" i="1"/>
  <c r="F2304" i="1"/>
  <c r="G2304" i="1"/>
  <c r="L2304" i="1"/>
  <c r="F2305" i="1"/>
  <c r="G2305" i="1"/>
  <c r="L2305" i="1"/>
  <c r="F2306" i="1"/>
  <c r="G2306" i="1"/>
  <c r="L2306" i="1"/>
  <c r="F2307" i="1"/>
  <c r="G2307" i="1"/>
  <c r="L2307" i="1"/>
  <c r="F2308" i="1"/>
  <c r="G2308" i="1"/>
  <c r="L2308" i="1"/>
  <c r="F2309" i="1"/>
  <c r="G2309" i="1"/>
  <c r="L2309" i="1"/>
  <c r="F2310" i="1"/>
  <c r="G2310" i="1"/>
  <c r="L2310" i="1"/>
  <c r="F2311" i="1"/>
  <c r="G2311" i="1"/>
  <c r="L2311" i="1"/>
  <c r="F2312" i="1"/>
  <c r="G2312" i="1"/>
  <c r="L2312" i="1"/>
  <c r="F2313" i="1"/>
  <c r="G2313" i="1"/>
  <c r="L2313" i="1"/>
  <c r="F2314" i="1"/>
  <c r="G2314" i="1"/>
  <c r="L2314" i="1"/>
  <c r="F2315" i="1"/>
  <c r="G2315" i="1"/>
  <c r="L2315" i="1"/>
  <c r="F2316" i="1"/>
  <c r="G2316" i="1"/>
  <c r="L2316" i="1"/>
  <c r="F2317" i="1"/>
  <c r="G2317" i="1"/>
  <c r="L2317" i="1"/>
  <c r="F2318" i="1"/>
  <c r="G2318" i="1"/>
  <c r="L2318" i="1"/>
  <c r="F2319" i="1"/>
  <c r="G2319" i="1"/>
  <c r="L2319" i="1"/>
  <c r="F2320" i="1"/>
  <c r="G2320" i="1"/>
  <c r="L2320" i="1"/>
  <c r="F2321" i="1"/>
  <c r="G2321" i="1"/>
  <c r="L2321" i="1"/>
  <c r="F2322" i="1"/>
  <c r="G2322" i="1"/>
  <c r="L2322" i="1"/>
  <c r="F2323" i="1"/>
  <c r="G2323" i="1"/>
  <c r="L2323" i="1"/>
  <c r="F2324" i="1"/>
  <c r="G2324" i="1"/>
  <c r="L2324" i="1"/>
  <c r="F2325" i="1"/>
  <c r="G2325" i="1"/>
  <c r="L2325" i="1"/>
  <c r="F2326" i="1"/>
  <c r="G2326" i="1"/>
  <c r="L2326" i="1"/>
  <c r="F2327" i="1"/>
  <c r="G2327" i="1"/>
  <c r="L2327" i="1"/>
  <c r="F2328" i="1"/>
  <c r="G2328" i="1"/>
  <c r="L2328" i="1"/>
  <c r="F2329" i="1"/>
  <c r="G2329" i="1"/>
  <c r="L2329" i="1"/>
  <c r="F2330" i="1"/>
  <c r="G2330" i="1"/>
  <c r="L2330" i="1"/>
  <c r="F2331" i="1"/>
  <c r="G2331" i="1"/>
  <c r="L2331" i="1"/>
  <c r="F2332" i="1"/>
  <c r="G2332" i="1"/>
  <c r="L2332" i="1"/>
  <c r="F2333" i="1"/>
  <c r="G2333" i="1"/>
  <c r="L2333" i="1"/>
  <c r="F2334" i="1"/>
  <c r="G2334" i="1"/>
  <c r="L2334" i="1"/>
  <c r="F2335" i="1"/>
  <c r="G2335" i="1"/>
  <c r="L2335" i="1"/>
  <c r="F2336" i="1"/>
  <c r="G2336" i="1"/>
  <c r="L2336" i="1"/>
  <c r="F2337" i="1"/>
  <c r="G2337" i="1"/>
  <c r="L2337" i="1"/>
  <c r="F2338" i="1"/>
  <c r="G2338" i="1"/>
  <c r="L2338" i="1"/>
  <c r="F2339" i="1"/>
  <c r="G2339" i="1"/>
  <c r="L2339" i="1"/>
  <c r="F2340" i="1"/>
  <c r="G2340" i="1"/>
  <c r="L2340" i="1"/>
  <c r="F2341" i="1"/>
  <c r="G2341" i="1"/>
  <c r="L2341" i="1"/>
  <c r="F2342" i="1"/>
  <c r="G2342" i="1"/>
  <c r="L2342" i="1"/>
  <c r="F2343" i="1"/>
  <c r="G2343" i="1"/>
  <c r="L2343" i="1"/>
  <c r="F2344" i="1"/>
  <c r="G2344" i="1"/>
  <c r="L2344" i="1"/>
  <c r="F2345" i="1"/>
  <c r="G2345" i="1"/>
  <c r="L2345" i="1"/>
  <c r="F2346" i="1"/>
  <c r="G2346" i="1"/>
  <c r="L2346" i="1"/>
  <c r="F2347" i="1"/>
  <c r="G2347" i="1"/>
  <c r="L2347" i="1"/>
  <c r="F2348" i="1"/>
  <c r="G2348" i="1"/>
  <c r="L2348" i="1"/>
  <c r="F2349" i="1"/>
  <c r="G2349" i="1"/>
  <c r="L2349" i="1"/>
  <c r="F2350" i="1"/>
  <c r="G2350" i="1"/>
  <c r="L2350" i="1"/>
  <c r="F2351" i="1"/>
  <c r="G2351" i="1"/>
  <c r="L2351" i="1"/>
  <c r="F2352" i="1"/>
  <c r="G2352" i="1"/>
  <c r="L2352" i="1"/>
  <c r="F2353" i="1"/>
  <c r="G2353" i="1"/>
  <c r="L2353" i="1"/>
  <c r="F2354" i="1"/>
  <c r="G2354" i="1"/>
  <c r="L2354" i="1"/>
  <c r="F2355" i="1"/>
  <c r="G2355" i="1"/>
  <c r="L2355" i="1"/>
  <c r="F2356" i="1"/>
  <c r="G2356" i="1"/>
  <c r="L2356" i="1"/>
  <c r="F2357" i="1"/>
  <c r="G2357" i="1"/>
  <c r="L2357" i="1"/>
  <c r="F2358" i="1"/>
  <c r="G2358" i="1"/>
  <c r="L2358" i="1"/>
  <c r="F2359" i="1"/>
  <c r="G2359" i="1"/>
  <c r="L2359" i="1"/>
  <c r="F2360" i="1"/>
  <c r="G2360" i="1"/>
  <c r="L2360" i="1"/>
  <c r="F2361" i="1"/>
  <c r="G2361" i="1"/>
  <c r="L2361" i="1"/>
  <c r="F2362" i="1"/>
  <c r="G2362" i="1"/>
  <c r="L2362" i="1"/>
  <c r="F2363" i="1"/>
  <c r="G2363" i="1"/>
  <c r="L2363" i="1"/>
  <c r="F2364" i="1"/>
  <c r="G2364" i="1"/>
  <c r="L2364" i="1"/>
  <c r="F2365" i="1"/>
  <c r="G2365" i="1"/>
  <c r="L2365" i="1"/>
  <c r="F2366" i="1"/>
  <c r="G2366" i="1"/>
  <c r="L2366" i="1"/>
  <c r="F2367" i="1"/>
  <c r="G2367" i="1"/>
  <c r="L2367" i="1"/>
  <c r="F2368" i="1"/>
  <c r="G2368" i="1"/>
  <c r="L2368" i="1"/>
  <c r="F2369" i="1"/>
  <c r="G2369" i="1"/>
  <c r="L2369" i="1"/>
  <c r="F2370" i="1"/>
  <c r="G2370" i="1"/>
  <c r="L2370" i="1"/>
  <c r="F2371" i="1"/>
  <c r="G2371" i="1"/>
  <c r="L2371" i="1"/>
  <c r="F2372" i="1"/>
  <c r="G2372" i="1"/>
  <c r="L2372" i="1"/>
  <c r="F2373" i="1"/>
  <c r="G2373" i="1"/>
  <c r="L2373" i="1"/>
  <c r="F2374" i="1"/>
  <c r="G2374" i="1"/>
  <c r="L2374" i="1"/>
  <c r="F2375" i="1"/>
  <c r="G2375" i="1"/>
  <c r="L2375" i="1"/>
  <c r="F2376" i="1"/>
  <c r="G2376" i="1"/>
  <c r="L2376" i="1"/>
  <c r="F2377" i="1"/>
  <c r="G2377" i="1"/>
  <c r="L2377" i="1"/>
  <c r="F2378" i="1"/>
  <c r="G2378" i="1"/>
  <c r="L2378" i="1"/>
  <c r="F2379" i="1"/>
  <c r="G2379" i="1"/>
  <c r="L2379" i="1"/>
  <c r="F2380" i="1"/>
  <c r="G2380" i="1"/>
  <c r="L2380" i="1"/>
  <c r="F2381" i="1"/>
  <c r="G2381" i="1"/>
  <c r="L2381" i="1"/>
  <c r="F2382" i="1"/>
  <c r="G2382" i="1"/>
  <c r="L2382" i="1"/>
  <c r="F2383" i="1"/>
  <c r="G2383" i="1"/>
  <c r="L2383" i="1"/>
  <c r="F2384" i="1"/>
  <c r="G2384" i="1"/>
  <c r="L2384" i="1"/>
  <c r="F2385" i="1"/>
  <c r="G2385" i="1"/>
  <c r="L2385" i="1"/>
  <c r="F2386" i="1"/>
  <c r="G2386" i="1"/>
  <c r="L2386" i="1"/>
  <c r="F2387" i="1"/>
  <c r="G2387" i="1"/>
  <c r="L2387" i="1"/>
  <c r="F2388" i="1"/>
  <c r="G2388" i="1"/>
  <c r="L2388" i="1"/>
  <c r="F2389" i="1"/>
  <c r="G2389" i="1"/>
  <c r="L2389" i="1"/>
  <c r="F2390" i="1"/>
  <c r="G2390" i="1"/>
  <c r="L2390" i="1"/>
  <c r="F2391" i="1"/>
  <c r="G2391" i="1"/>
  <c r="L2391" i="1"/>
  <c r="F2392" i="1"/>
  <c r="G2392" i="1"/>
  <c r="L2392" i="1"/>
  <c r="F2393" i="1"/>
  <c r="G2393" i="1"/>
  <c r="L2393" i="1"/>
  <c r="F2394" i="1"/>
  <c r="G2394" i="1"/>
  <c r="L2394" i="1"/>
  <c r="F2395" i="1"/>
  <c r="G2395" i="1"/>
  <c r="L2395" i="1"/>
  <c r="F2396" i="1"/>
  <c r="G2396" i="1"/>
  <c r="L2396" i="1"/>
  <c r="F2397" i="1"/>
  <c r="G2397" i="1"/>
  <c r="L2397" i="1"/>
  <c r="F2398" i="1"/>
  <c r="G2398" i="1"/>
  <c r="L2398" i="1"/>
  <c r="F2399" i="1"/>
  <c r="G2399" i="1"/>
  <c r="L2399" i="1"/>
  <c r="F2400" i="1"/>
  <c r="G2400" i="1"/>
  <c r="L2400" i="1"/>
  <c r="F2401" i="1"/>
  <c r="G2401" i="1"/>
  <c r="L2401" i="1"/>
  <c r="F2402" i="1"/>
  <c r="G2402" i="1"/>
  <c r="L2402" i="1"/>
  <c r="F2403" i="1"/>
  <c r="G2403" i="1"/>
  <c r="L2403" i="1"/>
  <c r="F2404" i="1"/>
  <c r="G2404" i="1"/>
  <c r="L2404" i="1"/>
  <c r="F2405" i="1"/>
  <c r="G2405" i="1"/>
  <c r="L2405" i="1"/>
  <c r="F2406" i="1"/>
  <c r="G2406" i="1"/>
  <c r="L2406" i="1"/>
  <c r="F2407" i="1"/>
  <c r="G2407" i="1"/>
  <c r="L2407" i="1"/>
  <c r="F2408" i="1"/>
  <c r="G2408" i="1"/>
  <c r="L2408" i="1"/>
  <c r="F2409" i="1"/>
  <c r="G2409" i="1"/>
  <c r="L2409" i="1"/>
  <c r="F2410" i="1"/>
  <c r="G2410" i="1"/>
  <c r="L2410" i="1"/>
  <c r="F2411" i="1"/>
  <c r="G2411" i="1"/>
  <c r="L2411" i="1"/>
  <c r="F2412" i="1"/>
  <c r="G2412" i="1"/>
  <c r="L2412" i="1"/>
  <c r="F2413" i="1"/>
  <c r="G2413" i="1"/>
  <c r="L2413" i="1"/>
  <c r="F2414" i="1"/>
  <c r="G2414" i="1"/>
  <c r="L2414" i="1"/>
  <c r="F2415" i="1"/>
  <c r="G2415" i="1"/>
  <c r="L2415" i="1"/>
  <c r="F2416" i="1"/>
  <c r="G2416" i="1"/>
  <c r="L2416" i="1"/>
  <c r="F2417" i="1"/>
  <c r="G2417" i="1"/>
  <c r="L2417" i="1"/>
  <c r="F2418" i="1"/>
  <c r="G2418" i="1"/>
  <c r="L2418" i="1"/>
  <c r="F2419" i="1"/>
  <c r="G2419" i="1"/>
  <c r="L2419" i="1"/>
  <c r="F2420" i="1"/>
  <c r="G2420" i="1"/>
  <c r="L2420" i="1"/>
  <c r="F2421" i="1"/>
  <c r="G2421" i="1"/>
  <c r="L2421" i="1"/>
  <c r="F2422" i="1"/>
  <c r="G2422" i="1"/>
  <c r="L2422" i="1"/>
  <c r="F2423" i="1"/>
  <c r="G2423" i="1"/>
  <c r="L2423" i="1"/>
  <c r="F2424" i="1"/>
  <c r="G2424" i="1"/>
  <c r="L2424" i="1"/>
  <c r="F2425" i="1"/>
  <c r="G2425" i="1"/>
  <c r="L2425" i="1"/>
  <c r="F2426" i="1"/>
  <c r="G2426" i="1"/>
  <c r="L2426" i="1"/>
  <c r="F2427" i="1"/>
  <c r="G2427" i="1"/>
  <c r="L2427" i="1"/>
  <c r="F2428" i="1"/>
  <c r="G2428" i="1"/>
  <c r="L2428" i="1"/>
  <c r="F2429" i="1"/>
  <c r="G2429" i="1"/>
  <c r="L2429" i="1"/>
  <c r="F2430" i="1"/>
  <c r="G2430" i="1"/>
  <c r="L2430" i="1"/>
  <c r="F2431" i="1"/>
  <c r="G2431" i="1"/>
  <c r="L2431" i="1"/>
  <c r="F2432" i="1"/>
  <c r="G2432" i="1"/>
  <c r="L2432" i="1"/>
  <c r="F2433" i="1"/>
  <c r="G2433" i="1"/>
  <c r="L2433" i="1"/>
  <c r="F2434" i="1"/>
  <c r="G2434" i="1"/>
  <c r="L2434" i="1"/>
  <c r="F2435" i="1"/>
  <c r="G2435" i="1"/>
  <c r="L2435" i="1"/>
  <c r="F2436" i="1"/>
  <c r="G2436" i="1"/>
  <c r="L2436" i="1"/>
  <c r="F2437" i="1"/>
  <c r="G2437" i="1"/>
  <c r="L2437" i="1"/>
  <c r="F2438" i="1"/>
  <c r="G2438" i="1"/>
  <c r="L2438" i="1"/>
  <c r="F2439" i="1"/>
  <c r="G2439" i="1"/>
  <c r="L2439" i="1"/>
  <c r="F2440" i="1"/>
  <c r="G2440" i="1"/>
  <c r="L2440" i="1"/>
  <c r="F2441" i="1"/>
  <c r="G2441" i="1"/>
  <c r="L2441" i="1"/>
  <c r="F2442" i="1"/>
  <c r="G2442" i="1"/>
  <c r="L2442" i="1"/>
  <c r="F2443" i="1"/>
  <c r="G2443" i="1"/>
  <c r="L2443" i="1"/>
  <c r="F2444" i="1"/>
  <c r="G2444" i="1"/>
  <c r="L2444" i="1"/>
  <c r="F2445" i="1"/>
  <c r="G2445" i="1"/>
  <c r="L2445" i="1"/>
  <c r="F2446" i="1"/>
  <c r="G2446" i="1"/>
  <c r="L2446" i="1"/>
  <c r="F2447" i="1"/>
  <c r="G2447" i="1"/>
  <c r="L2447" i="1"/>
  <c r="F2448" i="1"/>
  <c r="G2448" i="1"/>
  <c r="L2448" i="1"/>
  <c r="F2449" i="1"/>
  <c r="G2449" i="1"/>
  <c r="L2449" i="1"/>
  <c r="F2450" i="1"/>
  <c r="G2450" i="1"/>
  <c r="L2450" i="1"/>
  <c r="F2451" i="1"/>
  <c r="G2451" i="1"/>
  <c r="L2451" i="1"/>
  <c r="F2452" i="1"/>
  <c r="G2452" i="1"/>
  <c r="L2452" i="1"/>
  <c r="F2453" i="1"/>
  <c r="G2453" i="1"/>
  <c r="L2453" i="1"/>
  <c r="F2454" i="1"/>
  <c r="G2454" i="1"/>
  <c r="L2454" i="1"/>
  <c r="F2455" i="1"/>
  <c r="G2455" i="1"/>
  <c r="L2455" i="1"/>
  <c r="F2456" i="1"/>
  <c r="G2456" i="1"/>
  <c r="L2456" i="1"/>
  <c r="F2457" i="1"/>
  <c r="G2457" i="1"/>
  <c r="L2457" i="1"/>
  <c r="F2458" i="1"/>
  <c r="G2458" i="1"/>
  <c r="L2458" i="1"/>
  <c r="F2459" i="1"/>
  <c r="G2459" i="1"/>
  <c r="L2459" i="1"/>
  <c r="F2460" i="1"/>
  <c r="G2460" i="1"/>
  <c r="L2460" i="1"/>
  <c r="F2461" i="1"/>
  <c r="G2461" i="1"/>
  <c r="L2461" i="1"/>
  <c r="F2462" i="1"/>
  <c r="G2462" i="1"/>
  <c r="L2462" i="1"/>
  <c r="F2463" i="1"/>
  <c r="G2463" i="1"/>
  <c r="L2463" i="1"/>
  <c r="F2464" i="1"/>
  <c r="G2464" i="1"/>
  <c r="L2464" i="1"/>
  <c r="F2465" i="1"/>
  <c r="G2465" i="1"/>
  <c r="L2465" i="1"/>
  <c r="F2466" i="1"/>
  <c r="G2466" i="1"/>
  <c r="L2466" i="1"/>
  <c r="F2467" i="1"/>
  <c r="G2467" i="1"/>
  <c r="L2467" i="1"/>
  <c r="F2468" i="1"/>
  <c r="G2468" i="1"/>
  <c r="L2468" i="1"/>
  <c r="F2469" i="1"/>
  <c r="G2469" i="1"/>
  <c r="L2469" i="1"/>
  <c r="F2470" i="1"/>
  <c r="G2470" i="1"/>
  <c r="L2470" i="1"/>
  <c r="F2471" i="1"/>
  <c r="G2471" i="1"/>
  <c r="L2471" i="1"/>
  <c r="F2472" i="1"/>
  <c r="G2472" i="1"/>
  <c r="L2472" i="1"/>
  <c r="F2473" i="1"/>
  <c r="G2473" i="1"/>
  <c r="L2473" i="1"/>
  <c r="F2474" i="1"/>
  <c r="G2474" i="1"/>
  <c r="L2474" i="1"/>
  <c r="F2475" i="1"/>
  <c r="G2475" i="1"/>
  <c r="L2475" i="1"/>
  <c r="F2476" i="1"/>
  <c r="G2476" i="1"/>
  <c r="L2476" i="1"/>
  <c r="F2477" i="1"/>
  <c r="G2477" i="1"/>
  <c r="L2477" i="1"/>
  <c r="F2478" i="1"/>
  <c r="G2478" i="1"/>
  <c r="L2478" i="1"/>
  <c r="F2479" i="1"/>
  <c r="G2479" i="1"/>
  <c r="L2479" i="1"/>
  <c r="F2480" i="1"/>
  <c r="G2480" i="1"/>
  <c r="L2480" i="1"/>
  <c r="F2481" i="1"/>
  <c r="G2481" i="1"/>
  <c r="L2481" i="1"/>
  <c r="F2482" i="1"/>
  <c r="G2482" i="1"/>
  <c r="L2482" i="1"/>
  <c r="F2483" i="1"/>
  <c r="G2483" i="1"/>
  <c r="L2483" i="1"/>
  <c r="F2484" i="1"/>
  <c r="G2484" i="1"/>
  <c r="L2484" i="1"/>
  <c r="F2485" i="1"/>
  <c r="G2485" i="1"/>
  <c r="L2485" i="1"/>
  <c r="F2486" i="1"/>
  <c r="G2486" i="1"/>
  <c r="L2486" i="1"/>
  <c r="F2487" i="1"/>
  <c r="G2487" i="1"/>
  <c r="L2487" i="1"/>
  <c r="F2488" i="1"/>
  <c r="G2488" i="1"/>
  <c r="L2488" i="1"/>
  <c r="F2489" i="1"/>
  <c r="G2489" i="1"/>
  <c r="L2489" i="1"/>
  <c r="F2490" i="1"/>
  <c r="G2490" i="1"/>
  <c r="L2490" i="1"/>
  <c r="F2491" i="1"/>
  <c r="G2491" i="1"/>
  <c r="L2491" i="1"/>
  <c r="F2492" i="1"/>
  <c r="G2492" i="1"/>
  <c r="L2492" i="1"/>
  <c r="F2493" i="1"/>
  <c r="G2493" i="1"/>
  <c r="L2493" i="1"/>
  <c r="F2494" i="1"/>
  <c r="G2494" i="1"/>
  <c r="L2494" i="1"/>
  <c r="F2495" i="1"/>
  <c r="G2495" i="1"/>
  <c r="L2495" i="1"/>
  <c r="F2496" i="1"/>
  <c r="G2496" i="1"/>
  <c r="L2496" i="1"/>
  <c r="F2497" i="1"/>
  <c r="G2497" i="1"/>
  <c r="L2497" i="1"/>
  <c r="F2498" i="1"/>
  <c r="G2498" i="1"/>
  <c r="L2498" i="1"/>
  <c r="F2499" i="1"/>
  <c r="G2499" i="1"/>
  <c r="L2499" i="1"/>
  <c r="F2500" i="1"/>
  <c r="G2500" i="1"/>
  <c r="L2500" i="1"/>
  <c r="F2501" i="1"/>
  <c r="G2501" i="1"/>
  <c r="L2501" i="1"/>
  <c r="F2502" i="1"/>
  <c r="G2502" i="1"/>
  <c r="L2502" i="1"/>
  <c r="F2503" i="1"/>
  <c r="G2503" i="1"/>
  <c r="L2503" i="1"/>
  <c r="F2504" i="1"/>
  <c r="G2504" i="1"/>
  <c r="L2504" i="1"/>
  <c r="F2505" i="1"/>
  <c r="G2505" i="1"/>
  <c r="L2505" i="1"/>
  <c r="F2506" i="1"/>
  <c r="G2506" i="1"/>
  <c r="L2506" i="1"/>
  <c r="F2507" i="1"/>
  <c r="G2507" i="1"/>
  <c r="L2507" i="1"/>
  <c r="F2508" i="1"/>
  <c r="G2508" i="1"/>
  <c r="L2508" i="1"/>
  <c r="F2509" i="1"/>
  <c r="G2509" i="1"/>
  <c r="L2509" i="1"/>
  <c r="F2510" i="1"/>
  <c r="G2510" i="1"/>
  <c r="L2510" i="1"/>
  <c r="F2511" i="1"/>
  <c r="G2511" i="1"/>
  <c r="L2511" i="1"/>
  <c r="F2512" i="1"/>
  <c r="G2512" i="1"/>
  <c r="L2512" i="1"/>
  <c r="F2513" i="1"/>
  <c r="G2513" i="1"/>
  <c r="L2513" i="1"/>
  <c r="F2514" i="1"/>
  <c r="G2514" i="1"/>
  <c r="L2514" i="1"/>
  <c r="F2515" i="1"/>
  <c r="G2515" i="1"/>
  <c r="L2515" i="1"/>
  <c r="F2516" i="1"/>
  <c r="G2516" i="1"/>
  <c r="L2516" i="1"/>
  <c r="F2517" i="1"/>
  <c r="G2517" i="1"/>
  <c r="L2517" i="1"/>
  <c r="F2518" i="1"/>
  <c r="G2518" i="1"/>
  <c r="L2518" i="1"/>
  <c r="F2519" i="1"/>
  <c r="G2519" i="1"/>
  <c r="L2519" i="1"/>
  <c r="F2520" i="1"/>
  <c r="G2520" i="1"/>
  <c r="L2520" i="1"/>
  <c r="F2521" i="1"/>
  <c r="G2521" i="1"/>
  <c r="L2521" i="1"/>
  <c r="F2522" i="1"/>
  <c r="G2522" i="1"/>
  <c r="L2522" i="1"/>
  <c r="F2523" i="1"/>
  <c r="G2523" i="1"/>
  <c r="L2523" i="1"/>
  <c r="F2524" i="1"/>
  <c r="G2524" i="1"/>
  <c r="L2524" i="1"/>
  <c r="F2525" i="1"/>
  <c r="G2525" i="1"/>
  <c r="L2525" i="1"/>
  <c r="F2526" i="1"/>
  <c r="G2526" i="1"/>
  <c r="L2526" i="1"/>
  <c r="F2527" i="1"/>
  <c r="G2527" i="1"/>
  <c r="L2527" i="1"/>
  <c r="F2528" i="1"/>
  <c r="G2528" i="1"/>
  <c r="L2528" i="1"/>
  <c r="F2529" i="1"/>
  <c r="G2529" i="1"/>
  <c r="L2529" i="1"/>
  <c r="F2530" i="1"/>
  <c r="G2530" i="1"/>
  <c r="L2530" i="1"/>
  <c r="F2531" i="1"/>
  <c r="G2531" i="1"/>
  <c r="L2531" i="1"/>
  <c r="F2532" i="1"/>
  <c r="G2532" i="1"/>
  <c r="L2532" i="1"/>
  <c r="F2533" i="1"/>
  <c r="G2533" i="1"/>
  <c r="L2533" i="1"/>
  <c r="F2534" i="1"/>
  <c r="G2534" i="1"/>
  <c r="L2534" i="1"/>
  <c r="F2535" i="1"/>
  <c r="G2535" i="1"/>
  <c r="L2535" i="1"/>
  <c r="F2536" i="1"/>
  <c r="G2536" i="1"/>
  <c r="L2536" i="1"/>
  <c r="F2537" i="1"/>
  <c r="G2537" i="1"/>
  <c r="L2537" i="1"/>
  <c r="F2538" i="1"/>
  <c r="G2538" i="1"/>
  <c r="L2538" i="1"/>
  <c r="F2539" i="1"/>
  <c r="G2539" i="1"/>
  <c r="L2539" i="1"/>
  <c r="F2540" i="1"/>
  <c r="G2540" i="1"/>
  <c r="L2540" i="1"/>
  <c r="F2541" i="1"/>
  <c r="G2541" i="1"/>
  <c r="L2541" i="1"/>
  <c r="F2542" i="1"/>
  <c r="G2542" i="1"/>
  <c r="L2542" i="1"/>
  <c r="F2543" i="1"/>
  <c r="G2543" i="1"/>
  <c r="L2543" i="1"/>
  <c r="F2544" i="1"/>
  <c r="G2544" i="1"/>
  <c r="L2544" i="1"/>
  <c r="F2545" i="1"/>
  <c r="G2545" i="1"/>
  <c r="L2545" i="1"/>
  <c r="F2546" i="1"/>
  <c r="G2546" i="1"/>
  <c r="L2546" i="1"/>
  <c r="F2547" i="1"/>
  <c r="G2547" i="1"/>
  <c r="L2547" i="1"/>
  <c r="F2548" i="1"/>
  <c r="G2548" i="1"/>
  <c r="L2548" i="1"/>
  <c r="F2549" i="1"/>
  <c r="G2549" i="1"/>
  <c r="L2549" i="1"/>
  <c r="F2550" i="1"/>
  <c r="G2550" i="1"/>
  <c r="L2550" i="1"/>
  <c r="F2551" i="1"/>
  <c r="G2551" i="1"/>
  <c r="L2551" i="1"/>
  <c r="F2552" i="1"/>
  <c r="G2552" i="1"/>
  <c r="L2552" i="1"/>
  <c r="F2553" i="1"/>
  <c r="G2553" i="1"/>
  <c r="L2553" i="1"/>
  <c r="F2554" i="1"/>
  <c r="G2554" i="1"/>
  <c r="L2554" i="1"/>
  <c r="F2555" i="1"/>
  <c r="G2555" i="1"/>
  <c r="L2555" i="1"/>
  <c r="F2556" i="1"/>
  <c r="G2556" i="1"/>
  <c r="L2556" i="1"/>
  <c r="F2557" i="1"/>
  <c r="G2557" i="1"/>
  <c r="L2557" i="1"/>
  <c r="F2558" i="1"/>
  <c r="G2558" i="1"/>
  <c r="L2558" i="1"/>
  <c r="F2559" i="1"/>
  <c r="G2559" i="1"/>
  <c r="L2559" i="1"/>
  <c r="F2560" i="1"/>
  <c r="G2560" i="1"/>
  <c r="L2560" i="1"/>
  <c r="F2561" i="1"/>
  <c r="G2561" i="1"/>
  <c r="L2561" i="1"/>
  <c r="F2562" i="1"/>
  <c r="G2562" i="1"/>
  <c r="L2562" i="1"/>
  <c r="F2563" i="1"/>
  <c r="G2563" i="1"/>
  <c r="L2563" i="1"/>
  <c r="F2564" i="1"/>
  <c r="G2564" i="1"/>
  <c r="L2564" i="1"/>
  <c r="F2565" i="1"/>
  <c r="G2565" i="1"/>
  <c r="L2565" i="1"/>
  <c r="F2566" i="1"/>
  <c r="G2566" i="1"/>
  <c r="L2566" i="1"/>
  <c r="F2567" i="1"/>
  <c r="G2567" i="1"/>
  <c r="L2567" i="1"/>
  <c r="F2568" i="1"/>
  <c r="G2568" i="1"/>
  <c r="L2568" i="1"/>
  <c r="F2569" i="1"/>
  <c r="G2569" i="1"/>
  <c r="L2569" i="1"/>
  <c r="F2570" i="1"/>
  <c r="G2570" i="1"/>
  <c r="L2570" i="1"/>
  <c r="F2571" i="1"/>
  <c r="G2571" i="1"/>
  <c r="L2571" i="1"/>
  <c r="F2572" i="1"/>
  <c r="G2572" i="1"/>
  <c r="L2572" i="1"/>
  <c r="F2573" i="1"/>
  <c r="G2573" i="1"/>
  <c r="L2573" i="1"/>
  <c r="F2574" i="1"/>
  <c r="G2574" i="1"/>
  <c r="L2574" i="1"/>
  <c r="F2575" i="1"/>
  <c r="G2575" i="1"/>
  <c r="L2575" i="1"/>
  <c r="F2576" i="1"/>
  <c r="G2576" i="1"/>
  <c r="L2576" i="1"/>
  <c r="F2577" i="1"/>
  <c r="G2577" i="1"/>
  <c r="L2577" i="1"/>
  <c r="F2578" i="1"/>
  <c r="G2578" i="1"/>
  <c r="L2578" i="1"/>
  <c r="F2579" i="1"/>
  <c r="G2579" i="1"/>
  <c r="L2579" i="1"/>
  <c r="F2580" i="1"/>
  <c r="G2580" i="1"/>
  <c r="L2580" i="1"/>
  <c r="F2581" i="1"/>
  <c r="G2581" i="1"/>
  <c r="L2581" i="1"/>
  <c r="F2582" i="1"/>
  <c r="G2582" i="1"/>
  <c r="L2582" i="1"/>
  <c r="F2583" i="1"/>
  <c r="G2583" i="1"/>
  <c r="L2583" i="1"/>
  <c r="F2584" i="1"/>
  <c r="G2584" i="1"/>
  <c r="L2584" i="1"/>
  <c r="F2585" i="1"/>
  <c r="G2585" i="1"/>
  <c r="L2585" i="1"/>
  <c r="F2586" i="1"/>
  <c r="G2586" i="1"/>
  <c r="L2586" i="1"/>
  <c r="F2587" i="1"/>
  <c r="G2587" i="1"/>
  <c r="L2587" i="1"/>
  <c r="F2588" i="1"/>
  <c r="G2588" i="1"/>
  <c r="L2588" i="1"/>
  <c r="F2589" i="1"/>
  <c r="G2589" i="1"/>
  <c r="L2589" i="1"/>
  <c r="F2590" i="1"/>
  <c r="G2590" i="1"/>
  <c r="L2590" i="1"/>
  <c r="F2591" i="1"/>
  <c r="G2591" i="1"/>
  <c r="L2591" i="1"/>
  <c r="F2592" i="1"/>
  <c r="G2592" i="1"/>
  <c r="L2592" i="1"/>
  <c r="F2593" i="1"/>
  <c r="G2593" i="1"/>
  <c r="L2593" i="1"/>
  <c r="F2594" i="1"/>
  <c r="G2594" i="1"/>
  <c r="L2594" i="1"/>
  <c r="F2595" i="1"/>
  <c r="G2595" i="1"/>
  <c r="L2595" i="1"/>
  <c r="F2596" i="1"/>
  <c r="G2596" i="1"/>
  <c r="L2596" i="1"/>
  <c r="F2597" i="1"/>
  <c r="G2597" i="1"/>
  <c r="L2597" i="1"/>
  <c r="F2598" i="1"/>
  <c r="G2598" i="1"/>
  <c r="L2598" i="1"/>
  <c r="F2599" i="1"/>
  <c r="G2599" i="1"/>
  <c r="L2599" i="1"/>
  <c r="F2600" i="1"/>
  <c r="G2600" i="1"/>
  <c r="L2600" i="1"/>
  <c r="F2601" i="1"/>
  <c r="G2601" i="1"/>
  <c r="L2601" i="1"/>
  <c r="F2602" i="1"/>
  <c r="G2602" i="1"/>
  <c r="L2602" i="1"/>
  <c r="F2603" i="1"/>
  <c r="G2603" i="1"/>
  <c r="L2603" i="1"/>
  <c r="F2604" i="1"/>
  <c r="G2604" i="1"/>
  <c r="L2604" i="1"/>
  <c r="F2605" i="1"/>
  <c r="G2605" i="1"/>
  <c r="L2605" i="1"/>
  <c r="F2606" i="1"/>
  <c r="G2606" i="1"/>
  <c r="L2606" i="1"/>
  <c r="F2607" i="1"/>
  <c r="G2607" i="1"/>
  <c r="L2607" i="1"/>
  <c r="F2608" i="1"/>
  <c r="G2608" i="1"/>
  <c r="L2608" i="1"/>
  <c r="F2609" i="1"/>
  <c r="G2609" i="1"/>
  <c r="L2609" i="1"/>
  <c r="F2610" i="1"/>
  <c r="G2610" i="1"/>
  <c r="L2610" i="1"/>
  <c r="F2611" i="1"/>
  <c r="G2611" i="1"/>
  <c r="L2611" i="1"/>
  <c r="F2612" i="1"/>
  <c r="G2612" i="1"/>
  <c r="L2612" i="1"/>
  <c r="F2613" i="1"/>
  <c r="G2613" i="1"/>
  <c r="L2613" i="1"/>
  <c r="F2614" i="1"/>
  <c r="G2614" i="1"/>
  <c r="L2614" i="1"/>
  <c r="F2615" i="1"/>
  <c r="G2615" i="1"/>
  <c r="L2615" i="1"/>
  <c r="F2616" i="1"/>
  <c r="G2616" i="1"/>
  <c r="L2616" i="1"/>
  <c r="F2617" i="1"/>
  <c r="G2617" i="1"/>
  <c r="L2617" i="1"/>
  <c r="F2618" i="1"/>
  <c r="G2618" i="1"/>
  <c r="L2618" i="1"/>
  <c r="F2619" i="1"/>
  <c r="G2619" i="1"/>
  <c r="L2619" i="1"/>
  <c r="F2620" i="1"/>
  <c r="G2620" i="1"/>
  <c r="L2620" i="1"/>
  <c r="F2621" i="1"/>
  <c r="G2621" i="1"/>
  <c r="L2621" i="1"/>
  <c r="F2622" i="1"/>
  <c r="G2622" i="1"/>
  <c r="L2622" i="1"/>
  <c r="F2623" i="1"/>
  <c r="G2623" i="1"/>
  <c r="L2623" i="1"/>
  <c r="F2624" i="1"/>
  <c r="G2624" i="1"/>
  <c r="L2624" i="1"/>
  <c r="F2625" i="1"/>
  <c r="G2625" i="1"/>
  <c r="L2625" i="1"/>
  <c r="F2626" i="1"/>
  <c r="G2626" i="1"/>
  <c r="L2626" i="1"/>
  <c r="F2627" i="1"/>
  <c r="G2627" i="1"/>
  <c r="L2627" i="1"/>
  <c r="F2628" i="1"/>
  <c r="G2628" i="1"/>
  <c r="L2628" i="1"/>
  <c r="F2629" i="1"/>
  <c r="G2629" i="1"/>
  <c r="L2629" i="1"/>
  <c r="F2630" i="1"/>
  <c r="G2630" i="1"/>
  <c r="L2630" i="1"/>
  <c r="F2631" i="1"/>
  <c r="G2631" i="1"/>
  <c r="L2631" i="1"/>
  <c r="F2632" i="1"/>
  <c r="G2632" i="1"/>
  <c r="L2632" i="1"/>
  <c r="F2633" i="1"/>
  <c r="G2633" i="1"/>
  <c r="L2633" i="1"/>
  <c r="F2634" i="1"/>
  <c r="G2634" i="1"/>
  <c r="L2634" i="1"/>
  <c r="F2635" i="1"/>
  <c r="G2635" i="1"/>
  <c r="L2635" i="1"/>
  <c r="F2636" i="1"/>
  <c r="G2636" i="1"/>
  <c r="L2636" i="1"/>
  <c r="F2637" i="1"/>
  <c r="G2637" i="1"/>
  <c r="L2637" i="1"/>
  <c r="F2638" i="1"/>
  <c r="G2638" i="1"/>
  <c r="L2638" i="1"/>
  <c r="F2639" i="1"/>
  <c r="G2639" i="1"/>
  <c r="L2639" i="1"/>
  <c r="F2640" i="1"/>
  <c r="G2640" i="1"/>
  <c r="L2640" i="1"/>
  <c r="F2641" i="1"/>
  <c r="G2641" i="1"/>
  <c r="L2641" i="1"/>
  <c r="F2642" i="1"/>
  <c r="G2642" i="1"/>
  <c r="L2642" i="1"/>
  <c r="F2643" i="1"/>
  <c r="G2643" i="1"/>
  <c r="L2643" i="1"/>
  <c r="F2644" i="1"/>
  <c r="G2644" i="1"/>
  <c r="L2644" i="1"/>
  <c r="F2645" i="1"/>
  <c r="G2645" i="1"/>
  <c r="L2645" i="1"/>
  <c r="F2646" i="1"/>
  <c r="G2646" i="1"/>
  <c r="L2646" i="1"/>
  <c r="F2647" i="1"/>
  <c r="G2647" i="1"/>
  <c r="L2647" i="1"/>
  <c r="F2648" i="1"/>
  <c r="G2648" i="1"/>
  <c r="L2648" i="1"/>
  <c r="F2649" i="1"/>
  <c r="G2649" i="1"/>
  <c r="L2649" i="1"/>
  <c r="F2650" i="1"/>
  <c r="G2650" i="1"/>
  <c r="L2650" i="1"/>
  <c r="F2651" i="1"/>
  <c r="G2651" i="1"/>
  <c r="L2651" i="1"/>
  <c r="F2652" i="1"/>
  <c r="G2652" i="1"/>
  <c r="L2652" i="1"/>
  <c r="F2653" i="1"/>
  <c r="G2653" i="1"/>
  <c r="L2653" i="1"/>
  <c r="F2654" i="1"/>
  <c r="G2654" i="1"/>
  <c r="L2654" i="1"/>
  <c r="F2655" i="1"/>
  <c r="G2655" i="1"/>
  <c r="L2655" i="1"/>
  <c r="F2656" i="1"/>
  <c r="G2656" i="1"/>
  <c r="L2656" i="1"/>
  <c r="F2657" i="1"/>
  <c r="G2657" i="1"/>
  <c r="L2657" i="1"/>
  <c r="F2658" i="1"/>
  <c r="G2658" i="1"/>
  <c r="L2658" i="1"/>
  <c r="F2659" i="1"/>
  <c r="G2659" i="1"/>
  <c r="L2659" i="1"/>
  <c r="F2660" i="1"/>
  <c r="G2660" i="1"/>
  <c r="L2660" i="1"/>
  <c r="F2661" i="1"/>
  <c r="G2661" i="1"/>
  <c r="L2661" i="1"/>
  <c r="F2662" i="1"/>
  <c r="G2662" i="1"/>
  <c r="L2662" i="1"/>
  <c r="F2663" i="1"/>
  <c r="G2663" i="1"/>
  <c r="L2663" i="1"/>
  <c r="F2664" i="1"/>
  <c r="G2664" i="1"/>
  <c r="L2664" i="1"/>
  <c r="F2665" i="1"/>
  <c r="G2665" i="1"/>
  <c r="L2665" i="1"/>
  <c r="F2666" i="1"/>
  <c r="G2666" i="1"/>
  <c r="L2666" i="1"/>
  <c r="F2667" i="1"/>
  <c r="G2667" i="1"/>
  <c r="L2667" i="1"/>
  <c r="F2668" i="1"/>
  <c r="G2668" i="1"/>
  <c r="L2668" i="1"/>
  <c r="F2669" i="1"/>
  <c r="G2669" i="1"/>
  <c r="L2669" i="1"/>
  <c r="F2670" i="1"/>
  <c r="G2670" i="1"/>
  <c r="L2670" i="1"/>
  <c r="F2671" i="1"/>
  <c r="G2671" i="1"/>
  <c r="L2671" i="1"/>
  <c r="F2672" i="1"/>
  <c r="G2672" i="1"/>
  <c r="L2672" i="1"/>
  <c r="F2673" i="1"/>
  <c r="G2673" i="1"/>
  <c r="L2673" i="1"/>
  <c r="F2674" i="1"/>
  <c r="G2674" i="1"/>
  <c r="L2674" i="1"/>
  <c r="F2675" i="1"/>
  <c r="G2675" i="1"/>
  <c r="L2675" i="1"/>
  <c r="F2676" i="1"/>
  <c r="G2676" i="1"/>
  <c r="L2676" i="1"/>
  <c r="F2677" i="1"/>
  <c r="G2677" i="1"/>
  <c r="L2677" i="1"/>
  <c r="F2678" i="1"/>
  <c r="G2678" i="1"/>
  <c r="L2678" i="1"/>
  <c r="F2679" i="1"/>
  <c r="G2679" i="1"/>
  <c r="L2679" i="1"/>
  <c r="F2680" i="1"/>
  <c r="G2680" i="1"/>
  <c r="L2680" i="1"/>
  <c r="F2681" i="1"/>
  <c r="G2681" i="1"/>
  <c r="L2681" i="1"/>
  <c r="F2682" i="1"/>
  <c r="G2682" i="1"/>
  <c r="L2682" i="1"/>
  <c r="F2683" i="1"/>
  <c r="G2683" i="1"/>
  <c r="L2683" i="1"/>
  <c r="F2684" i="1"/>
  <c r="G2684" i="1"/>
  <c r="L2684" i="1"/>
  <c r="F2685" i="1"/>
  <c r="G2685" i="1"/>
  <c r="L2685" i="1"/>
  <c r="F2686" i="1"/>
  <c r="G2686" i="1"/>
  <c r="L2686" i="1"/>
  <c r="F2687" i="1"/>
  <c r="G2687" i="1"/>
  <c r="L2687" i="1"/>
  <c r="F2688" i="1"/>
  <c r="G2688" i="1"/>
  <c r="L2688" i="1"/>
  <c r="F2689" i="1"/>
  <c r="G2689" i="1"/>
  <c r="L2689" i="1"/>
  <c r="F2690" i="1"/>
  <c r="G2690" i="1"/>
  <c r="L2690" i="1"/>
  <c r="F2691" i="1"/>
  <c r="G2691" i="1"/>
  <c r="L2691" i="1"/>
  <c r="F2692" i="1"/>
  <c r="G2692" i="1"/>
  <c r="L2692" i="1"/>
  <c r="F2693" i="1"/>
  <c r="G2693" i="1"/>
  <c r="L2693" i="1"/>
  <c r="F2694" i="1"/>
  <c r="G2694" i="1"/>
  <c r="L2694" i="1"/>
  <c r="F2695" i="1"/>
  <c r="G2695" i="1"/>
  <c r="L2695" i="1"/>
  <c r="F2696" i="1"/>
  <c r="G2696" i="1"/>
  <c r="L2696" i="1"/>
  <c r="F2697" i="1"/>
  <c r="G2697" i="1"/>
  <c r="L2697" i="1"/>
  <c r="F2698" i="1"/>
  <c r="G2698" i="1"/>
  <c r="L2698" i="1"/>
  <c r="F2699" i="1"/>
  <c r="G2699" i="1"/>
  <c r="L2699" i="1"/>
  <c r="F2700" i="1"/>
  <c r="G2700" i="1"/>
  <c r="L2700" i="1"/>
  <c r="P12" i="5"/>
  <c r="P11" i="5"/>
  <c r="P6" i="5"/>
  <c r="P7" i="5"/>
  <c r="P8" i="5"/>
  <c r="P9" i="5"/>
  <c r="P13" i="5"/>
  <c r="P10" i="5"/>
  <c r="P14" i="5"/>
  <c r="P17" i="5"/>
  <c r="P15" i="5"/>
  <c r="P16" i="5"/>
  <c r="P21" i="5"/>
  <c r="P20" i="5"/>
  <c r="P19" i="5"/>
  <c r="P18" i="5"/>
  <c r="P22" i="5"/>
  <c r="P23" i="5"/>
  <c r="P24" i="5"/>
  <c r="P33" i="5"/>
  <c r="P32" i="5"/>
  <c r="P29" i="5"/>
  <c r="P25" i="5"/>
  <c r="P27" i="5"/>
  <c r="P26" i="5"/>
  <c r="P30" i="5"/>
  <c r="P28" i="5"/>
  <c r="P60" i="5"/>
  <c r="P31" i="5"/>
  <c r="P34" i="5"/>
  <c r="P36" i="5"/>
  <c r="P35" i="5"/>
  <c r="P37" i="5"/>
  <c r="P42" i="5"/>
  <c r="P41" i="5"/>
  <c r="P38" i="5"/>
  <c r="P39" i="5"/>
  <c r="P40" i="5"/>
  <c r="P44" i="5"/>
  <c r="P45" i="5"/>
  <c r="P43" i="5"/>
  <c r="P46" i="5"/>
  <c r="P47" i="5"/>
  <c r="P48" i="5"/>
  <c r="P49" i="5"/>
  <c r="P52" i="5"/>
  <c r="P51" i="5"/>
  <c r="P50" i="5"/>
  <c r="P53" i="5"/>
  <c r="P55" i="5"/>
  <c r="P54" i="5"/>
  <c r="P57" i="5"/>
  <c r="P61" i="5"/>
  <c r="P59" i="5"/>
  <c r="P56" i="5"/>
  <c r="P58" i="5"/>
  <c r="P63" i="5"/>
  <c r="P62" i="5"/>
  <c r="P64" i="5"/>
  <c r="P65" i="5"/>
  <c r="P5" i="5"/>
  <c r="P66" i="5"/>
  <c r="P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<sst xmlns="http://schemas.openxmlformats.org/spreadsheetml/2006/main" count="16596" uniqueCount="1287">
  <si>
    <t>Tỉnh</t>
  </si>
  <si>
    <t>Đối tác/Khách hàng</t>
  </si>
  <si>
    <t>Lĩnh vực</t>
  </si>
  <si>
    <t>Giá trị nguồn việc</t>
  </si>
  <si>
    <t>Tháng</t>
  </si>
  <si>
    <t>Năm</t>
  </si>
  <si>
    <t>Đối tượng KH</t>
  </si>
  <si>
    <t>Mã sản phẩm</t>
  </si>
  <si>
    <t>TQG</t>
  </si>
  <si>
    <t>UBND XÃ TÂN MỸ</t>
  </si>
  <si>
    <t>ICT</t>
  </si>
  <si>
    <t>Đông Bắc Bộ</t>
  </si>
  <si>
    <t>Sở ban ngành</t>
  </si>
  <si>
    <t>TVH</t>
  </si>
  <si>
    <t>ME</t>
  </si>
  <si>
    <t>ĐB Sông Cửu Long</t>
  </si>
  <si>
    <t>Doanh nghiệp</t>
  </si>
  <si>
    <t>BGG</t>
  </si>
  <si>
    <t>TRƯỜNG MẦM NON TAM HIỆP</t>
  </si>
  <si>
    <t>Trường học</t>
  </si>
  <si>
    <t>TRƯỜNG TIỂU HỌC THƯỜNG THẮNG</t>
  </si>
  <si>
    <t>DNG</t>
  </si>
  <si>
    <t>Duyên hải Nam Trung Bộ</t>
  </si>
  <si>
    <t>GLI</t>
  </si>
  <si>
    <t>TRƯỜNG MẪU GIÁO BÌNH MINH</t>
  </si>
  <si>
    <t>Tây Nguyên</t>
  </si>
  <si>
    <t>UBND XÃ CHƯ GU</t>
  </si>
  <si>
    <t>LSN</t>
  </si>
  <si>
    <t>LCI</t>
  </si>
  <si>
    <t>Tây Bắc Bộ</t>
  </si>
  <si>
    <t>NAN</t>
  </si>
  <si>
    <t>TRƯỜNG MẦM NON LÊ MAO</t>
  </si>
  <si>
    <t>Bắc Trung Bộ</t>
  </si>
  <si>
    <t>TBH</t>
  </si>
  <si>
    <t>UỶ BAN NHÂN DÂN XÃ ĐÔNG TRÀ</t>
  </si>
  <si>
    <t>ĐB Sông Hồng</t>
  </si>
  <si>
    <t>DTP</t>
  </si>
  <si>
    <t>CBG</t>
  </si>
  <si>
    <t>PHÒNG VĂN HOÁ VÀ THÔNG TIN</t>
  </si>
  <si>
    <t>BDG</t>
  </si>
  <si>
    <t>TRƯỜNG THPT VÕ MINH ĐỨC</t>
  </si>
  <si>
    <t>Smarthome</t>
  </si>
  <si>
    <t>Đông Nam Bộ</t>
  </si>
  <si>
    <t>BNH</t>
  </si>
  <si>
    <t>BỘ CHỈ HUY QUÂN SỰ TỈNH BẮC NINH</t>
  </si>
  <si>
    <t>YBI</t>
  </si>
  <si>
    <t>NLMT</t>
  </si>
  <si>
    <t>LCU</t>
  </si>
  <si>
    <t>DLK</t>
  </si>
  <si>
    <t>UBND XÃ TRUNG THÀNH</t>
  </si>
  <si>
    <t>HNM</t>
  </si>
  <si>
    <t>BPC</t>
  </si>
  <si>
    <t>HNI</t>
  </si>
  <si>
    <t>UBND XÃ NGHĨA MỸ</t>
  </si>
  <si>
    <t>LAN</t>
  </si>
  <si>
    <t>CTO</t>
  </si>
  <si>
    <t>LDG</t>
  </si>
  <si>
    <t>Công an Tỉnh Lâm Đồng</t>
  </si>
  <si>
    <t>TRƯỜNG TIỂU HỌC NGHĨA HIỆP</t>
  </si>
  <si>
    <t>KHA</t>
  </si>
  <si>
    <t>TRƯỜNG THCS TRẦN QUANG KHẢI</t>
  </si>
  <si>
    <t>TRƯỜNG THCS NGUYỄN TRUNG TRỰC</t>
  </si>
  <si>
    <t>VLG</t>
  </si>
  <si>
    <t>ỦY BAN NHÂN DÂN PHƯỜNG TÂN HỘI</t>
  </si>
  <si>
    <t>HBH</t>
  </si>
  <si>
    <t>DCN</t>
  </si>
  <si>
    <t>UBND XÃ DIỄN THỌ</t>
  </si>
  <si>
    <t>TRƯỜNG TH NGUYỄN ĐÌNH CHIỂU</t>
  </si>
  <si>
    <t>BTN</t>
  </si>
  <si>
    <t>UBND XÃ SÔNG PHAN</t>
  </si>
  <si>
    <t>UBND XÃ TÂN HÀ</t>
  </si>
  <si>
    <t>QNH</t>
  </si>
  <si>
    <t>BDH</t>
  </si>
  <si>
    <t>HTH</t>
  </si>
  <si>
    <t>PTO</t>
  </si>
  <si>
    <t>BTE</t>
  </si>
  <si>
    <t>TRƯỜNG MẦM NON LONG THỚI</t>
  </si>
  <si>
    <t>NBH</t>
  </si>
  <si>
    <t>AGG</t>
  </si>
  <si>
    <t>CMU</t>
  </si>
  <si>
    <t>UBND XÃ BIỂN BẠCH ĐÔNG</t>
  </si>
  <si>
    <t>VĂN PHÒNG HĐND VÀ UBND HUYỆN CHÂU THÀNH</t>
  </si>
  <si>
    <t>Công An Tỉnh Vĩnh Long</t>
  </si>
  <si>
    <t>TRƯỜNG TIỂU HỌC THỚI LAI</t>
  </si>
  <si>
    <t>VĂN PHÒNG HUYỆN ỦY TAM BÌNH</t>
  </si>
  <si>
    <t>TGG</t>
  </si>
  <si>
    <t>BỘ CHỈ HUY BỘ ĐỘI BIÊN PHÒNG TIỀN GIANG</t>
  </si>
  <si>
    <t>DBN</t>
  </si>
  <si>
    <t>ỦY BAN MẶT TRẬN TỔ QUỐC VIỆT NAM THỊ TRẤN MỸ LUÔNG</t>
  </si>
  <si>
    <t>BKN</t>
  </si>
  <si>
    <t>PHÒNG VĂN HOÁ VÀ THÔNG TIN NGÂN SƠN</t>
  </si>
  <si>
    <t>TNH</t>
  </si>
  <si>
    <t>SLA</t>
  </si>
  <si>
    <t>TRƯỜNG THPT NGUYỄN DUY TRINH</t>
  </si>
  <si>
    <t>TRƯỜNG TIỂU HỌC NAM BAN 1</t>
  </si>
  <si>
    <t>NDH</t>
  </si>
  <si>
    <t>BỆNH VIỆN QUÂN Y 121</t>
  </si>
  <si>
    <t>Bệnh viện</t>
  </si>
  <si>
    <t>TNN</t>
  </si>
  <si>
    <t>TRƯỜNG PT DÂN TỘC NỘI TRÚ THPT TỈNH YÊN BÁI</t>
  </si>
  <si>
    <t>VTU</t>
  </si>
  <si>
    <t>Quân Chủng Hải Quân</t>
  </si>
  <si>
    <t>QNI</t>
  </si>
  <si>
    <t>UBND XÃ TÂN PHÚC</t>
  </si>
  <si>
    <t>TỔ CHỨC SAMARITAN'S PURSE HOA KỲ - VĂN PHÒNG ĐẠI DIỆN TẠI VIỆT NAM</t>
  </si>
  <si>
    <t>UBND XÃ TÂN XUÂN</t>
  </si>
  <si>
    <t>CÔNG AN TỈNH LÂM ĐỒNG</t>
  </si>
  <si>
    <t>HCM</t>
  </si>
  <si>
    <t>VĂN PHÒNG TRUNG ƯƠNG ĐOÀN THANH NIÊN CỘNG SẢN HỒ CHÍ MINH</t>
  </si>
  <si>
    <t>PYN</t>
  </si>
  <si>
    <t>THÔN LA VÂN, XÃ NINH GIANG, HUYỆN HOA LƯ, TỈNH NINH BÌNH</t>
  </si>
  <si>
    <t>NTN</t>
  </si>
  <si>
    <t>BỆNH VIỆN ĐA KHOA TỈNH BÌNH ĐỊNH</t>
  </si>
  <si>
    <t>TRƯỜNG TIỂU HỌC BẢO ĐÀI</t>
  </si>
  <si>
    <t>UBND PHƯỜNG EA TAM</t>
  </si>
  <si>
    <t>UBND XÃ VĂN LỢI</t>
  </si>
  <si>
    <t>STG</t>
  </si>
  <si>
    <t>TRƯỜNG THPT NGUYỄN THỊ BÍCH CHÂU</t>
  </si>
  <si>
    <t>TRƯỜNG TIỂU HỌC TÂY PHÚ</t>
  </si>
  <si>
    <t>HPG</t>
  </si>
  <si>
    <t>TRUNG TÂM VĂN HÓA - THÔNG TIN VÀ THỂ THAO QUẬN KIẾN AN</t>
  </si>
  <si>
    <t>TRUNG TÂM HỘI NGHỊ QUỐC GIA</t>
  </si>
  <si>
    <t>TRƯỜNG THPT SÔNG MÃ</t>
  </si>
  <si>
    <t>BLU</t>
  </si>
  <si>
    <t>TRƯỜNG THPT CẦU KÈ</t>
  </si>
  <si>
    <t>KHU QUẢN LÝ ĐƯỜNG BỘ III</t>
  </si>
  <si>
    <t>TRƯỜNG TIỂU HỌC VÀ TRUNG HỌC CƠ SỞ SƠN THÀNH TÂY</t>
  </si>
  <si>
    <t>HUE</t>
  </si>
  <si>
    <t>DNI</t>
  </si>
  <si>
    <t>PHÒNG KINH TẾ THÀNH PHỐ ĐÀ LẠT</t>
  </si>
  <si>
    <t>QNM</t>
  </si>
  <si>
    <t>UBND XÃ TAM THĂNG</t>
  </si>
  <si>
    <t>TRƯỜNG PHỔ THÔNG DÂN TỘC BÁN TRÚ THCS XÃ KHOEN ON</t>
  </si>
  <si>
    <t>DNTN PHÒNG CHO THUÊ KIM PHÁT</t>
  </si>
  <si>
    <t>TRƯỜNG TIỂU HỌC ĐỨC THẮNG 2</t>
  </si>
  <si>
    <t>TRƯỜNG THPT NGUYỄN NGỌC THĂNG</t>
  </si>
  <si>
    <t>Phòng Giao Dịch Ngân Hàng Chính Sách Xã Hội Huyện Mường Nhé</t>
  </si>
  <si>
    <t>Phòng Giao Dịch Ngân Hàng Chính Sách Xã Hội Huyện Nậm Pồ</t>
  </si>
  <si>
    <t>Phòng Giao Dịch Ngân Hàng Chính Sách Xã Hội Huyện Tủa Chùa</t>
  </si>
  <si>
    <t>Phòng Giao Dịch Ngân Hàng Chính Sách Xã Hội Huyện Tuần Giáo</t>
  </si>
  <si>
    <t>Phòng Giao Dịch Ngân Hàng Chính Sách Xã Hội Thị Xã Mường Lay</t>
  </si>
  <si>
    <t>Phòng Giao Dịch Ngân Hàng Chính Sách Xã Hội Huyện Điện Biên</t>
  </si>
  <si>
    <t>Phòng Giao Dịch Ngân Hàng Chính Sách Xã Hội Huyện Mường Chà</t>
  </si>
  <si>
    <t>Phòng Giao Dịch Ngân Hàng Chính Sách Xã Hội Huyện Mường Ảng</t>
  </si>
  <si>
    <t>Phòng Giao Dịch Ngân Hàng Chính Sách Xã Hội Huyện Điện Biên Đông</t>
  </si>
  <si>
    <t>TRƯỜNG THCS SỐ 2 VÕ LAO</t>
  </si>
  <si>
    <t>THA</t>
  </si>
  <si>
    <t>TRƯỜNG TRUNG HỌC CƠ SỞ THANH BÌNH</t>
  </si>
  <si>
    <t>VĂN PHÒNG THÀNH UỶ CÀ MAU</t>
  </si>
  <si>
    <t>DVKT</t>
  </si>
  <si>
    <t>QUỸ BẢO VỆ VÀ PHÁT TRIỂN RỪNG TỈNH LÂM ĐỒNG</t>
  </si>
  <si>
    <t>KGG</t>
  </si>
  <si>
    <t>CÔNG AN XÃ MÔNG SƠN</t>
  </si>
  <si>
    <t>CỤC THUẾ TỈNH THANH HOÁ</t>
  </si>
  <si>
    <t>CÔNG AN XÃ HỒNG CA</t>
  </si>
  <si>
    <t>CÔNG AN HUYỆN THANH THUỶ</t>
  </si>
  <si>
    <t>UBND XÃ HOÀNG KHAI</t>
  </si>
  <si>
    <t>QBH</t>
  </si>
  <si>
    <t>CÔNG AN HUYỆN BÙ ĐỐP</t>
  </si>
  <si>
    <t>Trường trung học cơ sở Hương Nộn</t>
  </si>
  <si>
    <t>HDG</t>
  </si>
  <si>
    <t>UBND XÃ THÁI TÂN</t>
  </si>
  <si>
    <t>UBND XÃ KIM TÂN</t>
  </si>
  <si>
    <t>TRƯỜNG THPT SỐP CỘP</t>
  </si>
  <si>
    <t>UBND XÃ XUÂN QUANG</t>
  </si>
  <si>
    <t>UBND Thị trấn Vĩnh Lộc - Huyện Chiêm Hóa - Tỉnh Tuyên Quang</t>
  </si>
  <si>
    <t>BỆNH VIỆN ĐA KHOA DIỄN CHÂU</t>
  </si>
  <si>
    <t>UBND XÃ BÌNH CHÁNH</t>
  </si>
  <si>
    <t>UBND THỊ TRẤN PHONG ĐIỀN</t>
  </si>
  <si>
    <t>UBND XÃ ĐIỀN LỘC</t>
  </si>
  <si>
    <t>UBND XÃ PHONG HIỀN</t>
  </si>
  <si>
    <t>UBND XÃ PHONG AN</t>
  </si>
  <si>
    <t>UBND xã Hòa Thành</t>
  </si>
  <si>
    <t>UỶ BAN NHÂN DÂN XÃ TRÀ CỔ</t>
  </si>
  <si>
    <t>TRƯỜNG MẦM NON HOÀ AN</t>
  </si>
  <si>
    <t>BỘ CHỈ HUY BỘ ĐỘI BIÊN PHÒNG TỈNH CÀ MAU</t>
  </si>
  <si>
    <t>ĐOÀN THANH NIÊN XÃ HÒA TÂN</t>
  </si>
  <si>
    <t>PHÒNG VĂN HOÁ &amp; THÔNG TIN HUYỆN HÀM TÂN</t>
  </si>
  <si>
    <t>UBND XÃ DIỄN ĐỒNG</t>
  </si>
  <si>
    <t>HỌC VIỆN ÂM NHẠC HUẾ</t>
  </si>
  <si>
    <t>VIỆN KIỂM SÁT NHÂN DÂN TỈNH NGHỆ AN</t>
  </si>
  <si>
    <t>TRƯỜNG TIỂU HỌC THANH NGUYÊN</t>
  </si>
  <si>
    <t>TRUNG TÂM TƯ VẤN VÀ KIỂM ĐỊNH XÂY DỰNG AG</t>
  </si>
  <si>
    <t>PHÒNG TÀI CHÍNH KẾ HOẠCH</t>
  </si>
  <si>
    <t>Ubnd Xã Trung Trực</t>
  </si>
  <si>
    <t>BỆNH VIỆN ĐA KHOA KHU VỰC BẮC BÌNH THUẬN</t>
  </si>
  <si>
    <t>UBND XÃ PÚNG LUÔNG</t>
  </si>
  <si>
    <t>Trường THPT Chu Văn Thịnh</t>
  </si>
  <si>
    <t>Cục Công Nghệ Thông Tin - Bộ Công An</t>
  </si>
  <si>
    <t>UBND XÃ VÂN THỦY</t>
  </si>
  <si>
    <t>PHÒNG GIÁO DỤC &amp; ĐÀO TẠO HUYỆN HÀM TÂN</t>
  </si>
  <si>
    <t>VPC</t>
  </si>
  <si>
    <t>TRƯỜNG TRUNG HỌC CƠ SỞ PHỤ KHÁNH</t>
  </si>
  <si>
    <t>Ủy ban nhân dân xã Cao Xá, huyện Lâm Thao</t>
  </si>
  <si>
    <t>TRƯỜNG MẦM NON SAO SÁNG</t>
  </si>
  <si>
    <t>TRƯỜNG TRUNG HỌC CƠ SỞ VÀ TRUNG HỌC PHỔ THÔNG HÒA BÌNH</t>
  </si>
  <si>
    <t>UBND THỊ TRẤN HÀ TRUNG</t>
  </si>
  <si>
    <t>UBND XÃ IA PUCH</t>
  </si>
  <si>
    <t>UBND XÃ SÔNG LÔ</t>
  </si>
  <si>
    <t>UBND XÃ CẨM THÀNH</t>
  </si>
  <si>
    <t>TRUNG TÂM Y TẾ HUYỆN HẠ HOÀ</t>
  </si>
  <si>
    <t>UBND xã Trực Khang</t>
  </si>
  <si>
    <t>CÔNG AN HUYỆN NINH GIANG</t>
  </si>
  <si>
    <t>Trường THCS Đại Phúc</t>
  </si>
  <si>
    <t>TRƯỜNG TRUNG HỌC CƠ SỞ QUẢNG MINH</t>
  </si>
  <si>
    <t>TRƯỜNG TIỂU HỌC BÌNH TÂN</t>
  </si>
  <si>
    <t>PHÒNG NÔNG NGHIỆP &amp; PT NÔNG THÔN HUYỆN HÀM TÂN</t>
  </si>
  <si>
    <t>TRƯỜNG TRUNG HỌC CƠ SỞ LONG KHÁNH A</t>
  </si>
  <si>
    <t>PHÒNG VĂN HOÁ THÔNG TIN HUYỆN HÀ QUẢNG</t>
  </si>
  <si>
    <t>QTI</t>
  </si>
  <si>
    <t>UỶ BAN NHÂN DÂN XÃ ĐĂK SÔR</t>
  </si>
  <si>
    <t>UBND XÃ DIỄN KIM</t>
  </si>
  <si>
    <t>ỦY BAN NHÂN DÂN PHƯỜNG BỒNG SƠN</t>
  </si>
  <si>
    <t>TRƯỜNG MẦM NON PHÚ CƯỜNG</t>
  </si>
  <si>
    <t>PHÒNG NỘI VỤ HUYỆN HÀM TÂN</t>
  </si>
  <si>
    <t>TRUNG TÂM Y TẾ HUYỆN HƯNG NGUYÊN</t>
  </si>
  <si>
    <t>Thôn An Điền Bắc</t>
  </si>
  <si>
    <t>Trường THPT Phan Văn Trị</t>
  </si>
  <si>
    <t>HUG</t>
  </si>
  <si>
    <t>TRƯỜNG MẦM NON ĐÔNG VĨNH</t>
  </si>
  <si>
    <t>TRƯỜNG TIỂU HỌC TRƯỜNG THI</t>
  </si>
  <si>
    <t>TRƯỜNG THCS VÀ THPT TRẦN ĐỀ</t>
  </si>
  <si>
    <t>TRƯỜNG TIỂU HỌC VÀ THCS SƠ PAI</t>
  </si>
  <si>
    <t>TRƯỜNG THPT PHAN LIÊM</t>
  </si>
  <si>
    <t>TRƯỜNG TRUNG HỌC PHỔ THÔNG TÂN LANG</t>
  </si>
  <si>
    <t>Ubnd Xã Ngọc Trạo</t>
  </si>
  <si>
    <t>TRƯỜNG TIỂU HỌC THANH BÌNH</t>
  </si>
  <si>
    <t>TRƯỜNG TRUNG HỌC PHỔ THÔNG YÊN CHÂU</t>
  </si>
  <si>
    <t>UBND PHƯỜNG NGUYỄN DU</t>
  </si>
  <si>
    <t>Ủy Ban Nhân Dân Xã Kiệt Sơn</t>
  </si>
  <si>
    <t>LIÊN ĐOÀN ĐỊA CHẤT BẮC TRUNG BỘ</t>
  </si>
  <si>
    <t>Trường Thcs Mai Đình</t>
  </si>
  <si>
    <t>Ủy Ban Nhân Dân Xã Liễu Đô</t>
  </si>
  <si>
    <t>TRƯỜNG TRUNG HỌC CƠ SỞ TỨ MỸ</t>
  </si>
  <si>
    <t>Công An Tỉnh Bến Tre</t>
  </si>
  <si>
    <t>TRƯỜNG MẦM NON XÃ SƠN HÀ</t>
  </si>
  <si>
    <t>TRUNG TÂM Y TẾ CHÂU THÀNH</t>
  </si>
  <si>
    <t>ỦY BAN MẶT TRẬN TỔ QUỐC VIỆT NAM XÃ MINH TIẾN</t>
  </si>
  <si>
    <t>UBND XÃ THÀNH TIẾN</t>
  </si>
  <si>
    <t>TRƯỜNG CAO ĐẲNG Y TẾ PHÚ THỌ</t>
  </si>
  <si>
    <t>TRƯỜNG THPT TRẦN QUÝ CÁP</t>
  </si>
  <si>
    <t>Ubnd Xã Thành Thọ</t>
  </si>
  <si>
    <t>UBND XÃ VĨNH BÌNH</t>
  </si>
  <si>
    <t>Trường Tiểu Học Bình Phú</t>
  </si>
  <si>
    <t>Trường Tiểu Học Minh Tiến</t>
  </si>
  <si>
    <t>TRƯỜNG THPT NGUYỄN THỊ ĐỊNH</t>
  </si>
  <si>
    <t>Trung Tâm Y Tế Huyện Tân Hồng</t>
  </si>
  <si>
    <t>BỆNH VIỆN PHỤC HỒI CHỨC NĂNG THÀNH PHỐ ĐÀ NẴNG</t>
  </si>
  <si>
    <t>Trung Tâm Y Tế Huyện Thanh Sơn</t>
  </si>
  <si>
    <t>TRUNG TÂM Y TẾ HUYỆN LẠC DƯƠNG</t>
  </si>
  <si>
    <t>VĂN PHÒNG HĐND VÀ UBND HUYỆN NAM ĐÔNG</t>
  </si>
  <si>
    <t>UBND XÃ PHONG CHƯƠNG</t>
  </si>
  <si>
    <t>UBND Xã Hương Xuân</t>
  </si>
  <si>
    <t>BỆNH VIỆN ĐÀ NẴNG</t>
  </si>
  <si>
    <t>Bệnh Viện Y Học Cổ Truyền Đồng Tháp</t>
  </si>
  <si>
    <t>HGG</t>
  </si>
  <si>
    <t>Văn Phòng Hđnd&amp;ubnd Huyện Hàm Tân</t>
  </si>
  <si>
    <t>Ubnd Xã Nghĩa Sơn</t>
  </si>
  <si>
    <t>Trường Tiểu Học Đỗ Ngọc Du</t>
  </si>
  <si>
    <t>Trường Tiều Học Hoà Nam I</t>
  </si>
  <si>
    <t>UBND XÃ SƠN MỸ</t>
  </si>
  <si>
    <t>PHÒNG VĂN HÓA VÀ THÔNG TIN HUYỆN SÔNG HINH</t>
  </si>
  <si>
    <t>CÔNG AN TỈNH QUẢNG NGÃI</t>
  </si>
  <si>
    <t>UBND THỊ TRẤN TÂN NGHĨA</t>
  </si>
  <si>
    <t>UBND XÃ TRỰC CHÍNH</t>
  </si>
  <si>
    <t>UBND THỊ TRẤN TÂN MINH</t>
  </si>
  <si>
    <t>TRƯỜNG THPT NGÔ SỸ LIÊN</t>
  </si>
  <si>
    <t>Trường Thpt Na Dương</t>
  </si>
  <si>
    <t>KTM</t>
  </si>
  <si>
    <t>Trường Thpt Nguyễn Bỉnh Khiêm</t>
  </si>
  <si>
    <t>UBND XÃ THỐNG NHẤT</t>
  </si>
  <si>
    <t>UBND XÃ THỊ HOA</t>
  </si>
  <si>
    <t>UBND XÃ VINH QUÝ</t>
  </si>
  <si>
    <t>UBND XÃ CÔ NGÂN</t>
  </si>
  <si>
    <t>UBND THỊ TRẤN THANH NHẬT</t>
  </si>
  <si>
    <t>Bệnh Viện Y Học Cổ Truyền Nghệ An</t>
  </si>
  <si>
    <t>CÔNG AN XÃ SƠN TRƯỜNG</t>
  </si>
  <si>
    <t>Văn Phòng Đăng Ký Đất Đai Tỉnh An Giang</t>
  </si>
  <si>
    <t>Văn Phòng Hội Đồng Nhân Dân Và Uỷ Ban Nhân Dân Huyện Trạm Tấu</t>
  </si>
  <si>
    <t>Công An Xã Yên Phú</t>
  </si>
  <si>
    <t>Ubnd Xã An Lạc</t>
  </si>
  <si>
    <t>UỶ BAN NHÂN DÂN XÃ LÝ QUỐC</t>
  </si>
  <si>
    <t>Ubnd Xã Đức Quang</t>
  </si>
  <si>
    <t>Trường Mầm Non Bảo Đài</t>
  </si>
  <si>
    <t>TRƯỜNG THPT CÁCH LINH</t>
  </si>
  <si>
    <t>UBND XÃ BIỂN ĐỘNG</t>
  </si>
  <si>
    <t>Ubnd Thị Trấn Cao Thượng</t>
  </si>
  <si>
    <t>SỞ TÀI NGUYÊN VÀ MÔI TRƯỜNG</t>
  </si>
  <si>
    <t>TRƯỜNG TIỂU HỌC BÀNH TRẠCH</t>
  </si>
  <si>
    <t>Trung tâm y tế huyện Tân Sơn</t>
  </si>
  <si>
    <t>Trường Trung Học Phổ Thông Minh Hòa</t>
  </si>
  <si>
    <t>Trường Mầm Non Phú Hiệp</t>
  </si>
  <si>
    <t>Trung Tâm Y Tế Huyện Tam Bình</t>
  </si>
  <si>
    <t>UBND xã Cẩm Quang</t>
  </si>
  <si>
    <t>VĂN PHÒNG UBND HUYỆN QUỲ HỢP</t>
  </si>
  <si>
    <t>Trường Tiểu Học Châu Thôn</t>
  </si>
  <si>
    <t>Ubnd Xã Sỹ Bình</t>
  </si>
  <si>
    <t>UBND XÃ MỸ THANH</t>
  </si>
  <si>
    <t>UBND XÃ QUANG THUẬN</t>
  </si>
  <si>
    <t>TRƯỜNG THCS ĐỘI CUNG</t>
  </si>
  <si>
    <t>TRUNG TÂM HOẠT ĐỘNG THANH THIẾU NHI TỈNH BẮC KẠN</t>
  </si>
  <si>
    <t>Trung Tâm Hoạt Động Thanh Thiếu Nhi Tỉnh Bắc Kạn</t>
  </si>
  <si>
    <t>Ubnd Xã Hà Tây</t>
  </si>
  <si>
    <t>TRUNG TÂM Y TẾ THÀNH PHỐ TỪ SƠN</t>
  </si>
  <si>
    <t>QUỸ TÍN DỤNG NHÂN DÂN NGÔ MÂY</t>
  </si>
  <si>
    <t>TRƯỜNG TIỂU HỌC LIÊM SƠN</t>
  </si>
  <si>
    <t>Ủy Ban Nhân Dân Xã Phú Lộc</t>
  </si>
  <si>
    <t>UBND XÃ NGHĨA XUÂN</t>
  </si>
  <si>
    <t>TRUNG TÂM NHIỆT ĐỚI VIỆT NGA</t>
  </si>
  <si>
    <t>Đoàn Tncs Hồ Chí Minh Tỉnh Điện Biên</t>
  </si>
  <si>
    <t>ỦY BAN NHÂN DÂN XÃ AN LĨNH</t>
  </si>
  <si>
    <t>UBND PHƯỜNG MINH KHAI</t>
  </si>
  <si>
    <t>Công An Xã Nà Hẩu</t>
  </si>
  <si>
    <t>Uỷ Ban Nhân Dân Xã Hòa Bình</t>
  </si>
  <si>
    <t>TẬP ĐOÀN CÔNG NGHIỆP - VIỄN THÔNG QUÂN ĐỘI</t>
  </si>
  <si>
    <t>Trường Trung Học Phổ Thông Thông Huề</t>
  </si>
  <si>
    <t>UBND XÃ ĐỒNG LOAN</t>
  </si>
  <si>
    <t>UBND THỊ TRẤN PHỦ THÔNG</t>
  </si>
  <si>
    <t>UBND XÃ YÊN HỒ</t>
  </si>
  <si>
    <t>Uỷ Ban Nhân Dân Xã Hữu Liên</t>
  </si>
  <si>
    <t>Uỷ Ban Nhân Dân Xã Yên Thịnh</t>
  </si>
  <si>
    <t>Ubnd Xã Ngọc Vân</t>
  </si>
  <si>
    <t>Trường Thcs Cao Xá</t>
  </si>
  <si>
    <t>TRƯỜNG THCS LIÊM PHÚ</t>
  </si>
  <si>
    <t>Trường Mâm Non Hòa Mạc</t>
  </si>
  <si>
    <t>TRƯỜNG TIỂU HỌC THẲM DƯƠNG</t>
  </si>
  <si>
    <t>TRƯỜNG MẦM NON NẬM MẢ</t>
  </si>
  <si>
    <t>TRƯỜNG TIỂU HỌC HOÀNG VĂN THỤ</t>
  </si>
  <si>
    <t>Ubnd Xã Liêm Hải</t>
  </si>
  <si>
    <t>Trường Trung Học Phổ Thông Nguyễn Bỉnh Khiêm</t>
  </si>
  <si>
    <t>Trường Mầm Non Số 1 Khánh Yên Hạ</t>
  </si>
  <si>
    <t>TRƯỜNG TIỂU HỌC SỐ 2 CHIỀNG KEN</t>
  </si>
  <si>
    <t>Ubnd Xã Quang Long</t>
  </si>
  <si>
    <t>Ubnd Xã Thắng Lợi</t>
  </si>
  <si>
    <t>Ubnd Xã Minh Long</t>
  </si>
  <si>
    <t>Bệnh viện đa khoa tỉnh Yên Bái</t>
  </si>
  <si>
    <t>Trường Cao Đẳng Đà Lạt</t>
  </si>
  <si>
    <t>TRUNG TÂM GIÁO DỤC NGHỀ NGHIỆP ĐÀO TẠO VÀ SÁT HẠCH LÁI XE CHIẾN THẮNG</t>
  </si>
  <si>
    <t>TRƯỜNG MẦM NON VÀ TIỂU HỌC SỐ 2 NẬM XÂY</t>
  </si>
  <si>
    <t>Công An Xã Tứ Quận-xã Tứ Quận-huyện Yên Sơn-tỉnh Tuyên Quang</t>
  </si>
  <si>
    <t>Bệnh viện Sản - Nhi Bắc Giang</t>
  </si>
  <si>
    <t>Trung Tâm Trợ Giúp Pháp Lý Nhà Nước Tỉnh Đắk Nông</t>
  </si>
  <si>
    <t>Ủy Ban Nhân Dân Thị Trấn Long Thành</t>
  </si>
  <si>
    <t>Xã Đồng Ích</t>
  </si>
  <si>
    <t>Ngân Hàng Thương Mạicổ Phần Đầu Tư Và Phát Triển - Chi Nhánh Lào Cai</t>
  </si>
  <si>
    <t>HYN</t>
  </si>
  <si>
    <t>Trường Trung Học Cơ Sở Quỳnh Giang</t>
  </si>
  <si>
    <t>Ủy Ban Mặt Trận Tổ Quốc Xã Nghi Phong</t>
  </si>
  <si>
    <t>Công An Tỉnh Hòa Bình</t>
  </si>
  <si>
    <t>Phòngtài Chính - Kế Hoạch Huyện Châu Thành</t>
  </si>
  <si>
    <t>Ubnd Xã Đắc Tôi</t>
  </si>
  <si>
    <t>Công An Tỉnh Lâm Đồng</t>
  </si>
  <si>
    <t>Phòng Dân Tọc Huyện Sông Hinh</t>
  </si>
  <si>
    <t>Ubnd Xã Ea Kmút</t>
  </si>
  <si>
    <t>Đoàn Thanh Niên Xã Hòa Tân</t>
  </si>
  <si>
    <t>Uỷ Ban Nhân Dân Xã Minh Đức</t>
  </si>
  <si>
    <t>CÔNG AN TỈNH THANH HOÁ</t>
  </si>
  <si>
    <t>Uỷ Ban Nhân Dân Xã Phương Công</t>
  </si>
  <si>
    <t>Ngân hàng TMCP Sài Gòn- Hà Nội(SHB)</t>
  </si>
  <si>
    <t>Ngân Hàng Thương Mại Cổ Phần Đầu Tư Và Phát Triển Việt Nam - Chi Nhánh Bắc Giang</t>
  </si>
  <si>
    <t>CÔNG AN HUYỆN VIỆT YÊN</t>
  </si>
  <si>
    <t>Ubnd Xã Yên Hợp</t>
  </si>
  <si>
    <t>Đảng Ủy Xã Vĩnh Chánh</t>
  </si>
  <si>
    <t>trường mầm non nam hà</t>
  </si>
  <si>
    <t>Bệnh Viện Đa Khoa Lâm Đồng</t>
  </si>
  <si>
    <t>Trường Tiểu Học Mỹ Phương</t>
  </si>
  <si>
    <t>Ubnd Xã Nấm Dẩn</t>
  </si>
  <si>
    <t>TRƯỜNG THCS THỚI LAI</t>
  </si>
  <si>
    <t>TRƯỜNG TIỂU HỌC NGUYỄN ĐÌNH CHIỂU</t>
  </si>
  <si>
    <t>UBND PHƯỜNG HOÀI THANH TÂY</t>
  </si>
  <si>
    <t>UBND PHƯỜNG HOÀI HẢO</t>
  </si>
  <si>
    <t>Trung Tâm Y Tế Huyện Trực Ninh</t>
  </si>
  <si>
    <t>Trường Tiểu Học Và Thcs Hoàng Văn Thọ</t>
  </si>
  <si>
    <t>TRƯỜNG TIỂU HỌC VÀ THCS CHIỀNG PHUNG</t>
  </si>
  <si>
    <t>UBND XÃ CÔN MINH</t>
  </si>
  <si>
    <t>Trung Tâm Y Tế Huyện Quảng Hòa</t>
  </si>
  <si>
    <t>Trường Tiểu Học Phan Văn Năm</t>
  </si>
  <si>
    <t>UBND Xã Bản Phố</t>
  </si>
  <si>
    <t>Bệnh Viện Đa Khoa Trung Tâm An Giang</t>
  </si>
  <si>
    <t>Ủy Ban Nhân Dân Xã Bản Phiệt</t>
  </si>
  <si>
    <t>Đoàn Tncs Hồ Chí Minh Tỉnh Vĩnh Phúc</t>
  </si>
  <si>
    <t>Uỷ Ban Nhân Dân Xã Mỹ Sơn</t>
  </si>
  <si>
    <t>UBND XÃ CỐC LY</t>
  </si>
  <si>
    <t>Trường Tiểu Học Mỹ Xá</t>
  </si>
  <si>
    <t>UBND XÃ PHONG PHÚ</t>
  </si>
  <si>
    <t>CHI CỤC THỦY SẢN</t>
  </si>
  <si>
    <t>THÔN NAM TÂN</t>
  </si>
  <si>
    <t>THÔN BONRUNG</t>
  </si>
  <si>
    <t>THÔN BON RCẬP</t>
  </si>
  <si>
    <t>THÔN BON CHOIH</t>
  </si>
  <si>
    <t>Trường Mầm Non Hoa Phượng Vàng</t>
  </si>
  <si>
    <t>Văn Phòng Hội Đồng Nhân Dân - Ủy Ban Nhân Dân Huyện Mường Tè</t>
  </si>
  <si>
    <t>Phòng Văn Hoá Thông Tin Huyện Đắk Mil</t>
  </si>
  <si>
    <t>Sở Giáo dục và Đào tạo Thừa Thiên Huế</t>
  </si>
  <si>
    <t>Bệnh Viện Đa Khoa Khu Vực Ba Tri</t>
  </si>
  <si>
    <t>BỘ CHỈ HUY QUÂN SỰ TỈNH CÀ MAU</t>
  </si>
  <si>
    <t>Ngân Hàng Tmcp Sài Gòn Thương Tín – Chi Nhánh Ninh Bình</t>
  </si>
  <si>
    <t>Văn Phòng Uỷ Ban Nhân Dân Tỉnh Đắk Lắk</t>
  </si>
  <si>
    <t>UỶ BAN NHÂN DÂN XÃ ĐÔNG MỸ</t>
  </si>
  <si>
    <t>UỶ BAN NHÂN DÂN XÃ HÀM MỸ</t>
  </si>
  <si>
    <t>Quân Khu 7</t>
  </si>
  <si>
    <t>PHÒNG NÔNG NGHIỆP VÀ PHÁT TRIỂN NÔNG THÔN HUYỆN BẢO THẮNG</t>
  </si>
  <si>
    <t>Ngân Hàng Nông Nghiệp Và Ptnn Việt Nam Chi Nhánh Huyện Văn Chấn Yên Bái</t>
  </si>
  <si>
    <t>Uỷ Ban Nhân Dân Xã Đội Cấn</t>
  </si>
  <si>
    <t>Ubnd Xã Việt Ngọc</t>
  </si>
  <si>
    <t>Ubnd Huyện Nghi Lộc</t>
  </si>
  <si>
    <t>TRƯỜNG ĐẠI HỌC Y KHOA VINH</t>
  </si>
  <si>
    <t>Trường Tiểu Học Và Thcs Gio Hải Số</t>
  </si>
  <si>
    <t>Uỷ Ban Nhân Dân Xã Đông Thành</t>
  </si>
  <si>
    <t>UỶ BAN NHÂN DÂN XÃ ĐỊNH AN</t>
  </si>
  <si>
    <t>ỦY BAN NHÂN DÂN XÃ PHÚ LỘC</t>
  </si>
  <si>
    <t>Trường Tiểu Học Thanh Hải</t>
  </si>
  <si>
    <t>NGÂN HÀNG THƯƠNG MẠI CỔ PHẦN ĐÔNG NAM Á-CHI NHÁNH TIỀN GIANG</t>
  </si>
  <si>
    <t>TRƯỜNG MẦM NON XÃ TIẾN THẮNG</t>
  </si>
  <si>
    <t>Trường Mầm Non Xã Nhân Bình</t>
  </si>
  <si>
    <t>TRƯỜNG TIỂU HỌC XÃ TIẾN THẮNG</t>
  </si>
  <si>
    <t>Trường Tiểu học Nhân Hậu</t>
  </si>
  <si>
    <t>TRƯỜNG TIỂU HỌC XÃ PHÚ PHÚC</t>
  </si>
  <si>
    <t>TRƯỜNG TIỂU HỌC XÃ NHÂN THỊNH</t>
  </si>
  <si>
    <t>Trường Tiểu Học Xã Trần Hưng Đạo</t>
  </si>
  <si>
    <t>TRƯỜNG TIỂU HỌC XÃ CHÂN LÝ</t>
  </si>
  <si>
    <t>TRƯỜNG TIỀU HỌC XÃ NGUYÊN LÝ</t>
  </si>
  <si>
    <t>Trường Tiểu Học Xã Văn Lý</t>
  </si>
  <si>
    <t>TRƯỜNG TIỂU HỌC XÃ HỢP LÝ</t>
  </si>
  <si>
    <t>Trường Mầm Non Xã Nhân Nghĩa</t>
  </si>
  <si>
    <t>Trường Mầm Non Xã Đạo Lý</t>
  </si>
  <si>
    <t>Trường Mầm Non Xã Chân Lý</t>
  </si>
  <si>
    <t>Trường Mầm Non Xã Hợp Lý</t>
  </si>
  <si>
    <t>Công An Xã Bảo Ái</t>
  </si>
  <si>
    <t>BỘ CHỈ HUY BỘ ĐỘI BIÊN PHÒNG TỈNH LONG AN</t>
  </si>
  <si>
    <t>Tiểu học xã Xuân Khê</t>
  </si>
  <si>
    <t>Trường tiểu học Nhân Hòa</t>
  </si>
  <si>
    <t>TRUNG TÂM Y TẾ HUYỆN THÁI THỤY</t>
  </si>
  <si>
    <t>Đoàn Tncs Hồ Chí Minh Huyện Hữu Lũng</t>
  </si>
  <si>
    <t>Viettel Hà Tĩnh-Chi nhánh Tập đoàn Viễn thông Quân đội</t>
  </si>
  <si>
    <t>TRUNG TÂM Y TẾ HUYỆN THOẠI SƠN</t>
  </si>
  <si>
    <t>Viện Kiểm Sát Nhân Dân Tỉnh Trà Vinh</t>
  </si>
  <si>
    <t>Ủy Ban Nhân Dân Xã Lê Lợi</t>
  </si>
  <si>
    <t>ỦY BAN NHÂN DÂN XÃ QUẢNG BẠCH</t>
  </si>
  <si>
    <t>Trường Tiểu Học Cổ Tiết</t>
  </si>
  <si>
    <t>Ubnd Phường Mai Hùng</t>
  </si>
  <si>
    <t>Sở Tài Chính Tỉnh Phú Thọ</t>
  </si>
  <si>
    <t>VĂN PHÒNG HĐND VÀ UBND HUYỆN CHỢ ĐỒN</t>
  </si>
  <si>
    <t>Công An Xã Long Mỹ</t>
  </si>
  <si>
    <t>BỘ CHỈ HUY QUÂN SỰ TỈNH CAO BẰNG</t>
  </si>
  <si>
    <t>ỦY BAN NHÂN DÂN XÃ TIÊN LƯƠNG</t>
  </si>
  <si>
    <t>Công An Huyện Hạ Hoà</t>
  </si>
  <si>
    <t>Trường Thcs Đại Phúc</t>
  </si>
  <si>
    <t>Ubnd Xã Kiến Thành</t>
  </si>
  <si>
    <t>Ubnd Xã Hiệp Đức</t>
  </si>
  <si>
    <t>Trường Đại học Nha Trang</t>
  </si>
  <si>
    <t>TRƯỜNG THCS TRẢNG DÀI</t>
  </si>
  <si>
    <t>Ủy Ban Nhân Dân Xã Tam Giang Tây</t>
  </si>
  <si>
    <t>NGÂN HÀNG NÔNG NGHIỆP VÀ PHÁT TRIỂN NÔNG THÔN VIỆT NAM - CHI NHÁNH TỈNH TRÀ VINH</t>
  </si>
  <si>
    <t>UBND XÃ ĐẠI ÂN 2</t>
  </si>
  <si>
    <t>UBND Quận Bắc Từ Liêm</t>
  </si>
  <si>
    <t>TRƯỜNG THCS HOÀ NINH</t>
  </si>
  <si>
    <t>UBND XÃ CHIỀNG ĐEN</t>
  </si>
  <si>
    <t>Phòng Giao Dịch Ngân Hàng Chính Sách Xã Hội (nhcsxh) Huyện Văn Lãng</t>
  </si>
  <si>
    <t>TRƯỜNG TIỂU HỌC NGUYỄN THÁI HỌC</t>
  </si>
  <si>
    <t>Trung Tâm Chính Trị Huyện Cái Bè</t>
  </si>
  <si>
    <t>Ngân Hàng Nhà Nước Chi Nhánh Tỉnh Đồng Tháp</t>
  </si>
  <si>
    <t>TRƯỜNG THCS THỊ TRẤN BỐ HẠ</t>
  </si>
  <si>
    <t>Ủy Ban Nhân Dân Xã Đông Hải</t>
  </si>
  <si>
    <t>BỘ CHỈ HUY BỘ ĐỘI BIÊN PHÒNG TỈNH GIA LAI</t>
  </si>
  <si>
    <t>Trung Tâm Y Tế Huyện Sông Hinh</t>
  </si>
  <si>
    <t>TRƯỜNG TIỂU HỌC KHÁNH YÊN THƯỢNG</t>
  </si>
  <si>
    <t>UBND XÃ ĐĂK MÔN</t>
  </si>
  <si>
    <t>Ngân Hàng Chính Sách Xã Hội Chi Nhánh Tỉnh Hà Tĩnh</t>
  </si>
  <si>
    <t>UBND XÃ ĐÔNG BÌNH</t>
  </si>
  <si>
    <t>TRƯỜNG THCS KÔNG BỜ LA</t>
  </si>
  <si>
    <t>Bộ Chỉ Huy Quân Sự Tỉnh Đồng Tháp</t>
  </si>
  <si>
    <t>UBND XÃ CƯ LỄ</t>
  </si>
  <si>
    <t>Trường Thcs Lý Thái Tổ</t>
  </si>
  <si>
    <t>TRƯỜNG PTDTBT THCS SƠN THUỶ</t>
  </si>
  <si>
    <t>Uỷ Ban Dân Dân Xã Mã Ba</t>
  </si>
  <si>
    <t>Ủy Ban Nhân Dân Xã Lũng Nặm</t>
  </si>
  <si>
    <t>SỞ GIÁO DỤC VÀ ĐÀO TẠO BẮC GIANG</t>
  </si>
  <si>
    <t>TRƯỜNG TRUNG HỌC PHỔ THÔNG TÁN KẾ</t>
  </si>
  <si>
    <t>UBND XÃ NHỮ HÁN</t>
  </si>
  <si>
    <t>TRƯỜNG TIỂU HỌC VÀ TRUNG HỌC CƠ SỞ MINH THÀNH</t>
  </si>
  <si>
    <t>Công An Xã Kim Nọi</t>
  </si>
  <si>
    <t>UBND PHƯỜNG PHƯỚC HOÀ</t>
  </si>
  <si>
    <t>UBND XÃ ĐĂK CHOONG</t>
  </si>
  <si>
    <t>Ủy Ban Nhân Dân Xã Phượng Vỹ</t>
  </si>
  <si>
    <t>UBND PHƯỜNG PHÚ TÀI</t>
  </si>
  <si>
    <t>Ubnd Huyện Quỳnh Lưu</t>
  </si>
  <si>
    <t>Uỷ Ban Nhân Dân Xã Song Phụng</t>
  </si>
  <si>
    <t>TRƯỜNG PTDT NỘI TRÚ</t>
  </si>
  <si>
    <t>ĐOÀN TNCS HỒ CHÍ MINH TỈNH BẮC KẠN</t>
  </si>
  <si>
    <t>PHÒNG DÂN TỘC HUYỆN VĂN BÀN</t>
  </si>
  <si>
    <t>Công An Thành Phố Hải Phòng</t>
  </si>
  <si>
    <t>UBND XÃ HƯNG MỸ HUYỆN CHÂU THÀNH</t>
  </si>
  <si>
    <t>Ủy Ban Nhân Dân Xã Vĩnh Lại</t>
  </si>
  <si>
    <t>ỦY BAN NHÂN DÂN XÃ HỰU THÀNH</t>
  </si>
  <si>
    <t>TRƯỜNG PTDTBT TH VÀ THCS DẾ XU PHÌNH</t>
  </si>
  <si>
    <t>Thôn 11 Xã Lưỡng Vượng</t>
  </si>
  <si>
    <t>VĂN PHÒNG HUYỆN ỦY CỜ ĐỎ</t>
  </si>
  <si>
    <t>Trung Tâm Văn Hoá - Thể Thao Và Truyền Thanh Huyện Chợ Mới</t>
  </si>
  <si>
    <t>TRƯỜNG THCS MINH PHƯƠNG</t>
  </si>
  <si>
    <t>Trường Mẫu Giáo Bông Hồng 1</t>
  </si>
  <si>
    <t>VĂN PHÒNG UBND HUYỆN</t>
  </si>
  <si>
    <t>TRƯỜNG MẦM NON NAM KIM</t>
  </si>
  <si>
    <t>TRƯỜNG TIỂU HỌC HƯNG ĐÔNG</t>
  </si>
  <si>
    <t>TRƯỜNG TIỂU HỌC LÝ THƯỜNG KIỆT</t>
  </si>
  <si>
    <t>Trường Tểu Học Phong Thạnh A</t>
  </si>
  <si>
    <t>UBND XÃ HÒA TÂN TÂY</t>
  </si>
  <si>
    <t>Văn Phòng Hội Đồng Nhân Dân - Uỷ Ban Nhân Dân Tp. Sóc Trăng</t>
  </si>
  <si>
    <t>PHÒNG VĂN HÓA VÀ THÔNG TIN HUYỆN TÂY SƠN</t>
  </si>
  <si>
    <t>Thôn Khối Dố</t>
  </si>
  <si>
    <t>UBND XÃ HOÀ AN</t>
  </si>
  <si>
    <t>Trường Đại Học Thủ Dầu Một</t>
  </si>
  <si>
    <t>Trường Phổ Thông Trung Học Quỳnh Nhai</t>
  </si>
  <si>
    <t>Viễn Thông Hậu Giang</t>
  </si>
  <si>
    <t>TRƯỜNG TIỂU HỌC QUỲNH GIANG</t>
  </si>
  <si>
    <t>TRƯỜNG MẦM NON QUỲNH ĐÔI</t>
  </si>
  <si>
    <t>Trường Tiểu Học Quỳnh Long</t>
  </si>
  <si>
    <t>TRƯỜNG TIỂU HỌC CẦU GIÁT</t>
  </si>
  <si>
    <t>UBND xã Ngọc Lý</t>
  </si>
  <si>
    <t>Trường Mầm Non Phú Thành B</t>
  </si>
  <si>
    <t>PHÒNG VĂN HÓA VÀ THÔNG TIN</t>
  </si>
  <si>
    <t>Văn Phòng Hđnd Và Ubnd Huyện Tân Yên</t>
  </si>
  <si>
    <t>TRƯỜNG ĐẠI HỌC TÀI CHÍNH MARKETING</t>
  </si>
  <si>
    <t>Ủy Ban Nhân Dân Xã Minh Đài</t>
  </si>
  <si>
    <t>TRƯỜNG TRUNG HỌC CƠ SỞ VINH KIM</t>
  </si>
  <si>
    <t>ỦY BAN NHÂN DÂN XÃ BÀU CHINH</t>
  </si>
  <si>
    <t>TRƯỜNG TH &amp;THCS KIM LƯ</t>
  </si>
  <si>
    <t>TRƯỜNG THPT SỐ 2 MỘ ĐỨC</t>
  </si>
  <si>
    <t>TRƯỜNG TIỂU HỌC, TRUNG HỌC CƠ SỞ VÀ TRUNG HỌC PHỔ THÔNG ANH QUỐC</t>
  </si>
  <si>
    <t>TRƯỜNG MẦM NON XÃ CAN HỒ</t>
  </si>
  <si>
    <t>UBND XÃ ĐỨC BÌNH ĐÔNG</t>
  </si>
  <si>
    <t>TRUNG TÂM GIÁM SÁT ĐIỀU HÀNH ĐÔ THỊ THÔNG MINH TỈNH THỪA THIÊN HUẾ</t>
  </si>
  <si>
    <t>CÔNG AN HUYỆN ĐỒNG VĂN</t>
  </si>
  <si>
    <t>Ủy Ban Nhân Dân Xã Tân Phú</t>
  </si>
  <si>
    <t>Ủy Ban Nhân Dân Xã Hương Nộn</t>
  </si>
  <si>
    <t>PHÒNG VĂN HOÁ THÔNG TIN</t>
  </si>
  <si>
    <t>Trường Trung Học Sơ Sở Tam Thanh</t>
  </si>
  <si>
    <t>CÔNG AN TỈNH TUYÊN QUANG</t>
  </si>
  <si>
    <t>UỶ BAN NHÂN DÂN XÃ MINH TÂN</t>
  </si>
  <si>
    <t>UBND SƠN LAI</t>
  </si>
  <si>
    <t>UBND XÃ CÀ DY</t>
  </si>
  <si>
    <t>TRUNG TÂM ĐIỀU DƯỠNG NGƯỜI CÓ CÔNG TỈNH QUẢNG NINH</t>
  </si>
  <si>
    <t>Trường Tiểu Học Số 3 Ninh Hiệp</t>
  </si>
  <si>
    <t>Uỷ Ban Nhân Dân Xã Vạn Bình</t>
  </si>
  <si>
    <t>TRƯỜNG MẦM NON TUỔI THƠ</t>
  </si>
  <si>
    <t>Ủy Ban Nhân Dân Xã Phước Nam</t>
  </si>
  <si>
    <t>TRUNG TÂM VĂN HOÁ, THÔNG TIN, THỂ THAO VÀ DU LỊCH TP SẦM SƠN</t>
  </si>
  <si>
    <t>Ubnd Xã Tân Tiến</t>
  </si>
  <si>
    <t>Ubnd Xã Trực Hưng</t>
  </si>
  <si>
    <t>Quỹ tín dụng Chí Hòa</t>
  </si>
  <si>
    <t>Trường Đại Học Đồng Tháp</t>
  </si>
  <si>
    <t>TRUNG TÂM CHÍNH TRỊ HUYỆN CHÂU THÀNH</t>
  </si>
  <si>
    <t>Cục Nhà Trường/bộ Tổng Tham Mưu</t>
  </si>
  <si>
    <t>TRƯỜNG TIỂU HỌC TÂN QUỚI TRUNG A</t>
  </si>
  <si>
    <t>TRƯỜNG TIỂU HỌC LƯƠNG PHONG SỐ 1</t>
  </si>
  <si>
    <t>TRƯỜNG TIỂU HỌC HUYỀN TỤNG</t>
  </si>
  <si>
    <t>TRƯỜNG ĐẠI HỌC KIẾN TRÚC THÀNH PHỐ HỒ CHÍ MINH</t>
  </si>
  <si>
    <t>Trường Tiểu Học Nghi Thạch</t>
  </si>
  <si>
    <t>UBND XÃ LONG KHÁNH</t>
  </si>
  <si>
    <t>Ngân Hàng Nông Nghiệp Và Phát Triển Nông Thôn Việt Nam - Chi Nhánh Nam Nghệ An</t>
  </si>
  <si>
    <t>Viện Khoa Học Địa Chất Và Khoáng Sản</t>
  </si>
  <si>
    <t>Cục An Ninh Nội Địa – Bộ Công An</t>
  </si>
  <si>
    <t>TRƯỜNG TIỂU HỌC A KIỆN KHÊ</t>
  </si>
  <si>
    <t>Ủy Ban Nhân Dân Xã Hoàng Nam</t>
  </si>
  <si>
    <t>TRƯỜNG TIỂU HỌC DIỄN LÂM 1</t>
  </si>
  <si>
    <t>Trường Tiểu Học Văn Lương</t>
  </si>
  <si>
    <t>TRƯỜNG MẦM NON DIỄN HỒNG</t>
  </si>
  <si>
    <t>Ubnd Xã Mỹ An</t>
  </si>
  <si>
    <t>Học Viện Công Nghệ Bưu Chính Viễn Thông</t>
  </si>
  <si>
    <t>Uỷ Ban Nhân Dân Xã Kiên Lao</t>
  </si>
  <si>
    <t>Trung Tâm Y Tế Thành Phố Tuy Hòa</t>
  </si>
  <si>
    <t>TRƯỜNG MẦM NON HÀ HIỆU</t>
  </si>
  <si>
    <t>Trung Tâm Y Tế Huyện Bạch Thông</t>
  </si>
  <si>
    <t>HỘI NÔNG DÂN TỈNH THỪA THIÊN HUẾ</t>
  </si>
  <si>
    <t>CÔNG AN TỈNH CÀ MAU</t>
  </si>
  <si>
    <t>Sở Xây Dựng Tỉnh Cà Mau</t>
  </si>
  <si>
    <t>TRƯỜNG TIỂU HỌC TÂN THUẬN TÂY</t>
  </si>
  <si>
    <t>Trường THPT Chuyên Phan Ngọc Hiển</t>
  </si>
  <si>
    <t>VĂN PHÒNG HĐND-UBND HUYỆN HIỆP HÒA</t>
  </si>
  <si>
    <t>Ubnd Xã Thạnh Thới An</t>
  </si>
  <si>
    <t>BỆNH VIỆN Y HỌC CỔ TRUYỀN TỈNH LAI CHÂU</t>
  </si>
  <si>
    <t>Trường Tiểu Học Vũ Ninh 2</t>
  </si>
  <si>
    <t>TRƯỜNG THCS KINH BẮC</t>
  </si>
  <si>
    <t>Ubnd Xã Bình An</t>
  </si>
  <si>
    <t>UBND XÃ TÂN TÂY</t>
  </si>
  <si>
    <t>TRƯỜNG TIỂU HỌC THỊ CẦU</t>
  </si>
  <si>
    <t>Cục Công Nghệ Thông Tin – Kho Bạc Nhà Nước</t>
  </si>
  <si>
    <t>SỞ KẾ HOẠCH VÀ ĐẦU TƯ TỈNH BÌNH ĐỊNH</t>
  </si>
  <si>
    <t>Bệnh viện A Thái Nguyên</t>
  </si>
  <si>
    <t>Trường Mầm Non Xã Bắc Lý</t>
  </si>
  <si>
    <t>Ủy Ban Nhân Dân Xã Hợp Hòa</t>
  </si>
  <si>
    <t>Ubnd Thị Trấn Vạn Giã</t>
  </si>
  <si>
    <t>Ngân Hàng Nông Nghiệp Và Phát Triển Nông Thôn Việt Nam – Chi Nhánh Huyện Lạc Dương, Lâm Đồng</t>
  </si>
  <si>
    <t>UBND XÃ THỌ SƠN</t>
  </si>
  <si>
    <t>Ủy Ban Nhân Dân Xã Vũ Đông</t>
  </si>
  <si>
    <t>TRƯỜNG THCS QUỲNH PHƯƠNG</t>
  </si>
  <si>
    <t>Trường Thpt Hùng Vương</t>
  </si>
  <si>
    <t>Sở Tài Chính Tỉnh Tiền Giang</t>
  </si>
  <si>
    <t>Bệnh Viện Y Học Cổ Truyền Nghệ An</t>
  </si>
  <si>
    <t>Hội Người Cao Tuổi Tỉnh Tiền Giang</t>
  </si>
  <si>
    <t>TRƯỜNG TIỂU HỌC B AN HỮU</t>
  </si>
  <si>
    <t>Trường Tiểu Học Tân Dĩnh</t>
  </si>
  <si>
    <t>Trường Tiểu Học Long Hòa</t>
  </si>
  <si>
    <t>Sở Tài Nguyên Và Môi Trường Tỉnh Hậu Giang</t>
  </si>
  <si>
    <t>UBND XÃ PHÚ HỰU</t>
  </si>
  <si>
    <t>Học Viện Chính Sách Và Phát Triển</t>
  </si>
  <si>
    <t>Trường MN Hưng Lễ</t>
  </si>
  <si>
    <t>Bệnh Viện Quân Y 4</t>
  </si>
  <si>
    <t>Trường Trung Học Cơ Sở Đào Duy Từ</t>
  </si>
  <si>
    <t>Ủy Ban Nhân Dân Xã Phước Diêm</t>
  </si>
  <si>
    <t>UBND XÃ LIÊM THUỶ</t>
  </si>
  <si>
    <t>BỆNH VIỆN Y DƯỢC CỔ TRUYỀN TUYÊN QUANG</t>
  </si>
  <si>
    <t>Trường Phổ Thông Dtnt Thcs Pác Nặm</t>
  </si>
  <si>
    <t>Trường Cao Đẳng Y Tế Bình Định</t>
  </si>
  <si>
    <t>Sở Thông Tin Và Truyền Thông Tỉnh Sơn La</t>
  </si>
  <si>
    <t>Trường Tiểu Học Phú Trinh 2</t>
  </si>
  <si>
    <t>UBND XÃ TIÊN THỌ</t>
  </si>
  <si>
    <t>Công An Thành Phố Bảo Lộc</t>
  </si>
  <si>
    <t>Ủy Ban Nhân Dân Xã Vạn Xuân</t>
  </si>
  <si>
    <t>UBND Xã Hơ Mông</t>
  </si>
  <si>
    <t>Ủy Ban Mttq Việt Nam Xã Nghĩa Trung</t>
  </si>
  <si>
    <t>Ubnd Xã Tam Sơn</t>
  </si>
  <si>
    <t>ỦY BAN NHÂN DÂN XÃ TAM LÃNH</t>
  </si>
  <si>
    <t>Ubnd Xã Thái Bình</t>
  </si>
  <si>
    <t>ỦY BAN NHÂN DÂN XÃ LANG QUÁN</t>
  </si>
  <si>
    <t>Ubnd Xã Chân Sơn</t>
  </si>
  <si>
    <t>VĂN PHÒNG ĐĂNG KÝ ĐẤT ĐAI THÀNH PHỐ ĐÀ NẴNG</t>
  </si>
  <si>
    <t>TRƯỜNG TIỀU HỌC THỊ TRẤN THẮNG</t>
  </si>
  <si>
    <t>Trường Thcs Thân Nhân Trung</t>
  </si>
  <si>
    <t>Uỷ Ban Nhân Dân Xã Kiên Thành</t>
  </si>
  <si>
    <t>TRƯỜNG THCS NGUYỄN VĂN TƯ</t>
  </si>
  <si>
    <t>Trung Tâm Y Tế Thị Xã Việt Yên</t>
  </si>
  <si>
    <t>PHÒNG KINH TẾ HẠ TẦNG</t>
  </si>
  <si>
    <t>Trường Th &amp; Thcs Nguyễn Du</t>
  </si>
  <si>
    <t>Thanh Tra Thị Xã Buôn Hồ</t>
  </si>
  <si>
    <t>Công an huyện Lục Ngạn tỉnh Bắc Giang</t>
  </si>
  <si>
    <t>Trường trung học cơ sở Nậm Mả</t>
  </si>
  <si>
    <t>UBND XÃ HY CƯƠNG</t>
  </si>
  <si>
    <t>TRƯỜNG CAO ĐẲNG ĐIỆN LỰC MIỀN BẮC</t>
  </si>
  <si>
    <t>UBND XÃ MAI TRUNG</t>
  </si>
  <si>
    <t>Trường Phổ Thông DTBT THCS Kim Thượng</t>
  </si>
  <si>
    <t>UBND XÃ LIÊN CHUNG</t>
  </si>
  <si>
    <t>Trung tâm y tế huyện Phù Mỹ</t>
  </si>
  <si>
    <t>UBND XÃ NGỌC CHÂU</t>
  </si>
  <si>
    <t>Ủy Ban Mặt Trận Tổ Quốc Việt Nam</t>
  </si>
  <si>
    <t>Trường Thcs Tam Đồng</t>
  </si>
  <si>
    <t>PHÒNG VĂN HOÁ VÀ THÔNG TIN HUYỆN TRẠM TẤU</t>
  </si>
  <si>
    <t>KHỐI ĐOÀN THỂ HUYỆN THẠCH AN TỈNH CAO BẰNG</t>
  </si>
  <si>
    <t>Trường Mầm Non Chí Viễn</t>
  </si>
  <si>
    <t>Văn Phòng Uỷ Ban Nhân Dân Tỉnh Tiền Giang</t>
  </si>
  <si>
    <t>CHI CỤC THỦY SẢN NAM ĐỊNH</t>
  </si>
  <si>
    <t>TRƯỜNG TIỂU HỌC TRƯNG VƯƠNG</t>
  </si>
  <si>
    <t>Phòng Giao Dịch Ngân Hàng Chính Sách Xã Hội (nhcsxh) Huyện Hữu Lũng</t>
  </si>
  <si>
    <t>Trường Thcs Thanh Bình</t>
  </si>
  <si>
    <t>Phòng Kinh Tế Và Hạ Tầng Huyện Quảng Hòa</t>
  </si>
  <si>
    <t>Ubnd Xã Kim Loan</t>
  </si>
  <si>
    <t>Ubnd Thị Trấn Diên Khánh</t>
  </si>
  <si>
    <t>Trung Tâm Quản Lý Cửa Khẩu</t>
  </si>
  <si>
    <t>Cục Quản Lý Thị Trường Tỉnh Cà Mau</t>
  </si>
  <si>
    <t>Công An Tỉnh Cà Mau</t>
  </si>
  <si>
    <t>CHI CỤC KIỂM LÂM</t>
  </si>
  <si>
    <t>TRUNG TÂM THÔNG TIN</t>
  </si>
  <si>
    <t>PHÒNG VĂN HOÁ THÔNG TIN HUYỆN ĐÔNG GIANG</t>
  </si>
  <si>
    <t>TRƯỜNG THCS HÀ HUY TẬP</t>
  </si>
  <si>
    <t>UBND XÃ THẮNG HẢI</t>
  </si>
  <si>
    <t>UBND XÃ HÒA ĐỒNG</t>
  </si>
  <si>
    <t>Trung Tâm Tiết Kiệm Năng Lượng Và Tư Vấn Chuyển Giao Công Nghệ Đà Nẵng</t>
  </si>
  <si>
    <t>PHÒNG GIÁO DỤC VÀ ĐÀO TẠO HUYỆN ĐẮK GLONG</t>
  </si>
  <si>
    <t>VIỆN KIỂM SÁT NHÂN DÂN TỈNH ĐĂK NÔNG</t>
  </si>
  <si>
    <t>TRƯỜNG THCS LONG LỘC</t>
  </si>
  <si>
    <t>NGÂN HÀNG NHÀ NƯỚC CHI NHÁNH TỈNH BẾN TRE</t>
  </si>
  <si>
    <t>Trường Thcs Diễn Kim</t>
  </si>
  <si>
    <t>TRƯỜNG TIỂU HỌC QUỲNH THANH B</t>
  </si>
  <si>
    <t>Trường Tiểu Học Quỳnh Hưng</t>
  </si>
  <si>
    <t>Trường Trung Học Cơ Sở Quỳnh Long</t>
  </si>
  <si>
    <t>UBND XÃ ĐẮK BLÀ</t>
  </si>
  <si>
    <t>Trường Thcs Cao Thượng</t>
  </si>
  <si>
    <t>Phòng Giao Dịch Ngân Hàng Chính Sách Xã Hội (nhcsxh) Huyện Tràng Định</t>
  </si>
  <si>
    <t>Trường Trung Học Cơ Sở Hòa Ân</t>
  </si>
  <si>
    <t>TRƯỜNG TIỂU HỌC QUANG TRUNG</t>
  </si>
  <si>
    <t>ỦY BAN NHÂN DÂN XÃ ĐOAN HẠ</t>
  </si>
  <si>
    <t>UBND XÃ PHAN DŨNG</t>
  </si>
  <si>
    <t>Ubnd Xã Phước Ninh</t>
  </si>
  <si>
    <t>Trung Tâm Y Tế Huyện Kỳ Anh</t>
  </si>
  <si>
    <t>Văn Phòng Đăng Ký Đất Đai Tỉnh Tuyên Quang</t>
  </si>
  <si>
    <t>UỶ BAN NHÂN DÂN XÃ VŨ NÔNG</t>
  </si>
  <si>
    <t>SỞ KHOA HỌC VÀ CÔNG NGHỆ HÀ TĨNH</t>
  </si>
  <si>
    <t>Uỷ Ban Nhân Dân Xã Vạn Phước</t>
  </si>
  <si>
    <t>UBND XÃ TÂY PHÚ</t>
  </si>
  <si>
    <t>Trường Thcs Khánh Yên Hạ</t>
  </si>
  <si>
    <t>TRƯỜNG TIỂU HỌC SỐ 1 KHÁNH YÊN HẠ</t>
  </si>
  <si>
    <t>TRUNG TÂM GIÁM ĐỊNH CHẤT LƯỢNG XÂY DỰNG</t>
  </si>
  <si>
    <t>UBND XÃ XUÂN VÂN</t>
  </si>
  <si>
    <t>UBND XÃ PHƯỚC DINH</t>
  </si>
  <si>
    <t>UBND XÃ ĐÔNG SƠN</t>
  </si>
  <si>
    <t>UBND XÃ AN THƯỢNG</t>
  </si>
  <si>
    <t>TRUNG TÂM Y TẾ HUYỆN KỲ ANH</t>
  </si>
  <si>
    <t>NGÂN HÀNG TMCP KIÊN LONG CN ĐỒNG THÁP</t>
  </si>
  <si>
    <t>Phòng Văn Hóa Và Thông Tin Huyện Châu Thành</t>
  </si>
  <si>
    <t>TRƯỜNG TIỂU HỌC BẾN THUỶ</t>
  </si>
  <si>
    <t>Trung Tâm Y Tế Huyện Quốc Oai</t>
  </si>
  <si>
    <t>SỞ THÔNG TIN VÀ TRUYỀN THÔNG THANH HOÁ</t>
  </si>
  <si>
    <t>TRƯỜNG MẦM NON NAM HƯNG</t>
  </si>
  <si>
    <t>Trường Tiểu Học Hoàng Văn Thụ</t>
  </si>
  <si>
    <t>TRƯỜNG TRUNG HỌC CƠ SỞ KIM ĐỒNG</t>
  </si>
  <si>
    <t>TRƯỜNG TIỂU HỌC VÀ TRUNG HỌC CƠ SỞ LÊ LỢI</t>
  </si>
  <si>
    <t>TRƯỜNG PHỔ THÔNG DÂN TỘC BÁN TRÚ TIỂU HỌC VÀ TRUNG HỌC CƠ SỞ QUANG TRỌNG</t>
  </si>
  <si>
    <t>Trường Tiểu Học Và Trung Học Cơ Sở Trọng Con</t>
  </si>
  <si>
    <t>PHÒNG NÔNG NGHIỆP VÀ PHÁT TRIỂN NÔNG THÔN</t>
  </si>
  <si>
    <t>ỦY BAN NHÂN DÂN XÃ TÂN HƯƠNG</t>
  </si>
  <si>
    <t>Trường Mẫu Giáo Gia Lâm</t>
  </si>
  <si>
    <t>Sở Thông Tin Và Truyền Thông Phú Yên</t>
  </si>
  <si>
    <t>TRUNG TÂM Y TẾ DI LINH</t>
  </si>
  <si>
    <t>Trường Mầm Non Ninh Hưng</t>
  </si>
  <si>
    <t>UBND XÃ XUÂN LƯƠNG</t>
  </si>
  <si>
    <t>TRƯỜNG TIỂU HỌC NGỌC LÝ</t>
  </si>
  <si>
    <t>PHÒNG VĂN HÓA VÀ THÔNG TIN HUYỆN TÂN THẠNH</t>
  </si>
  <si>
    <t>PHÒNG NÔNG NGHIỆP VÀ PHÁT TRIỂN NÔNG THÔN HUYỆN TÂN THẠNH</t>
  </si>
  <si>
    <t>PHÒNG TƯ PHÁP HUYỆN TÂN THẠNH</t>
  </si>
  <si>
    <t>SỞ KẾ HOẠCH VÀ ĐẦU TƯ AN GIANG</t>
  </si>
  <si>
    <t>SỞ NGOẠI VỤ TỈNH AN GIANG</t>
  </si>
  <si>
    <t>PHÒNG NÔNG NGHIỆP VÀ PHÁT TRIỂN NÔNG THÔN CẦU KÈ</t>
  </si>
  <si>
    <t>UBND XÃ XUÂN THÀNH</t>
  </si>
  <si>
    <t>TRUNG TÂM Y TẾ HUYỆN DUYÊN HẢI</t>
  </si>
  <si>
    <t>Trường THPT Nguyễn Văn Hai</t>
  </si>
  <si>
    <t>TRƯỜNG THCS NGUYỄN THỊ HAI</t>
  </si>
  <si>
    <t>UBND XÃ TAM ĐẠI</t>
  </si>
  <si>
    <t>UBND XÃ HỒNG KỲ</t>
  </si>
  <si>
    <t>UBND THỊ TRẤN BỐ HẠ</t>
  </si>
  <si>
    <t>Ủy Ban Nhân Dân Xã Ayun Hạ</t>
  </si>
  <si>
    <t>UỶ BAN NHÂN DÂN XÃ IASOL</t>
  </si>
  <si>
    <t>UỶ BAN NHÂN DÂN XÃ IA AKE</t>
  </si>
  <si>
    <t>UỶ BAN NHÂN DÂN XÃ IAPIAR</t>
  </si>
  <si>
    <t>TRƯỜNG TIỂU HỌC VÕ MIẾU 2</t>
  </si>
  <si>
    <t>ỦY BAN NHÂN DÂN XÃ PHƯỚC TÂN HƯNG</t>
  </si>
  <si>
    <t>ỦY BAN NHÂN DÂN XÃ HIỆP THẠNH</t>
  </si>
  <si>
    <t>ỦY BAN NHÂN DÂN XÃ HÒA PHÚ</t>
  </si>
  <si>
    <t>ỦY BAN NHÂN DÂN XÃ THUẬN MỸ</t>
  </si>
  <si>
    <t>ỦY BAN NHÂN DÂN XÃ DƯƠNG XUÂN HỘI</t>
  </si>
  <si>
    <t>UBND XÃ ĐỒNG VƯƠNG</t>
  </si>
  <si>
    <t>UBND XÃ TAM HIỆP</t>
  </si>
  <si>
    <t>UBND XÃ ĐỒNG TÂM</t>
  </si>
  <si>
    <t>Trung Tâm Y Tế Thị Xã Đông Hòa</t>
  </si>
  <si>
    <t>UBND THỊ TRẤN NGÃ SÁU</t>
  </si>
  <si>
    <t>PHÒNG LAO ĐỘNG - THƯƠNG BINH &amp; XÃ HỘI HUYỆN VĂN BÀN</t>
  </si>
  <si>
    <t>TRUNG TÂM CHÍNH TRỊ THÀNH PHỐ CAO LÃNH</t>
  </si>
  <si>
    <t>TRƯỜNG CAO ĐẲNG CỘNG ĐỒNG ĐẮK NÔNG</t>
  </si>
  <si>
    <t>Uỷ Ban Nhân Dân Xã Ngọc Khê</t>
  </si>
  <si>
    <t>UỶ BAN NHÂN DÂN XÃ KHÂM THÀNH</t>
  </si>
  <si>
    <t>Bộ Chỉ Huy Quân Sự Tỉnh Đăk Nông</t>
  </si>
  <si>
    <t>Phòng Văn Hóa - Thông Tin Thành Phố Hà Tĩnh</t>
  </si>
  <si>
    <t>CÔNG AN TỈNH HÀ GIANG</t>
  </si>
  <si>
    <t>PHÂN HIỆU HỌC VIỆN HÀNH CHÍNH QUỐC GIA TẠI TỈNH ĐẮK LẮK</t>
  </si>
  <si>
    <t>CÔNG AN THÀNH PHỐ CÀ MAU</t>
  </si>
  <si>
    <t>BỆNH VIỆN ĐA KHOA BƯU ĐIỆN.</t>
  </si>
  <si>
    <t>Phòng Văn Hóa Và Thông Tin Huyện Châu Thành A</t>
  </si>
  <si>
    <t>TRƯỜNG TRUNG HỌC CƠ SỞ NGUYỄN HUỆ</t>
  </si>
  <si>
    <t>TRƯỜNG TRUNG HỌC CƠ SỞ LÊ HỒNG PHONG</t>
  </si>
  <si>
    <t>TRƯỜNG TRUNG HỌC CƠ SỞ HUỲNH THÚC KHÁNG</t>
  </si>
  <si>
    <t>ỦY BAN NHÂN DÂN XÃ TIẾN THẮNG</t>
  </si>
  <si>
    <t>UBND XÃ NINH THẠNH LỢI</t>
  </si>
  <si>
    <t>Phòng Văn Hóa Và Thông Tin Huyện Văn Chấn</t>
  </si>
  <si>
    <t>VĂN PHÒNG ĐĂNG KÝ ĐẤT ĐAI TỈNH PHÚ YÊN</t>
  </si>
  <si>
    <t>Trường Mầm Non Tân Sơn</t>
  </si>
  <si>
    <t>Công An Huyện Phú Bình</t>
  </si>
  <si>
    <t>Phòng Văn Hoá Và Thông Tin Huyện Trần Văn Thời</t>
  </si>
  <si>
    <t>ỦY BAN NHÂN DÂN XÃ TAM ANH NAM</t>
  </si>
  <si>
    <t>CÔNG AN THÀNH PHỐ HÀ NỘI</t>
  </si>
  <si>
    <t>Trường Tiểu Học &amp; Thcs Đức Quang</t>
  </si>
  <si>
    <t>CÔNG AN HUYỆN GÒ CÔNG ĐÔNG</t>
  </si>
  <si>
    <t>Trường Ptdtbt Thcs Khun Há</t>
  </si>
  <si>
    <t>NGÂN HÀNG TMCP ĐẦU TƯ VÀ PHÁT TRIỂN VIỆT NAM CHI NHÁNH THỪA THIÊN HUẾ</t>
  </si>
  <si>
    <t>Trường Ptdtbt Th Khun Há</t>
  </si>
  <si>
    <t>Ủy Ban Nhân Dân Xã Phúc Sơn</t>
  </si>
  <si>
    <t>UỶ BAN NHÂN DÂN XÃ THỔ BÌNH</t>
  </si>
  <si>
    <t>Ủy Ban Nhân Dân Xã Vô Ngại</t>
  </si>
  <si>
    <t>Trung Tâm Chính Trị Thị Xã</t>
  </si>
  <si>
    <t>VĂN PHÒNG TỈNH ỦY BÌNH THUẬN</t>
  </si>
  <si>
    <t>ỦY BAN NHÂN DÂN XÃ ĐÔNG THỌ</t>
  </si>
  <si>
    <t>TRUNG TÂM NUÔI DƯỠNG, ĐIỀU DƯỠNG NGƯỜI CÓ CÔNG QUẢNG NAM</t>
  </si>
  <si>
    <t>Công An Huyện Thanh Hà</t>
  </si>
  <si>
    <t>Phòng Dân Tộc Huyện Quảng Hòa</t>
  </si>
  <si>
    <t>Phòng Văn Hóa Và Thông Tin Huyện Bảo Lâm</t>
  </si>
  <si>
    <t>TRƯỜNG TIỂU HỌC VÀ TRUNG HỌC CƠ SỞ THỤY HÙNG</t>
  </si>
  <si>
    <t>CÔNG AN HUYỆN YÊN MINH</t>
  </si>
  <si>
    <t>Trường Tiểu Học Diễn Kim</t>
  </si>
  <si>
    <t>UBND THỊ TRẤN ĐU</t>
  </si>
  <si>
    <t>Ủy Ban Nhân Dân Xã Nậm Nèn</t>
  </si>
  <si>
    <t>Ủy Ban Nhân Dân Xã Tỏa Tình</t>
  </si>
  <si>
    <t>Ủy Ban Nhân Dân Xã Nà Tòng</t>
  </si>
  <si>
    <t>Ủy Ban Nhân Dân Xã Mùn Chung</t>
  </si>
  <si>
    <t>Ủy Ban Nhân Dân Xã Quài Tở</t>
  </si>
  <si>
    <t>UBND XÃ TRUNG HÀ</t>
  </si>
  <si>
    <t>SỞ NỘI VỤ TỈNH TIỀN GIANG</t>
  </si>
  <si>
    <t>Uỷ Ban Nhân Dân Xã Tân Hoa</t>
  </si>
  <si>
    <t>Trung Tâm Văn Hóa - Thể Thao Và Truyền Thanh Huyện Tân Phước</t>
  </si>
  <si>
    <t>Ủy Ban Nhân Dân Xã Quài Nưa</t>
  </si>
  <si>
    <t>Ubnd Xã Pú Xi</t>
  </si>
  <si>
    <t>Ủy Ban Nhân Dân Xã Quài Cang</t>
  </si>
  <si>
    <t>Công An Huyện Hiệp Hòa</t>
  </si>
  <si>
    <t>Trường Tiểu Học Tân Dân</t>
  </si>
  <si>
    <t>Ủy Ban Nhân Dân Xã Mường Mùn</t>
  </si>
  <si>
    <t>Cục Thuế Tỉnh Tiền Giang</t>
  </si>
  <si>
    <t>Trường Tiểu Học Thị Trấn Điện Biên Đông</t>
  </si>
  <si>
    <t>PHÒNG KINH TẾ VÀ HẠ TẦNG HUYỆN NAM TRÀ MY</t>
  </si>
  <si>
    <t>Bệnh Viện An Bình</t>
  </si>
  <si>
    <t>UBND xã Tứ Xã</t>
  </si>
  <si>
    <t>Ủy Ban Nhân Dân Xã Bài Sơn</t>
  </si>
  <si>
    <t>Bệnh Viện Đa Khoa Vĩnh Long</t>
  </si>
  <si>
    <t>Trường Mầm Non Vạn Giã</t>
  </si>
  <si>
    <t>TRƯỜNG TIỂU HỌC HỢP THỊNH SỐ 2</t>
  </si>
  <si>
    <t>Trung Tâm Hoạt Động Thanh Thiếu Nhi Tỉnh</t>
  </si>
  <si>
    <t>CÔNG AN HUYỆN MƯỜNG LÁT</t>
  </si>
  <si>
    <t>Trường Tiểu Học Phú Quới A</t>
  </si>
  <si>
    <t>Phòng Văn Hóa Và Thông Tin Huyện Chợ Mới</t>
  </si>
  <si>
    <t>Trường mầm non Sông Cầu</t>
  </si>
  <si>
    <t>Phòng Cảnh Sát Pccc Và Cnch Công An Tỉnh Thanh Hóa</t>
  </si>
  <si>
    <t>TRƯỜNG MẦM NON ĐỨC XUÂN</t>
  </si>
  <si>
    <t>Ủy Ban Nhân Dân Phường Đoàn Kết</t>
  </si>
  <si>
    <t>Đoàn Thanh Niên Bidv</t>
  </si>
  <si>
    <t>Phòng Giáo Dục Và Đào Tạo Thành Phố Châu Đốc</t>
  </si>
  <si>
    <t>Ubnd Xã Liên Hợp</t>
  </si>
  <si>
    <t>Ubnd Xã Châu Lộc</t>
  </si>
  <si>
    <t>Phòng Kinh Tế Và Hạ Tầng Huyện Eahleo</t>
  </si>
  <si>
    <t>CÔNG AN TỈNH LÀO CAI</t>
  </si>
  <si>
    <t>Ubnd Xã Hòa Hải</t>
  </si>
  <si>
    <t>Bộ Chỉ Huy Bộ Đội Biên Phòng Tỉnh Đăk Nông</t>
  </si>
  <si>
    <t>Trường Trung Học Cơ Sở Thanh Quang</t>
  </si>
  <si>
    <t>Ubnd Xã Mão Điền</t>
  </si>
  <si>
    <t>Ủy Ban Nhân Dân Xã Bạch Long</t>
  </si>
  <si>
    <t>Bệnh Viện Thống Nhất</t>
  </si>
  <si>
    <t>Quỹ Tín Dụng Nhân Dân Thanh Tùng</t>
  </si>
  <si>
    <t>TRƯỜNG TIỂU HỌC HÒA NAM</t>
  </si>
  <si>
    <t>Trường Thcs Nguyễn Trãi</t>
  </si>
  <si>
    <t>CSDT</t>
  </si>
  <si>
    <t>Công An Huyện Gò Công Đông</t>
  </si>
  <si>
    <t>Bệnh Viện Phcn Hương Sen</t>
  </si>
  <si>
    <t>UBND XÃ CÔ BA</t>
  </si>
  <si>
    <t>Trường Trung Cấp Pali-khmer</t>
  </si>
  <si>
    <t>Uỷ Ban Nhân Dân Xã Xuân Thọ</t>
  </si>
  <si>
    <t>UBND XÃ HƯNG THỊNH</t>
  </si>
  <si>
    <t>UBND XÃ KHÁNH XUÂN</t>
  </si>
  <si>
    <t>Ủy Ban Nhân Dân Xã Xuân Trường</t>
  </si>
  <si>
    <t>Ủy Ban Nhân Dân Xã Đình Phùng</t>
  </si>
  <si>
    <t>UBND XÃ HƯNG ĐẠO</t>
  </si>
  <si>
    <t>UBND XÃ CỐC PÀNG</t>
  </si>
  <si>
    <t>UBND XÃ HUY GIÁP</t>
  </si>
  <si>
    <t>UBND XÃ THƯỢNG HÀ</t>
  </si>
  <si>
    <t>UBND XÃ PHAN THANH</t>
  </si>
  <si>
    <t>UBND xã Bảo Toàn</t>
  </si>
  <si>
    <t>UBND XÃ HỒNG TRỊ</t>
  </si>
  <si>
    <t>UBND THỊ TRẤN BẢO LẠC</t>
  </si>
  <si>
    <t>UỶ BAN NHÂN DÂN XÃ CHÂU HỘI</t>
  </si>
  <si>
    <t>Ubnd Xã Châu Nga</t>
  </si>
  <si>
    <t>Ubnd Xã Châu Tiến</t>
  </si>
  <si>
    <t>Ubnd Xã Diên Lãm</t>
  </si>
  <si>
    <t>Ubnd Xã Châu Hoàn</t>
  </si>
  <si>
    <t>Ubnd Xã Châu Thuận</t>
  </si>
  <si>
    <t>Ubnd Xã Châu Thắng</t>
  </si>
  <si>
    <t>UBND xã Sơn Lộ</t>
  </si>
  <si>
    <t>UBND XÃ HỒNG AN</t>
  </si>
  <si>
    <t>UBND XÃ KIM CÚC</t>
  </si>
  <si>
    <t>Ubnd Thị Trấn Tân Lạc</t>
  </si>
  <si>
    <t>Ubnd Xã Châu Bính</t>
  </si>
  <si>
    <t>Ubnd Xã Châu Bình</t>
  </si>
  <si>
    <t>Ủy Ban Nhân Dân Xã Chí Thảo</t>
  </si>
  <si>
    <t>Trung Tâm Văn Hoá Và Truyền Thông Huyện Nguyên Bình</t>
  </si>
  <si>
    <t>Ủy Ban Nhân Dân Xã Ngọc Động</t>
  </si>
  <si>
    <t>Ủy Ban Nhân Dân Xã Hạnh Phúc</t>
  </si>
  <si>
    <t>Trung Tâm Giáo Dục Môi Trường Và Dịch Vụ Môi Trường Rừng</t>
  </si>
  <si>
    <t>Quân Khu7</t>
  </si>
  <si>
    <t>Ubnd Xã Đồng Quý</t>
  </si>
  <si>
    <t>Ubnd Xã Quyết Thắng</t>
  </si>
  <si>
    <t>Trung Tâm Giáo Dục Nghề Nghiệp- Giáo Dục Thường Xuyên Huyện Tân Yên</t>
  </si>
  <si>
    <t>Phòng Giao Dịch Ngân Hàng Chính Sách Xã Hội Huyện Đình Lập</t>
  </si>
  <si>
    <t>Ngân hàng chính sách xã hội tỉnh Lạng Sơn</t>
  </si>
  <si>
    <t>ỦY BAN NHÂN DÂN XÃ TRUNG ĐỒNG</t>
  </si>
  <si>
    <t>TRƯỜNG TIỂU HỌC QUANG MINH</t>
  </si>
  <si>
    <t>Đoàn Thanh Niên Xã Nam Hòa</t>
  </si>
  <si>
    <t>Ủy Ban Nhân Dân Xã Trường Sinh</t>
  </si>
  <si>
    <t>Ủy Ban Nhân Dân Xã Tân Thanh</t>
  </si>
  <si>
    <t>1. Vào bảng data gốc, ấn Ctrl T để tạo Table</t>
  </si>
  <si>
    <t>2. Ấn vào 1 vị trí bất kỳ của Table =&gt; Thẻ Insert chọn Pivot =&gt; Tạo các bảng Pivot theo mong muốn</t>
  </si>
  <si>
    <t>Nguồn việc</t>
  </si>
  <si>
    <t>Sum of Nguồn việc</t>
  </si>
  <si>
    <t>Row Labels</t>
  </si>
  <si>
    <t>Grand Total</t>
  </si>
  <si>
    <t>Column Labels</t>
  </si>
  <si>
    <t>3. Tạo các khung báo cáo</t>
  </si>
  <si>
    <t>4. Tạo tiêu đề BC</t>
  </si>
  <si>
    <t>5. Link nội dung BC vào các khung qua Textbox (lưu ý không viết lệnh trong textbox mà viết lệnh trên thanh formula)</t>
  </si>
  <si>
    <t>6. Vẽ biểu đồ bên sheet pivot</t>
  </si>
  <si>
    <t>Mã tỉnh</t>
  </si>
  <si>
    <t>Tên tỉnh</t>
  </si>
  <si>
    <t>Quảng Trị</t>
  </si>
  <si>
    <t>Bình Thuận</t>
  </si>
  <si>
    <t>Kon Tum</t>
  </si>
  <si>
    <t>Hà Giang</t>
  </si>
  <si>
    <t>Nghệ An</t>
  </si>
  <si>
    <t>Hậu Giang</t>
  </si>
  <si>
    <t>Hưng Yên</t>
  </si>
  <si>
    <t>Vĩnh Phúc</t>
  </si>
  <si>
    <t>Đồng Nai</t>
  </si>
  <si>
    <t>Quảng Nam</t>
  </si>
  <si>
    <t>Nam Định</t>
  </si>
  <si>
    <t>Hoà Bình</t>
  </si>
  <si>
    <t>Tây Ninh</t>
  </si>
  <si>
    <t>Bình Dương</t>
  </si>
  <si>
    <t>Tuyên Quang</t>
  </si>
  <si>
    <t>Đắk Nông</t>
  </si>
  <si>
    <t>Phú Yên</t>
  </si>
  <si>
    <t>Bắc Ninh</t>
  </si>
  <si>
    <t>Gia Lai</t>
  </si>
  <si>
    <t>Tiền Giang</t>
  </si>
  <si>
    <t>Bắc Giang</t>
  </si>
  <si>
    <t>Lâm Đồng</t>
  </si>
  <si>
    <t>An Giang</t>
  </si>
  <si>
    <t>Long An</t>
  </si>
  <si>
    <t>Bắc Kạn</t>
  </si>
  <si>
    <t>Cao Bằng</t>
  </si>
  <si>
    <t>Kiên Giang</t>
  </si>
  <si>
    <t>Lào Cai</t>
  </si>
  <si>
    <t>Lai Châu</t>
  </si>
  <si>
    <t>Thái Bình</t>
  </si>
  <si>
    <t>Phú Thọ</t>
  </si>
  <si>
    <t>Hải Dương</t>
  </si>
  <si>
    <t>Thái Nguyên</t>
  </si>
  <si>
    <t>Hà Nội</t>
  </si>
  <si>
    <t>Yên Bái</t>
  </si>
  <si>
    <t>Bạc Liêu</t>
  </si>
  <si>
    <t>Ninh Bình</t>
  </si>
  <si>
    <t>Thanh Hóa</t>
  </si>
  <si>
    <t>Vĩnh Long</t>
  </si>
  <si>
    <t>Đà Nẵng</t>
  </si>
  <si>
    <t>Đồng Tháp</t>
  </si>
  <si>
    <t>Sóc Trăng</t>
  </si>
  <si>
    <t>Đắk Lắk</t>
  </si>
  <si>
    <t>Bến Tre</t>
  </si>
  <si>
    <t>Hà Nam</t>
  </si>
  <si>
    <t>Khánh Hòa</t>
  </si>
  <si>
    <t>Trà Vinh</t>
  </si>
  <si>
    <t>Cà Mau</t>
  </si>
  <si>
    <t>Bình Định</t>
  </si>
  <si>
    <t>Điện Biên</t>
  </si>
  <si>
    <t>Quảng Ngãi</t>
  </si>
  <si>
    <t>Quảng Ninh</t>
  </si>
  <si>
    <t>Quảng Bình</t>
  </si>
  <si>
    <t>Bình Phước</t>
  </si>
  <si>
    <t>Hà Tĩnh</t>
  </si>
  <si>
    <t>Hải Phòng</t>
  </si>
  <si>
    <t>Cần Thơ</t>
  </si>
  <si>
    <t>Sơn La</t>
  </si>
  <si>
    <t>Lạng Sơn</t>
  </si>
  <si>
    <t>Ninh Thuận</t>
  </si>
  <si>
    <t>TP. Hồ Chí Minh</t>
  </si>
  <si>
    <t>- Ấn vào 1 bảng pivot =&gt; Chọn Analyze =&gt; PivotChart</t>
  </si>
  <si>
    <t>- Vẽ và tuỳ chỉnh biểu đồ =&gt; Ctrl X =&gt; Paste sang Sheet báo cáo</t>
  </si>
  <si>
    <t>7. Tạo bộ lọc cho báo cáo</t>
  </si>
  <si>
    <t>- Ấn vào 1 đồ thị trong sheet BC =&gt; Chọn Analyze =&gt; Insert Slicer =&gt; Chọn các biến muốn dùng làm bộ lọc</t>
  </si>
  <si>
    <t>- Format bộ lọc</t>
  </si>
  <si>
    <t>- Chọn vào 1 bộ lọc =&gt; Chọn Report Connections =&gt; Chọn tất cả các bảng pivot =&gt; Làm lần lượt cho từng bộ lọc</t>
  </si>
  <si>
    <t>Binh Duong</t>
  </si>
  <si>
    <t>Binh Dinh</t>
  </si>
  <si>
    <t>Bac Giang</t>
  </si>
  <si>
    <t>Bac Kan</t>
  </si>
  <si>
    <t>Bac Lieu</t>
  </si>
  <si>
    <t>Bac Ninh</t>
  </si>
  <si>
    <t>Binh Phuoc</t>
  </si>
  <si>
    <t>Ben Tre</t>
  </si>
  <si>
    <t>Binh Thuan</t>
  </si>
  <si>
    <t>Cao Bang</t>
  </si>
  <si>
    <t>Ca Mau</t>
  </si>
  <si>
    <t>Can Tho</t>
  </si>
  <si>
    <t>Dak Nong</t>
  </si>
  <si>
    <t>Dak Lak</t>
  </si>
  <si>
    <t>Da Nang</t>
  </si>
  <si>
    <t>Dong Nai</t>
  </si>
  <si>
    <t>Dong Thap</t>
  </si>
  <si>
    <t>Hoa Binh</t>
  </si>
  <si>
    <t>Ho Chi Minh</t>
  </si>
  <si>
    <t>Hai Duong</t>
  </si>
  <si>
    <t>Ha Giang</t>
  </si>
  <si>
    <t>Ha Noi</t>
  </si>
  <si>
    <t>Ha Nam</t>
  </si>
  <si>
    <t>Hai Phong</t>
  </si>
  <si>
    <t>Ha Tinh</t>
  </si>
  <si>
    <t>Hau Giang</t>
  </si>
  <si>
    <t>Hung Yen</t>
  </si>
  <si>
    <t>Kien Giang</t>
  </si>
  <si>
    <t>Khanh Hoa</t>
  </si>
  <si>
    <t>Lao Cai</t>
  </si>
  <si>
    <t>Lai Chau</t>
  </si>
  <si>
    <t>Lam Dong</t>
  </si>
  <si>
    <t>Lang Son</t>
  </si>
  <si>
    <t>Nghe An</t>
  </si>
  <si>
    <t>Ninh Binh</t>
  </si>
  <si>
    <t>Nam Dinh</t>
  </si>
  <si>
    <t>Ninh Thuan</t>
  </si>
  <si>
    <t>Phu Tho</t>
  </si>
  <si>
    <t>Phu Yen</t>
  </si>
  <si>
    <t>Quang Binh</t>
  </si>
  <si>
    <t>Quang Ninh</t>
  </si>
  <si>
    <t>Quang Ngai</t>
  </si>
  <si>
    <t>Quang Nam</t>
  </si>
  <si>
    <t>Quang Tri</t>
  </si>
  <si>
    <t>Son La</t>
  </si>
  <si>
    <t>Soc Trang</t>
  </si>
  <si>
    <t>Thai Binh</t>
  </si>
  <si>
    <t>Tien Giang</t>
  </si>
  <si>
    <t>Thanh Hoa</t>
  </si>
  <si>
    <t>Tay Ninh</t>
  </si>
  <si>
    <t>Thai Nguyen</t>
  </si>
  <si>
    <t>Tuyen Quang</t>
  </si>
  <si>
    <t>Thua Thien Hue</t>
  </si>
  <si>
    <t>Thừa Thiên Huế</t>
  </si>
  <si>
    <t>Tra Vinh</t>
  </si>
  <si>
    <t>Vinh Long</t>
  </si>
  <si>
    <t>Vinh Phuc</t>
  </si>
  <si>
    <t>Ba Ria - Vung Tau</t>
  </si>
  <si>
    <t>Yen Bai</t>
  </si>
  <si>
    <t>Bìa Rịa - Vũng Tàu</t>
  </si>
  <si>
    <t>Dien Bien Phu</t>
  </si>
  <si>
    <t>Ten Tinh</t>
  </si>
  <si>
    <t>Số lượng</t>
  </si>
  <si>
    <t>State</t>
  </si>
  <si>
    <t>Công ty 1</t>
  </si>
  <si>
    <t>Công ty 2</t>
  </si>
  <si>
    <t>Công ty 3</t>
  </si>
  <si>
    <t>Công ty 4</t>
  </si>
  <si>
    <t>Công ty 5</t>
  </si>
  <si>
    <t>Công ty 6</t>
  </si>
  <si>
    <t>Công ty 7</t>
  </si>
  <si>
    <t>Công ty 8</t>
  </si>
  <si>
    <t>Công ty 9</t>
  </si>
  <si>
    <t>Công ty 10</t>
  </si>
  <si>
    <t>Công ty 11</t>
  </si>
  <si>
    <t>Công ty 12</t>
  </si>
  <si>
    <t>Công ty 13</t>
  </si>
  <si>
    <t>Công ty 14</t>
  </si>
  <si>
    <t>Công ty 15</t>
  </si>
  <si>
    <t>Công ty 16</t>
  </si>
  <si>
    <t>Công ty 17</t>
  </si>
  <si>
    <t>Công ty 18</t>
  </si>
  <si>
    <t>Công ty 19</t>
  </si>
  <si>
    <t>Công ty 20</t>
  </si>
  <si>
    <t>Công ty 21</t>
  </si>
  <si>
    <t>Công ty 22</t>
  </si>
  <si>
    <t>Công ty 23</t>
  </si>
  <si>
    <t>Công ty 24</t>
  </si>
  <si>
    <t>Công ty 25</t>
  </si>
  <si>
    <t>Công ty 26</t>
  </si>
  <si>
    <t>Công ty 27</t>
  </si>
  <si>
    <t>Công ty 28</t>
  </si>
  <si>
    <t>Công ty 29</t>
  </si>
  <si>
    <t>Công ty 30</t>
  </si>
  <si>
    <t>Công ty 31</t>
  </si>
  <si>
    <t>Công ty 32</t>
  </si>
  <si>
    <t>Công ty 33</t>
  </si>
  <si>
    <t>Công ty 34</t>
  </si>
  <si>
    <t>Công ty 35</t>
  </si>
  <si>
    <t>Công ty 36</t>
  </si>
  <si>
    <t>Công ty 37</t>
  </si>
  <si>
    <t>Công ty 38</t>
  </si>
  <si>
    <t>Công ty 39</t>
  </si>
  <si>
    <t>Công ty 40</t>
  </si>
  <si>
    <t>Công ty 41</t>
  </si>
  <si>
    <t>Công ty 42</t>
  </si>
  <si>
    <t>Công ty 43</t>
  </si>
  <si>
    <t>Công ty 44</t>
  </si>
  <si>
    <t>Công ty 45</t>
  </si>
  <si>
    <t>Công ty 46</t>
  </si>
  <si>
    <t>Công ty 47</t>
  </si>
  <si>
    <t>Công ty 48</t>
  </si>
  <si>
    <t>Công ty 49</t>
  </si>
  <si>
    <t>Công ty 50</t>
  </si>
  <si>
    <t>Công ty 51</t>
  </si>
  <si>
    <t>Công ty 52</t>
  </si>
  <si>
    <t>Công ty 53</t>
  </si>
  <si>
    <t>Công ty 54</t>
  </si>
  <si>
    <t>Công ty 55</t>
  </si>
  <si>
    <t>Công ty 56</t>
  </si>
  <si>
    <t>Công ty 57</t>
  </si>
  <si>
    <t>Công ty 58</t>
  </si>
  <si>
    <t>Công ty 59</t>
  </si>
  <si>
    <t>Công ty 60</t>
  </si>
  <si>
    <t>Công ty 61</t>
  </si>
  <si>
    <t>Công ty 62</t>
  </si>
  <si>
    <t>Công ty 63</t>
  </si>
  <si>
    <t>Công ty 64</t>
  </si>
  <si>
    <t>Công ty 65</t>
  </si>
  <si>
    <t>Công ty 66</t>
  </si>
  <si>
    <t>Công ty 67</t>
  </si>
  <si>
    <t>Công ty 68</t>
  </si>
  <si>
    <t>Công ty 69</t>
  </si>
  <si>
    <t>Công ty 70</t>
  </si>
  <si>
    <t>Công ty 71</t>
  </si>
  <si>
    <t>Công ty 72</t>
  </si>
  <si>
    <t>Công ty 73</t>
  </si>
  <si>
    <t>Công ty 74</t>
  </si>
  <si>
    <t>Công ty 75</t>
  </si>
  <si>
    <t>Công ty 76</t>
  </si>
  <si>
    <t>Công ty 77</t>
  </si>
  <si>
    <t>Công ty 78</t>
  </si>
  <si>
    <t>Công ty 79</t>
  </si>
  <si>
    <t>Công ty 80</t>
  </si>
  <si>
    <t>Công ty 81</t>
  </si>
  <si>
    <t>Công ty 82</t>
  </si>
  <si>
    <t>Công ty 83</t>
  </si>
  <si>
    <t>Công ty 84</t>
  </si>
  <si>
    <t>Công ty 85</t>
  </si>
  <si>
    <t>Công ty 86</t>
  </si>
  <si>
    <t>Công ty 87</t>
  </si>
  <si>
    <t>Công ty 88</t>
  </si>
  <si>
    <t>Công ty 89</t>
  </si>
  <si>
    <t>Công ty 90</t>
  </si>
  <si>
    <t>Công ty 91</t>
  </si>
  <si>
    <t>Công ty 92</t>
  </si>
  <si>
    <t>Công ty 93</t>
  </si>
  <si>
    <t>Công ty 94</t>
  </si>
  <si>
    <t>Công ty 95</t>
  </si>
  <si>
    <t>Công ty 96</t>
  </si>
  <si>
    <t>Công ty 97</t>
  </si>
  <si>
    <t>Công ty 98</t>
  </si>
  <si>
    <t>Công ty 99</t>
  </si>
  <si>
    <t>Công ty 100</t>
  </si>
  <si>
    <t>Doanh nghiệp 1</t>
  </si>
  <si>
    <t>Doanh nghiệp 2</t>
  </si>
  <si>
    <t>Doanh nghiệp 3</t>
  </si>
  <si>
    <t>Doanh nghiệp 4</t>
  </si>
  <si>
    <t>Doanh nghiệp 5</t>
  </si>
  <si>
    <t>Doanh nghiệp 6</t>
  </si>
  <si>
    <t>Doanh nghiệp 7</t>
  </si>
  <si>
    <t>Doanh nghiệp 8</t>
  </si>
  <si>
    <t>Doanh nghiệp 9</t>
  </si>
  <si>
    <t>Doanh nghiệp 10</t>
  </si>
  <si>
    <t>Doanh nghiệp 11</t>
  </si>
  <si>
    <t>Doanh nghiệp 12</t>
  </si>
  <si>
    <t>Doanh nghiệp 13</t>
  </si>
  <si>
    <t>Doanh nghiệp 14</t>
  </si>
  <si>
    <t>Doanh nghiệp 15</t>
  </si>
  <si>
    <t>Doanh nghiệp 16</t>
  </si>
  <si>
    <t>Doanh nghiệp 17</t>
  </si>
  <si>
    <t>Doanh nghiệp 18</t>
  </si>
  <si>
    <t>Doanh nghiệp 19</t>
  </si>
  <si>
    <t>Doanh nghiệp 20</t>
  </si>
  <si>
    <t>Doanh nghiệp 21</t>
  </si>
  <si>
    <t>Doanh nghiệp 22</t>
  </si>
  <si>
    <t>Doanh nghiệp 23</t>
  </si>
  <si>
    <t>Doanh nghiệp 24</t>
  </si>
  <si>
    <t>Doanh nghiệp 25</t>
  </si>
  <si>
    <t>Doanh nghiệp 26</t>
  </si>
  <si>
    <t>Doanh nghiệp 27</t>
  </si>
  <si>
    <t>Doanh nghiệp 28</t>
  </si>
  <si>
    <t>Doanh nghiệp 29</t>
  </si>
  <si>
    <t>Doanh nghiệp 30</t>
  </si>
  <si>
    <t>Doanh nghiệp 31</t>
  </si>
  <si>
    <t>Tập đoàn 1</t>
  </si>
  <si>
    <t>Tập đoàn 2</t>
  </si>
  <si>
    <t>Tập đoàn 3</t>
  </si>
  <si>
    <t>Tập đoàn 4</t>
  </si>
  <si>
    <t>Tập đoàn 5</t>
  </si>
  <si>
    <t>Tập đoàn 6</t>
  </si>
  <si>
    <t>Tập đoàn 7</t>
  </si>
  <si>
    <t>Tập đoàn 8</t>
  </si>
  <si>
    <t>Tập đoàn 9</t>
  </si>
  <si>
    <t>Tập đoàn 10</t>
  </si>
  <si>
    <t>Tập đoàn 11</t>
  </si>
  <si>
    <t>Tập đoàn 12</t>
  </si>
  <si>
    <t>Tập đoàn 13</t>
  </si>
  <si>
    <t>Tập đoàn 14</t>
  </si>
  <si>
    <t>Tập đoàn 15</t>
  </si>
  <si>
    <t>Tập đoàn 16</t>
  </si>
  <si>
    <t>Tập đoàn 17</t>
  </si>
  <si>
    <t>Tập đoàn 18</t>
  </si>
  <si>
    <t>Tập đoàn 19</t>
  </si>
  <si>
    <t>Tập đoàn 20</t>
  </si>
  <si>
    <t>Tập đoàn 21</t>
  </si>
  <si>
    <t>Tập đoàn 22</t>
  </si>
  <si>
    <t>Tập đoàn 23</t>
  </si>
  <si>
    <t>Tập đoàn 24</t>
  </si>
  <si>
    <t>Tập đoàn 25</t>
  </si>
  <si>
    <t>Tập đoàn 26</t>
  </si>
  <si>
    <t>Tập đoàn 27</t>
  </si>
  <si>
    <t>Tập đoàn 28</t>
  </si>
  <si>
    <t>Tập đoàn 29</t>
  </si>
  <si>
    <t>Tập đoàn 30</t>
  </si>
  <si>
    <t>Tập đoàn 31</t>
  </si>
  <si>
    <t>Tập đoàn 32</t>
  </si>
  <si>
    <t>Tập đoàn 33</t>
  </si>
  <si>
    <t>Tập đoàn 34</t>
  </si>
  <si>
    <t>Tập đoàn 35</t>
  </si>
  <si>
    <t>Tập đoàn 36</t>
  </si>
  <si>
    <t>Tập đoàn 37</t>
  </si>
  <si>
    <t>Tập đoàn 38</t>
  </si>
  <si>
    <t>Tập đoàn 39</t>
  </si>
  <si>
    <t>Tập đoàn 40</t>
  </si>
  <si>
    <t>Tập đoàn 41</t>
  </si>
  <si>
    <t>Tập đoàn 42</t>
  </si>
  <si>
    <t>Tập đoàn 43</t>
  </si>
  <si>
    <t>Tập đoàn 44</t>
  </si>
  <si>
    <t>Tập đoàn 45</t>
  </si>
  <si>
    <t>Tập đoàn 46</t>
  </si>
  <si>
    <t>Tập đoàn 47</t>
  </si>
  <si>
    <t>Tập đoàn 48</t>
  </si>
  <si>
    <t>Tập đoàn 49</t>
  </si>
  <si>
    <t>Tập đoàn 50</t>
  </si>
  <si>
    <t>Tập đoàn 51</t>
  </si>
  <si>
    <t>Tập đoàn 52</t>
  </si>
  <si>
    <t>Tập đoàn 53</t>
  </si>
  <si>
    <t>Tập đoàn 54</t>
  </si>
  <si>
    <t>Tập đoàn 55</t>
  </si>
  <si>
    <t>Tập đoàn 56</t>
  </si>
  <si>
    <t>Tập đoàn 57</t>
  </si>
  <si>
    <t>Tập đoàn 58</t>
  </si>
  <si>
    <t>Tập đoàn 59</t>
  </si>
  <si>
    <t>Tập đoàn 60</t>
  </si>
  <si>
    <t>Tập đoàn 61</t>
  </si>
  <si>
    <t>Tập đoàn 62</t>
  </si>
  <si>
    <t>Tập đoàn 63</t>
  </si>
  <si>
    <t>Tập đoàn 64</t>
  </si>
  <si>
    <t>Tập đoàn 65</t>
  </si>
  <si>
    <t>Tập đoàn 66</t>
  </si>
  <si>
    <t>Tập đoàn 67</t>
  </si>
  <si>
    <t>Tập đoàn 68</t>
  </si>
  <si>
    <t>Tập đoàn 69</t>
  </si>
  <si>
    <t>Tập đoàn 70</t>
  </si>
  <si>
    <t>Tập đoàn 71</t>
  </si>
  <si>
    <t>Tập đoàn 72</t>
  </si>
  <si>
    <t>Tập đoàn 73</t>
  </si>
  <si>
    <t>Tập đoàn 74</t>
  </si>
  <si>
    <t>Tập đoàn 75</t>
  </si>
  <si>
    <t>Tập đoàn 76</t>
  </si>
  <si>
    <t>Tập đoàn 77</t>
  </si>
  <si>
    <t>Tập đoàn 78</t>
  </si>
  <si>
    <t>Tập đoàn 79</t>
  </si>
  <si>
    <t>Tập đoàn 80</t>
  </si>
  <si>
    <t>Tập đoàn 81</t>
  </si>
  <si>
    <t>Tập đoàn 82</t>
  </si>
  <si>
    <t>Tập đoàn 83</t>
  </si>
  <si>
    <t>Tập đoàn 84</t>
  </si>
  <si>
    <t>Tập đoàn 85</t>
  </si>
  <si>
    <t>Tập đoàn 86</t>
  </si>
  <si>
    <t>Tập đoàn 87</t>
  </si>
  <si>
    <t>Tập đoàn 88</t>
  </si>
  <si>
    <t>Tập đoàn 89</t>
  </si>
  <si>
    <t>Tập đoàn 90</t>
  </si>
  <si>
    <t>Tập đoàn 91</t>
  </si>
  <si>
    <t>Tập đoàn 92</t>
  </si>
  <si>
    <t>Tập đoàn 93</t>
  </si>
  <si>
    <t>Tập đoàn 94</t>
  </si>
  <si>
    <t>Vùng miền</t>
  </si>
  <si>
    <t>Ngày ký HĐ</t>
  </si>
  <si>
    <t>Công An Huyện Kim Sơn</t>
  </si>
  <si>
    <t>TRƯỜNG TIỂU HỌC SỐ 1 VÕ LAO</t>
  </si>
  <si>
    <t>Trường Thcs Thị Trấn Mường Tè</t>
  </si>
  <si>
    <t>ủy BAN MẶT TRẬN TỔ QUỐC THỊ TRẤN NGỌC LẶC</t>
  </si>
  <si>
    <t>trường TIỂU HỌC ĐẠO LÝ</t>
  </si>
  <si>
    <t>Ủy ban nhân dân Thị trấn Lương Sơn</t>
  </si>
  <si>
    <t>- Xóa các mục như “Sum of Nguồn việc” (tên trường dữ liệu) và bộ lọc tỉnh =&gt; Nhấp vào biểu đồ =&gt; Trên thanh PivotChart Analyze (hoặc Analyze tùy bản Excel) =&gt; Chọn Field Buttons → Hide All</t>
  </si>
  <si>
    <t>- Tắt Grand Total trong PivotTable =&gt; Chọn vào PivotTable =&gt; Vào tab PivotTable Analyze (hoặc Design tùy phiên bản Excel) =&gt; Chọn Grand Totals → Off for Rows and Columns</t>
  </si>
  <si>
    <t>Data gốc</t>
  </si>
  <si>
    <t>Fix Data</t>
  </si>
  <si>
    <t>A</t>
  </si>
  <si>
    <t>B</t>
  </si>
  <si>
    <t>C</t>
  </si>
  <si>
    <t>D</t>
  </si>
  <si>
    <t>E</t>
  </si>
  <si>
    <t>F</t>
  </si>
  <si>
    <t>G</t>
  </si>
  <si>
    <t>H</t>
  </si>
  <si>
    <t>I</t>
  </si>
  <si>
    <t>K</t>
  </si>
  <si>
    <t>L</t>
  </si>
  <si>
    <t>M</t>
  </si>
  <si>
    <t>N</t>
  </si>
  <si>
    <t>O</t>
  </si>
  <si>
    <t>P</t>
  </si>
  <si>
    <t>Q</t>
  </si>
  <si>
    <t>T</t>
  </si>
  <si>
    <t>R</t>
  </si>
  <si>
    <t>U</t>
  </si>
  <si>
    <t>W</t>
  </si>
  <si>
    <t>Ngân hàng</t>
  </si>
  <si>
    <t>Hình thức</t>
  </si>
  <si>
    <t>Bán hàng trực tiếp</t>
  </si>
  <si>
    <t>Digital Marketing</t>
  </si>
  <si>
    <t>(Để hủy định dạng Table: Bôi đen Table =&gt; Chuột phải =&gt; Table =&gt; Convert to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</si>
</sst>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9" x14ac:knownFonts="1">
    <font>
      <sz val="12"/>
      <color theme="1"/>
      <name val="Times New Roman"/>
      <family val="2"/>
    </font>
    <font>
      <sz val="12"/>
      <color theme="1"/>
      <name val="Times New Roman"/>
      <family val="2"/>
    </font>
    <font>
      <sz val="10"/>
      <color theme="1"/>
      <name val="Arial"/>
      <family val="2"/>
    </font>
    <font>
      <sz val="12"/>
      <color theme="1"/>
      <name val="Times New Roman"/>
      <family val="1"/>
    </font>
    <font>
      <b/>
      <sz val="12"/>
      <name val="Times New Roman"/>
      <family val="1"/>
    </font>
    <font>
      <sz val="12"/>
      <name val="Times New Roman"/>
      <family val="1"/>
    </font>
    <font>
      <b/>
      <sz val="11"/>
      <color theme="1"/>
      <name val="Cambria"/>
      <family val="1"/>
    </font>
    <font>
      <sz val="11"/>
      <color theme="1"/>
      <name val="Cambria"/>
      <family val="1"/>
    </font>
    <font>
      <sz val="8"/>
      <name val="Times New Roman"/>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249977111117893"/>
        <bgColor indexed="64"/>
      </patternFill>
    </fill>
    <fill>
      <patternFill patternType="solid">
        <fgColor rgb="FFED7D31"/>
        <bgColor indexed="64"/>
      </patternFill>
    </fill>
    <fill>
      <patternFill patternType="solid">
        <fgColor theme="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3" fontId="0" fillId="0" borderId="0" xfId="0" applyNumberFormat="1"/>
    <xf numFmtId="0" fontId="5" fillId="0" borderId="0" xfId="0" applyFont="1"/>
    <xf numFmtId="0" fontId="0" fillId="3" borderId="0" xfId="0" applyFill="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7" fillId="0" borderId="1" xfId="0" applyFont="1" applyBorder="1" applyAlignment="1">
      <alignment wrapText="1"/>
    </xf>
    <xf numFmtId="0" fontId="0" fillId="3" borderId="0" xfId="0" quotePrefix="1" applyFill="1"/>
    <xf numFmtId="0" fontId="7" fillId="0" borderId="1" xfId="0" applyFont="1" applyBorder="1" applyAlignment="1">
      <alignment horizontal="center" wrapText="1"/>
    </xf>
    <xf numFmtId="0" fontId="0" fillId="0" borderId="1" xfId="0" applyBorder="1"/>
    <xf numFmtId="0" fontId="2" fillId="0" borderId="1" xfId="0" applyFont="1" applyBorder="1" applyAlignment="1">
      <alignment horizontal="center" wrapText="1"/>
    </xf>
    <xf numFmtId="164" fontId="0" fillId="0" borderId="0" xfId="0" applyNumberFormat="1" applyAlignment="1">
      <alignment horizontal="left"/>
    </xf>
    <xf numFmtId="14" fontId="0" fillId="0" borderId="0" xfId="0" applyNumberFormat="1"/>
    <xf numFmtId="0" fontId="3" fillId="0" borderId="3" xfId="0" applyFont="1" applyBorder="1" applyAlignment="1">
      <alignment vertical="center"/>
    </xf>
    <xf numFmtId="3" fontId="3" fillId="0" borderId="3" xfId="0" applyNumberFormat="1" applyFont="1" applyBorder="1" applyAlignment="1">
      <alignment horizontal="right" vertical="center"/>
    </xf>
    <xf numFmtId="14" fontId="3" fillId="0" borderId="3" xfId="0" applyNumberFormat="1" applyFont="1" applyBorder="1" applyAlignment="1">
      <alignment horizontal="right" vertical="center"/>
    </xf>
    <xf numFmtId="0" fontId="3" fillId="0" borderId="3" xfId="0" applyFont="1" applyBorder="1" applyAlignment="1">
      <alignment horizontal="right" vertical="center"/>
    </xf>
    <xf numFmtId="0" fontId="3" fillId="0" borderId="3" xfId="0" applyFont="1" applyBorder="1"/>
    <xf numFmtId="3" fontId="3" fillId="0" borderId="3" xfId="0" applyNumberFormat="1" applyFont="1" applyBorder="1" applyAlignment="1">
      <alignment horizontal="right"/>
    </xf>
    <xf numFmtId="14" fontId="3" fillId="0" borderId="3" xfId="0" applyNumberFormat="1" applyFont="1" applyBorder="1" applyAlignment="1">
      <alignment horizontal="right"/>
    </xf>
    <xf numFmtId="0" fontId="3" fillId="0" borderId="2" xfId="0" applyFont="1" applyBorder="1"/>
    <xf numFmtId="3" fontId="3" fillId="0" borderId="2" xfId="0" applyNumberFormat="1" applyFont="1" applyBorder="1" applyAlignment="1">
      <alignment horizontal="right"/>
    </xf>
    <xf numFmtId="14" fontId="3" fillId="0" borderId="2" xfId="0" applyNumberFormat="1" applyFont="1" applyBorder="1" applyAlignment="1">
      <alignment horizontal="right"/>
    </xf>
    <xf numFmtId="0" fontId="3" fillId="0" borderId="2" xfId="0" applyFont="1" applyBorder="1" applyAlignment="1">
      <alignment horizontal="right" vertical="center"/>
    </xf>
    <xf numFmtId="3" fontId="3" fillId="0" borderId="2" xfId="0" applyNumberFormat="1" applyFont="1" applyBorder="1" applyAlignment="1">
      <alignment horizontal="right" vertical="center"/>
    </xf>
    <xf numFmtId="0" fontId="5" fillId="6" borderId="0" xfId="0" applyFont="1" applyFill="1"/>
    <xf numFmtId="0" fontId="0" fillId="2" borderId="0" xfId="0" applyFill="1"/>
    <xf numFmtId="0" fontId="3" fillId="0" borderId="4" xfId="0" applyFont="1" applyBorder="1" applyAlignment="1">
      <alignment vertical="center"/>
    </xf>
    <xf numFmtId="0" fontId="3" fillId="0" borderId="4" xfId="0" applyFont="1" applyBorder="1"/>
    <xf numFmtId="0" fontId="3" fillId="0" borderId="6" xfId="0" applyFont="1" applyBorder="1"/>
    <xf numFmtId="3" fontId="3" fillId="0" borderId="3" xfId="0" applyNumberFormat="1" applyFont="1" applyBorder="1"/>
    <xf numFmtId="3" fontId="3" fillId="0" borderId="2" xfId="0" applyNumberFormat="1" applyFont="1" applyBorder="1"/>
    <xf numFmtId="0" fontId="4" fillId="6" borderId="0" xfId="0" applyFont="1" applyFill="1" applyAlignment="1">
      <alignment horizontal="center" vertical="center"/>
    </xf>
    <xf numFmtId="0" fontId="4" fillId="6" borderId="5" xfId="0" applyFont="1" applyFill="1" applyBorder="1" applyAlignment="1">
      <alignment horizontal="center" vertical="center"/>
    </xf>
    <xf numFmtId="14" fontId="4" fillId="6" borderId="5" xfId="0" applyNumberFormat="1" applyFont="1" applyFill="1" applyBorder="1" applyAlignment="1">
      <alignment horizontal="center" vertical="center"/>
    </xf>
    <xf numFmtId="0" fontId="4" fillId="2" borderId="5" xfId="0" applyFont="1" applyFill="1" applyBorder="1" applyAlignment="1">
      <alignment horizontal="center" vertical="center"/>
    </xf>
    <xf numFmtId="3" fontId="4" fillId="2" borderId="5" xfId="0" applyNumberFormat="1" applyFont="1" applyFill="1" applyBorder="1" applyAlignment="1">
      <alignment horizontal="center" vertical="center"/>
    </xf>
    <xf numFmtId="165" fontId="0" fillId="0" borderId="0" xfId="1" applyNumberFormat="1" applyFont="1"/>
    <xf numFmtId="0" fontId="6" fillId="5" borderId="1" xfId="0" applyFont="1" applyFill="1" applyBorder="1" applyAlignment="1">
      <alignment horizontal="center" vertical="center" wrapText="1"/>
    </xf>
  </cellXfs>
  <cellStyles count="2">
    <cellStyle name="Normal" xfId="0" builtinId="0"/>
    <cellStyle name="Percent" xfId="1" builtinId="5"/>
  </cellStyles>
  <dxfs count="31">
    <dxf>
      <numFmt numFmtId="164" formatCode="_(* #,##0_);_(* \(#,##0\);_(* &quot;-&quot;??_);_(@_)"/>
    </dxf>
    <dxf>
      <numFmt numFmtId="166" formatCode="_(* #,##0.0_);_(* \(#,##0.0\);_(* &quot;-&quot;??_);_(@_)"/>
    </dxf>
    <dxf>
      <numFmt numFmtId="35" formatCode="_(* #,##0.00_);_(* \(#,##0.00\);_(* &quot;-&quot;??_);_(@_)"/>
    </dxf>
    <dxf>
      <numFmt numFmtId="164" formatCode="_(* #,##0_);_(* \(#,##0\);_(* &quot;-&quot;??_);_(@_)"/>
    </dxf>
    <dxf>
      <numFmt numFmtId="166" formatCode="_(* #,##0.0_);_(* \(#,##0.0\);_(* &quot;-&quot;??_);_(@_)"/>
    </dxf>
    <dxf>
      <numFmt numFmtId="35" formatCode="_(* #,##0.00_);_(* \(#,##0.00\);_(* &quot;-&quot;??_);_(@_)"/>
    </dxf>
    <dxf>
      <numFmt numFmtId="164" formatCode="_(* #,##0_);_(* \(#,##0\);_(* &quot;-&quot;??_);_(@_)"/>
    </dxf>
    <dxf>
      <numFmt numFmtId="166" formatCode="_(* #,##0.0_);_(* \(#,##0.0\);_(* &quot;-&quot;??_);_(@_)"/>
    </dxf>
    <dxf>
      <numFmt numFmtId="35" formatCode="_(* #,##0.00_);_(* \(#,##0.00\);_(* &quot;-&quot;??_);_(@_)"/>
    </dxf>
    <dxf>
      <numFmt numFmtId="164" formatCode="_(* #,##0_);_(* \(#,##0\);_(* &quot;-&quot;??_);_(@_)"/>
    </dxf>
    <dxf>
      <numFmt numFmtId="166" formatCode="_(* #,##0.0_);_(* \(#,##0.0\);_(* &quot;-&quot;??_);_(@_)"/>
    </dxf>
    <dxf>
      <numFmt numFmtId="35" formatCode="_(* #,##0.00_);_(* \(#,##0.00\);_(* &quot;-&quot;??_);_(@_)"/>
    </dxf>
    <dxf>
      <numFmt numFmtId="164" formatCode="_(* #,##0_);_(* \(#,##0\);_(* &quot;-&quot;??_);_(@_)"/>
    </dxf>
    <dxf>
      <numFmt numFmtId="166" formatCode="_(* #,##0.0_);_(* \(#,##0.0\);_(* &quot;-&quot;??_);_(@_)"/>
    </dxf>
    <dxf>
      <numFmt numFmtId="35" formatCode="_(* #,##0.00_);_(* \(#,##0.00\);_(* &quot;-&quot;??_);_(@_)"/>
    </dxf>
    <dxf>
      <numFmt numFmtId="164" formatCode="_(* #,##0_);_(* \(#,##0\);_(* &quot;-&quot;??_);_(@_)"/>
    </dxf>
    <dxf>
      <numFmt numFmtId="166" formatCode="_(* #,##0.0_);_(* \(#,##0.0\);_(* &quot;-&quot;??_);_(@_)"/>
    </dxf>
    <dxf>
      <numFmt numFmtId="35" formatCode="_(* #,##0.00_);_(* \(#,##0.00\);_(* &quot;-&quot;??_);_(@_)"/>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numFmt numFmtId="19" formatCode="yyyy/mm/dd"/>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indexed="65"/>
        </patternFill>
      </fill>
      <border diagonalUp="0" diagonalDown="0">
        <left/>
        <right/>
        <top style="thin">
          <color indexed="64"/>
        </top>
        <bottom/>
        <vertical/>
        <horizontal/>
      </border>
    </dxf>
    <dxf>
      <border outline="0">
        <left style="thin">
          <color indexed="64"/>
        </left>
        <right style="thin">
          <color indexed="64"/>
        </right>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[Tạo báo cáo tự động không dùng lệnh.xlsx]Pivot!PivotTable3</c:name>
    <c:fmtId val="2"/>
  </c:pivotSource>
  <c:chart>
    <c:autoTitleDeleted val="1"/>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Pivot!$A$7:$A$13</c:f>
              <c:strCache>
                <c:ptCount val="6"/>
                <c:pt idx="0">
                  <c:v>CSDT</c:v>
                </c:pt>
                <c:pt idx="1">
                  <c:v>DVKT</c:v>
                </c:pt>
                <c:pt idx="2">
                  <c:v>ICT</c:v>
                </c:pt>
                <c:pt idx="3">
                  <c:v>ME</c:v>
                </c:pt>
                <c:pt idx="4">
                  <c:v>NLMT</c:v>
                </c:pt>
                <c:pt idx="5">
                  <c:v>Smarthome</c:v>
                </c:pt>
              </c:strCache>
            </c:strRef>
          </c:cat>
          <c:val>
            <c:numRef>
              <c:f>Pivot!$B$7:$B$13</c:f>
              <c:numCache>
                <c:formatCode>_(* #,##0_);_(* \(#,##0\);_(* "-"??_);_(@_)</c:formatCode>
                <c:ptCount val="6"/>
                <c:pt idx="0">
                  <c:v>6934.0263340000001</c:v>
                </c:pt>
                <c:pt idx="1">
                  <c:v>60910.776326999963</c:v>
                </c:pt>
                <c:pt idx="2">
                  <c:v>198681.75588400022</c:v>
                </c:pt>
                <c:pt idx="3">
                  <c:v>207178.38166099985</c:v>
                </c:pt>
                <c:pt idx="4">
                  <c:v>267832.91848599963</c:v>
                </c:pt>
                <c:pt idx="5">
                  <c:v>24335.613143999981</c:v>
                </c:pt>
              </c:numCache>
            </c:numRef>
          </c:val>
          <c:extLst>
            <c:ext xmlns:c16="http://schemas.microsoft.com/office/drawing/2014/chart" uri="{C3380CC4-5D6E-409C-BE32-E72D297353CC}">
              <c16:uniqueId val="{00000000-50AE-41A3-9305-2FD75B7A4A8B}"/>
            </c:ext>
          </c:extLst>
        </c:ser>
        <c:dLbls>
          <c:dLblPos val="outEnd"/>
          <c:showLegendKey val="0"/>
          <c:showVal val="1"/>
          <c:showCatName val="0"/>
          <c:showSerName val="0"/>
          <c:showPercent val="0"/>
          <c:showBubbleSize val="0"/>
        </c:dLbls>
        <c:gapWidth val="100"/>
        <c:overlap val="-24"/>
        <c:axId val="343950416"/>
        <c:axId val="343949584"/>
      </c:barChart>
      <c:catAx>
        <c:axId val="343950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3949584"/>
        <c:crosses val="autoZero"/>
        <c:auto val="1"/>
        <c:lblAlgn val="ctr"/>
        <c:lblOffset val="100"/>
        <c:noMultiLvlLbl val="0"/>
      </c:catAx>
      <c:valAx>
        <c:axId val="3439495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3950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[Tạo báo cáo tự động không dùng lệnh.xlsx]Pivot!PivotTable5</c:name>
    <c:fmtId val="2"/>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Pivot!$F$4:$F$9</c:f>
              <c:strCache>
                <c:ptCount val="5"/>
                <c:pt idx="0">
                  <c:v>Bệnh viện</c:v>
                </c:pt>
                <c:pt idx="1">
                  <c:v>Doanh nghiệp</c:v>
                </c:pt>
                <c:pt idx="2">
                  <c:v>Sở ban ngành</c:v>
                </c:pt>
                <c:pt idx="3">
                  <c:v>Trường học</c:v>
                </c:pt>
                <c:pt idx="4">
                  <c:v>Ngân hàng</c:v>
                </c:pt>
              </c:strCache>
            </c:strRef>
          </c:cat>
          <c:val>
            <c:numRef>
              <c:f>Pivot!$G$4:$G$9</c:f>
              <c:numCache>
                <c:formatCode>_(* #,##0_);_(* \(#,##0\);_(* "-"??_);_(@_)</c:formatCode>
                <c:ptCount val="5"/>
                <c:pt idx="0">
                  <c:v>4254.8858550000004</c:v>
                </c:pt>
                <c:pt idx="1">
                  <c:v>620502.77152300067</c:v>
                </c:pt>
                <c:pt idx="2">
                  <c:v>112764.21657599992</c:v>
                </c:pt>
                <c:pt idx="3">
                  <c:v>27175.398845</c:v>
                </c:pt>
                <c:pt idx="4">
                  <c:v>1176.1990370000001</c:v>
                </c:pt>
              </c:numCache>
            </c:numRef>
          </c:val>
          <c:extLst>
            <c:ext xmlns:c16="http://schemas.microsoft.com/office/drawing/2014/chart" uri="{C3380CC4-5D6E-409C-BE32-E72D297353CC}">
              <c16:uniqueId val="{00000000-9547-4153-A834-DE3FB1D9B22A}"/>
            </c:ext>
          </c:extLst>
        </c:ser>
        <c:dLbls>
          <c:dLblPos val="outEnd"/>
          <c:showLegendKey val="0"/>
          <c:showVal val="1"/>
          <c:showCatName val="0"/>
          <c:showSerName val="0"/>
          <c:showPercent val="0"/>
          <c:showBubbleSize val="0"/>
        </c:dLbls>
        <c:gapWidth val="100"/>
        <c:overlap val="-24"/>
        <c:axId val="139443328"/>
        <c:axId val="139450400"/>
      </c:barChart>
      <c:catAx>
        <c:axId val="139443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450400"/>
        <c:crosses val="autoZero"/>
        <c:auto val="1"/>
        <c:lblAlgn val="ctr"/>
        <c:lblOffset val="100"/>
        <c:noMultiLvlLbl val="0"/>
      </c:catAx>
      <c:valAx>
        <c:axId val="1394504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9443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[Tạo báo cáo tự động không dùng lệnh.xlsx]Pivot!PivotTable6</c:name>
    <c:fmtId val="2"/>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Pivot!$F$14:$F$34</c:f>
              <c:strCache>
                <c:ptCount val="20"/>
                <c:pt idx="0">
                  <c:v>A</c:v>
                </c:pt>
                <c:pt idx="1">
                  <c:v>B</c:v>
                </c:pt>
                <c:pt idx="2">
                  <c:v>C</c:v>
                </c:pt>
                <c:pt idx="3">
                  <c:v>D</c:v>
                </c:pt>
                <c:pt idx="4">
                  <c:v>E</c:v>
                </c:pt>
                <c:pt idx="5">
                  <c:v>F</c:v>
                </c:pt>
                <c:pt idx="6">
                  <c:v>G</c:v>
                </c:pt>
                <c:pt idx="7">
                  <c:v>H</c:v>
                </c:pt>
                <c:pt idx="8">
                  <c:v>I</c:v>
                </c:pt>
                <c:pt idx="9">
                  <c:v>K</c:v>
                </c:pt>
                <c:pt idx="10">
                  <c:v>L</c:v>
                </c:pt>
                <c:pt idx="11">
                  <c:v>M</c:v>
                </c:pt>
                <c:pt idx="12">
                  <c:v>N</c:v>
                </c:pt>
                <c:pt idx="13">
                  <c:v>O</c:v>
                </c:pt>
                <c:pt idx="14">
                  <c:v>P</c:v>
                </c:pt>
                <c:pt idx="15">
                  <c:v>Q</c:v>
                </c:pt>
                <c:pt idx="16">
                  <c:v>T</c:v>
                </c:pt>
                <c:pt idx="17">
                  <c:v>R</c:v>
                </c:pt>
                <c:pt idx="18">
                  <c:v>U</c:v>
                </c:pt>
                <c:pt idx="19">
                  <c:v>W</c:v>
                </c:pt>
              </c:strCache>
            </c:strRef>
          </c:cat>
          <c:val>
            <c:numRef>
              <c:f>Pivot!$G$14:$G$34</c:f>
              <c:numCache>
                <c:formatCode>_(* #,##0_);_(* \(#,##0\);_(* "-"??_);_(@_)</c:formatCode>
                <c:ptCount val="20"/>
                <c:pt idx="0">
                  <c:v>48452.321376999971</c:v>
                </c:pt>
                <c:pt idx="1">
                  <c:v>71237.084737000027</c:v>
                </c:pt>
                <c:pt idx="2">
                  <c:v>73191.060454999912</c:v>
                </c:pt>
                <c:pt idx="3">
                  <c:v>248566.96579199992</c:v>
                </c:pt>
                <c:pt idx="4">
                  <c:v>90030.550841000004</c:v>
                </c:pt>
                <c:pt idx="5">
                  <c:v>84792.411631999959</c:v>
                </c:pt>
                <c:pt idx="6">
                  <c:v>5904.7089619999997</c:v>
                </c:pt>
                <c:pt idx="7">
                  <c:v>11885.481587000007</c:v>
                </c:pt>
                <c:pt idx="8">
                  <c:v>1908.208893</c:v>
                </c:pt>
                <c:pt idx="9">
                  <c:v>24256.626727000003</c:v>
                </c:pt>
                <c:pt idx="10">
                  <c:v>7997.026143000001</c:v>
                </c:pt>
                <c:pt idx="11">
                  <c:v>38760.772422000002</c:v>
                </c:pt>
                <c:pt idx="12">
                  <c:v>3109.3854540000002</c:v>
                </c:pt>
                <c:pt idx="13">
                  <c:v>18362.55365899999</c:v>
                </c:pt>
                <c:pt idx="14">
                  <c:v>8153.2109630000014</c:v>
                </c:pt>
                <c:pt idx="15">
                  <c:v>9024.261744999998</c:v>
                </c:pt>
                <c:pt idx="16">
                  <c:v>8425.9238379999988</c:v>
                </c:pt>
                <c:pt idx="17">
                  <c:v>20</c:v>
                </c:pt>
                <c:pt idx="18">
                  <c:v>11684.001608999999</c:v>
                </c:pt>
                <c:pt idx="19">
                  <c:v>110.91499999999999</c:v>
                </c:pt>
              </c:numCache>
            </c:numRef>
          </c:val>
          <c:extLst>
            <c:ext xmlns:c16="http://schemas.microsoft.com/office/drawing/2014/chart" uri="{C3380CC4-5D6E-409C-BE32-E72D297353CC}">
              <c16:uniqueId val="{00000000-F237-42AD-B760-E94528F421E1}"/>
            </c:ext>
          </c:extLst>
        </c:ser>
        <c:dLbls>
          <c:dLblPos val="outEnd"/>
          <c:showLegendKey val="0"/>
          <c:showVal val="1"/>
          <c:showCatName val="0"/>
          <c:showSerName val="0"/>
          <c:showPercent val="0"/>
          <c:showBubbleSize val="0"/>
        </c:dLbls>
        <c:gapWidth val="100"/>
        <c:overlap val="-24"/>
        <c:axId val="596999872"/>
        <c:axId val="596978656"/>
      </c:barChart>
      <c:catAx>
        <c:axId val="596999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96978656"/>
        <c:crosses val="autoZero"/>
        <c:auto val="1"/>
        <c:lblAlgn val="ctr"/>
        <c:lblOffset val="100"/>
        <c:noMultiLvlLbl val="0"/>
      </c:catAx>
      <c:valAx>
        <c:axId val="596978656"/>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5969998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[Tạo báo cáo tự động không dùng lệnh.xlsx]Pivot!PivotTable4</c:name>
    <c:fmtId val="2"/>
  </c:pivotSource>
  <c:chart>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Pivot!$B$15:$B$16</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Pivot!$A$17:$A$29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Pivot!$B$17:$B$29</c:f>
              <c:numCache>
                <c:formatCode>_(* #,##0_);_(* \(#,##0\);_(* "-"??_);_(@_)</c:formatCode>
                <c:ptCount val="12"/>
                <c:pt idx="0">
                  <c:v>46229.977625000021</c:v>
                </c:pt>
                <c:pt idx="1">
                  <c:v>29340.654751999988</c:v>
                </c:pt>
                <c:pt idx="2">
                  <c:v>25478.976562000003</c:v>
                </c:pt>
                <c:pt idx="3">
                  <c:v>44719.748781999966</c:v>
                </c:pt>
                <c:pt idx="4">
                  <c:v>34758.735598999992</c:v>
                </c:pt>
                <c:pt idx="5">
                  <c:v>27806.667901999983</c:v>
                </c:pt>
                <c:pt idx="6">
                  <c:v>35727.380349999999</c:v>
                </c:pt>
                <c:pt idx="7">
                  <c:v>45276.315420999985</c:v>
                </c:pt>
                <c:pt idx="8">
                  <c:v>31136.262000000006</c:v>
                </c:pt>
                <c:pt idx="9">
                  <c:v>65701.014244999955</c:v>
                </c:pt>
                <c:pt idx="10">
                  <c:v>94407.083680999989</c:v>
                </c:pt>
                <c:pt idx="11">
                  <c:v>119756.82982600006</c:v>
                </c:pt>
              </c:numCache>
            </c:numRef>
          </c:val>
          <c:smooth val="0"/>
          <c:extLst>
            <c:ext xmlns:c16="http://schemas.microsoft.com/office/drawing/2014/chart" uri="{C3380CC4-5D6E-409C-BE32-E72D297353CC}">
              <c16:uniqueId val="{00000000-2251-4C97-B923-9AEB0B0FD121}"/>
            </c:ext>
          </c:extLst>
        </c:ser>
        <c:ser>
          <c:idx val="1"/>
          <c:order val="1"/>
          <c:tx>
            <c:strRef>
              <c:f>Pivot!$C$15:$C$16</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Pivot!$A$17:$A$29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Pivot!$C$17:$C$29</c:f>
              <c:numCache>
                <c:formatCode>_(* #,##0_);_(* \(#,##0\);_(* "-"??_);_(@_)</c:formatCode>
                <c:ptCount val="12"/>
                <c:pt idx="0">
                  <c:v>66868.989847999983</c:v>
                </c:pt>
                <c:pt idx="1">
                  <c:v>78898.315411999953</c:v>
                </c:pt>
                <c:pt idx="2">
                  <c:v>19766.519831000009</c:v>
                </c:pt>
              </c:numCache>
            </c:numRef>
          </c:val>
          <c:smooth val="0"/>
          <c:extLst>
            <c:ext xmlns:c16="http://schemas.microsoft.com/office/drawing/2014/chart" uri="{C3380CC4-5D6E-409C-BE32-E72D297353CC}">
              <c16:uniqueId val="{00000006-BE65-4C09-838D-EBE602381BB6}"/>
            </c:ext>
          </c:extLst>
        </c:ser>
        <c:dLbls>
          <c:showLegendKey val="0"/>
          <c:showVal val="0"/>
          <c:showCatName val="0"/>
          <c:showSerName val="0"/>
          <c:showPercent val="0"/>
          <c:showBubbleSize val="0"/>
        </c:dLbls>
        <c:marker val="1"/>
        <c:smooth val="0"/>
        <c:axId val="596989056"/>
        <c:axId val="596994048"/>
      </c:lineChart>
      <c:catAx>
        <c:axId val="59698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96994048"/>
        <c:crosses val="autoZero"/>
        <c:auto val="1"/>
        <c:lblAlgn val="ctr"/>
        <c:lblOffset val="100"/>
        <c:noMultiLvlLbl val="0"/>
      </c:catAx>
      <c:valAx>
        <c:axId val="5969940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96989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Pivot!$L$4:$L$66</c:f>
              <c:strCache>
                <c:ptCount val="63"/>
                <c:pt idx="0">
                  <c:v> HNI </c:v>
                </c:pt>
                <c:pt idx="1">
                  <c:v> HCM </c:v>
                </c:pt>
                <c:pt idx="2">
                  <c:v> VTU </c:v>
                </c:pt>
                <c:pt idx="3">
                  <c:v> QNM </c:v>
                </c:pt>
                <c:pt idx="4">
                  <c:v> DNI </c:v>
                </c:pt>
                <c:pt idx="5">
                  <c:v> TBH </c:v>
                </c:pt>
                <c:pt idx="6">
                  <c:v> TNN </c:v>
                </c:pt>
                <c:pt idx="7">
                  <c:v> QTI </c:v>
                </c:pt>
                <c:pt idx="8">
                  <c:v> NAN </c:v>
                </c:pt>
                <c:pt idx="9">
                  <c:v> PTO </c:v>
                </c:pt>
                <c:pt idx="10">
                  <c:v> BNH </c:v>
                </c:pt>
                <c:pt idx="11">
                  <c:v> BDG </c:v>
                </c:pt>
                <c:pt idx="12">
                  <c:v> TGG </c:v>
                </c:pt>
                <c:pt idx="13">
                  <c:v> DNG </c:v>
                </c:pt>
                <c:pt idx="14">
                  <c:v> NDH </c:v>
                </c:pt>
                <c:pt idx="15">
                  <c:v> LSN </c:v>
                </c:pt>
                <c:pt idx="16">
                  <c:v> GLI </c:v>
                </c:pt>
                <c:pt idx="17">
                  <c:v> VPC </c:v>
                </c:pt>
                <c:pt idx="18">
                  <c:v> HUE </c:v>
                </c:pt>
                <c:pt idx="19">
                  <c:v> CBG </c:v>
                </c:pt>
                <c:pt idx="20">
                  <c:v> KHA </c:v>
                </c:pt>
                <c:pt idx="21">
                  <c:v> DCN </c:v>
                </c:pt>
                <c:pt idx="22">
                  <c:v> PYN </c:v>
                </c:pt>
                <c:pt idx="23">
                  <c:v> BGG </c:v>
                </c:pt>
                <c:pt idx="24">
                  <c:v> BTN </c:v>
                </c:pt>
                <c:pt idx="25">
                  <c:v> TQG </c:v>
                </c:pt>
                <c:pt idx="26">
                  <c:v> HNM </c:v>
                </c:pt>
                <c:pt idx="27">
                  <c:v> HUG </c:v>
                </c:pt>
                <c:pt idx="28">
                  <c:v> LCI </c:v>
                </c:pt>
                <c:pt idx="29">
                  <c:v> SLA </c:v>
                </c:pt>
                <c:pt idx="30">
                  <c:v> HPG </c:v>
                </c:pt>
                <c:pt idx="31">
                  <c:v> BKN </c:v>
                </c:pt>
                <c:pt idx="32">
                  <c:v> HGG </c:v>
                </c:pt>
                <c:pt idx="33">
                  <c:v> QNI </c:v>
                </c:pt>
                <c:pt idx="34">
                  <c:v> THA </c:v>
                </c:pt>
                <c:pt idx="35">
                  <c:v> CTO </c:v>
                </c:pt>
                <c:pt idx="36">
                  <c:v> DBN </c:v>
                </c:pt>
                <c:pt idx="37">
                  <c:v> QBH </c:v>
                </c:pt>
                <c:pt idx="38">
                  <c:v> AGG </c:v>
                </c:pt>
                <c:pt idx="39">
                  <c:v> BDH </c:v>
                </c:pt>
                <c:pt idx="40">
                  <c:v> QNH </c:v>
                </c:pt>
                <c:pt idx="41">
                  <c:v> LDG </c:v>
                </c:pt>
                <c:pt idx="42">
                  <c:v> NTN </c:v>
                </c:pt>
                <c:pt idx="43">
                  <c:v> HTH </c:v>
                </c:pt>
                <c:pt idx="44">
                  <c:v> HDG </c:v>
                </c:pt>
                <c:pt idx="45">
                  <c:v> NBH </c:v>
                </c:pt>
                <c:pt idx="46">
                  <c:v> STG </c:v>
                </c:pt>
                <c:pt idx="47">
                  <c:v> BTE </c:v>
                </c:pt>
                <c:pt idx="48">
                  <c:v> LAN </c:v>
                </c:pt>
                <c:pt idx="49">
                  <c:v> KGG </c:v>
                </c:pt>
                <c:pt idx="50">
                  <c:v> VLG </c:v>
                </c:pt>
                <c:pt idx="51">
                  <c:v> TVH </c:v>
                </c:pt>
                <c:pt idx="52">
                  <c:v> BPC </c:v>
                </c:pt>
                <c:pt idx="53">
                  <c:v> DTP </c:v>
                </c:pt>
                <c:pt idx="54">
                  <c:v> YBI </c:v>
                </c:pt>
                <c:pt idx="55">
                  <c:v> LCU </c:v>
                </c:pt>
                <c:pt idx="56">
                  <c:v> HYN </c:v>
                </c:pt>
                <c:pt idx="57">
                  <c:v> CMU </c:v>
                </c:pt>
                <c:pt idx="58">
                  <c:v> HBH </c:v>
                </c:pt>
                <c:pt idx="59">
                  <c:v> KTM </c:v>
                </c:pt>
                <c:pt idx="60">
                  <c:v> TNH </c:v>
                </c:pt>
                <c:pt idx="61">
                  <c:v> DLK </c:v>
                </c:pt>
                <c:pt idx="62">
                  <c:v> BLU </c:v>
                </c:pt>
              </c:strCache>
            </c:strRef>
          </c:cat>
          <c:val>
            <c:numRef>
              <c:f>Pivot!$M$4:$M$66</c:f>
              <c:numCache>
                <c:formatCode>_(* #,##0_);_(* \(#,##0\);_(* "-"??_);_(@_)</c:formatCode>
                <c:ptCount val="63"/>
                <c:pt idx="0">
                  <c:v>58864.912125999988</c:v>
                </c:pt>
                <c:pt idx="1">
                  <c:v>48054.520338999995</c:v>
                </c:pt>
                <c:pt idx="2">
                  <c:v>39044.200606999999</c:v>
                </c:pt>
                <c:pt idx="3">
                  <c:v>38712.175402999994</c:v>
                </c:pt>
                <c:pt idx="4">
                  <c:v>37253.054285999991</c:v>
                </c:pt>
                <c:pt idx="5">
                  <c:v>36020.359414999992</c:v>
                </c:pt>
                <c:pt idx="6">
                  <c:v>30017.940513999994</c:v>
                </c:pt>
                <c:pt idx="7">
                  <c:v>29579.392193</c:v>
                </c:pt>
                <c:pt idx="8">
                  <c:v>23353.01359799998</c:v>
                </c:pt>
                <c:pt idx="9">
                  <c:v>21166.137697999999</c:v>
                </c:pt>
                <c:pt idx="10">
                  <c:v>21093.919848999998</c:v>
                </c:pt>
                <c:pt idx="11">
                  <c:v>18169.264932000002</c:v>
                </c:pt>
                <c:pt idx="12">
                  <c:v>17777.690087999996</c:v>
                </c:pt>
                <c:pt idx="13">
                  <c:v>16796.271142000005</c:v>
                </c:pt>
                <c:pt idx="14">
                  <c:v>15985.129304</c:v>
                </c:pt>
                <c:pt idx="15">
                  <c:v>15218.321372999999</c:v>
                </c:pt>
                <c:pt idx="16">
                  <c:v>13394.809170000002</c:v>
                </c:pt>
                <c:pt idx="17">
                  <c:v>13241.832831000002</c:v>
                </c:pt>
                <c:pt idx="18">
                  <c:v>12500.855561</c:v>
                </c:pt>
                <c:pt idx="19">
                  <c:v>12146.813401999998</c:v>
                </c:pt>
                <c:pt idx="20">
                  <c:v>11129.989547999998</c:v>
                </c:pt>
                <c:pt idx="21">
                  <c:v>10562.579433999997</c:v>
                </c:pt>
                <c:pt idx="22">
                  <c:v>10149.916876999998</c:v>
                </c:pt>
                <c:pt idx="23">
                  <c:v>10077.914433999998</c:v>
                </c:pt>
                <c:pt idx="24">
                  <c:v>9778.0370890000031</c:v>
                </c:pt>
                <c:pt idx="25">
                  <c:v>9619.7465989999982</c:v>
                </c:pt>
                <c:pt idx="26">
                  <c:v>9591.3190460000005</c:v>
                </c:pt>
                <c:pt idx="27">
                  <c:v>9576.9500480000006</c:v>
                </c:pt>
                <c:pt idx="28">
                  <c:v>8310.3981000000003</c:v>
                </c:pt>
                <c:pt idx="29">
                  <c:v>8113.1165039999996</c:v>
                </c:pt>
                <c:pt idx="30">
                  <c:v>7935.290645</c:v>
                </c:pt>
                <c:pt idx="31">
                  <c:v>7482.8184549999942</c:v>
                </c:pt>
                <c:pt idx="32">
                  <c:v>7385.6016020000006</c:v>
                </c:pt>
                <c:pt idx="33">
                  <c:v>7271.4197770000001</c:v>
                </c:pt>
                <c:pt idx="34">
                  <c:v>7220.2805119999994</c:v>
                </c:pt>
                <c:pt idx="35">
                  <c:v>7180.0828059999985</c:v>
                </c:pt>
                <c:pt idx="36">
                  <c:v>7092.8286689999959</c:v>
                </c:pt>
                <c:pt idx="37">
                  <c:v>6916.8100450000002</c:v>
                </c:pt>
                <c:pt idx="38">
                  <c:v>6492.4351049999977</c:v>
                </c:pt>
                <c:pt idx="39">
                  <c:v>6328.6192240000019</c:v>
                </c:pt>
                <c:pt idx="40">
                  <c:v>5920.464849</c:v>
                </c:pt>
                <c:pt idx="41">
                  <c:v>5822.3394289999997</c:v>
                </c:pt>
                <c:pt idx="42">
                  <c:v>5614.7705190000006</c:v>
                </c:pt>
                <c:pt idx="43">
                  <c:v>4869.3243710000006</c:v>
                </c:pt>
                <c:pt idx="44">
                  <c:v>4808.0657460000002</c:v>
                </c:pt>
                <c:pt idx="45">
                  <c:v>4343.1338110000006</c:v>
                </c:pt>
                <c:pt idx="46">
                  <c:v>3866.574834</c:v>
                </c:pt>
                <c:pt idx="47">
                  <c:v>3772.3718109999995</c:v>
                </c:pt>
                <c:pt idx="48">
                  <c:v>3720.8367110000008</c:v>
                </c:pt>
                <c:pt idx="49">
                  <c:v>3685.1290469999999</c:v>
                </c:pt>
                <c:pt idx="50">
                  <c:v>3392.427291</c:v>
                </c:pt>
                <c:pt idx="51">
                  <c:v>3370.6743240000005</c:v>
                </c:pt>
                <c:pt idx="52">
                  <c:v>3365.7312200000006</c:v>
                </c:pt>
                <c:pt idx="53">
                  <c:v>3225.2524669999998</c:v>
                </c:pt>
                <c:pt idx="54">
                  <c:v>3126.6998940000003</c:v>
                </c:pt>
                <c:pt idx="55">
                  <c:v>2820.4873229999998</c:v>
                </c:pt>
                <c:pt idx="56">
                  <c:v>2725.5278090000002</c:v>
                </c:pt>
                <c:pt idx="57">
                  <c:v>2185.073269</c:v>
                </c:pt>
                <c:pt idx="58">
                  <c:v>1926.130279</c:v>
                </c:pt>
                <c:pt idx="59">
                  <c:v>1922.1125469999999</c:v>
                </c:pt>
                <c:pt idx="60">
                  <c:v>1801.9624740000002</c:v>
                </c:pt>
                <c:pt idx="61">
                  <c:v>1622.812347</c:v>
                </c:pt>
                <c:pt idx="62">
                  <c:v>1358.8011140000001</c:v>
                </c:pt>
              </c:numCache>
            </c:numRef>
          </c:val>
          <c:extLst>
            <c:ext xmlns:c16="http://schemas.microsoft.com/office/drawing/2014/chart" uri="{C3380CC4-5D6E-409C-BE32-E72D297353CC}">
              <c16:uniqueId val="{00000000-C229-427B-B5BA-37D3FD18D6CD}"/>
            </c:ext>
          </c:extLst>
        </c:ser>
        <c:dLbls>
          <c:dLblPos val="outEnd"/>
          <c:showLegendKey val="0"/>
          <c:showVal val="1"/>
          <c:showCatName val="0"/>
          <c:showSerName val="0"/>
          <c:showPercent val="0"/>
          <c:showBubbleSize val="0"/>
        </c:dLbls>
        <c:gapWidth val="182"/>
        <c:axId val="708327023"/>
        <c:axId val="708328463"/>
      </c:barChart>
      <c:catAx>
        <c:axId val="7083270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08328463"/>
        <c:crosses val="autoZero"/>
        <c:auto val="1"/>
        <c:lblAlgn val="ctr"/>
        <c:lblOffset val="100"/>
        <c:noMultiLvlLbl val="0"/>
      </c:catAx>
      <c:valAx>
        <c:axId val="708328463"/>
        <c:scaling>
          <c:orientation val="minMax"/>
        </c:scaling>
        <c:delete val="1"/>
        <c:axPos val="t"/>
        <c:numFmt formatCode="_(* #,##0_);_(* \(#,##0\);_(* &quot;-&quot;??_);_(@_)" sourceLinked="1"/>
        <c:majorTickMark val="none"/>
        <c:minorTickMark val="none"/>
        <c:tickLblPos val="nextTo"/>
        <c:crossAx val="70832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76199</xdr:colOff>
      <xdr:row>0</xdr:row>
      <xdr:rowOff>47625</xdr:rowOff>
    </xdr:from>
    <xdr:to>
      <xdr:col>23</xdr:col>
      <xdr:colOff>219075</xdr:colOff>
      <xdr:row>4</xdr:row>
      <xdr:rowOff>114300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2257424" y="47625"/>
          <a:ext cx="15230476" cy="866775"/>
        </a:xfrm>
        <a:prstGeom prst="roundRect">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76199</xdr:colOff>
      <xdr:row>5</xdr:row>
      <xdr:rowOff>66675</xdr:rowOff>
    </xdr:from>
    <xdr:to>
      <xdr:col>5</xdr:col>
      <xdr:colOff>200024</xdr:colOff>
      <xdr:row>11</xdr:row>
      <xdr:rowOff>28575</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2257424" y="1066800"/>
          <a:ext cx="2867025" cy="1162050"/>
        </a:xfrm>
        <a:prstGeom prst="roundRect">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11</xdr:row>
      <xdr:rowOff>152400</xdr:rowOff>
    </xdr:from>
    <xdr:to>
      <xdr:col>8</xdr:col>
      <xdr:colOff>76200</xdr:colOff>
      <xdr:row>27</xdr:row>
      <xdr:rowOff>171450</xdr:rowOff>
    </xdr:to>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2257425" y="2352675"/>
          <a:ext cx="4800600" cy="3219450"/>
        </a:xfrm>
        <a:prstGeom prst="roundRect">
          <a:avLst>
            <a:gd name="adj" fmla="val 7255"/>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209550</xdr:colOff>
      <xdr:row>11</xdr:row>
      <xdr:rowOff>142875</xdr:rowOff>
    </xdr:from>
    <xdr:to>
      <xdr:col>17</xdr:col>
      <xdr:colOff>57150</xdr:colOff>
      <xdr:row>28</xdr:row>
      <xdr:rowOff>0</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7191375" y="2343150"/>
          <a:ext cx="6019800" cy="3257550"/>
        </a:xfrm>
        <a:prstGeom prst="roundRect">
          <a:avLst>
            <a:gd name="adj" fmla="val 8824"/>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95250</xdr:colOff>
      <xdr:row>28</xdr:row>
      <xdr:rowOff>76201</xdr:rowOff>
    </xdr:from>
    <xdr:to>
      <xdr:col>8</xdr:col>
      <xdr:colOff>57150</xdr:colOff>
      <xdr:row>45</xdr:row>
      <xdr:rowOff>123826</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2276475" y="5676901"/>
          <a:ext cx="4762500" cy="3448050"/>
        </a:xfrm>
        <a:prstGeom prst="roundRect">
          <a:avLst>
            <a:gd name="adj" fmla="val 6124"/>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200024</xdr:colOff>
      <xdr:row>28</xdr:row>
      <xdr:rowOff>85725</xdr:rowOff>
    </xdr:from>
    <xdr:to>
      <xdr:col>17</xdr:col>
      <xdr:colOff>47625</xdr:colOff>
      <xdr:row>45</xdr:row>
      <xdr:rowOff>123825</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7181849" y="5686425"/>
          <a:ext cx="6019801" cy="3438525"/>
        </a:xfrm>
        <a:prstGeom prst="roundRect">
          <a:avLst>
            <a:gd name="adj" fmla="val 7750"/>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600074</xdr:colOff>
      <xdr:row>5</xdr:row>
      <xdr:rowOff>76200</xdr:rowOff>
    </xdr:from>
    <xdr:to>
      <xdr:col>11</xdr:col>
      <xdr:colOff>133349</xdr:colOff>
      <xdr:row>11</xdr:row>
      <xdr:rowOff>38100</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6210299" y="1076325"/>
          <a:ext cx="2962275" cy="1162050"/>
        </a:xfrm>
        <a:prstGeom prst="roundRect">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542925</xdr:colOff>
      <xdr:row>5</xdr:row>
      <xdr:rowOff>66675</xdr:rowOff>
    </xdr:from>
    <xdr:to>
      <xdr:col>16</xdr:col>
      <xdr:colOff>647700</xdr:colOff>
      <xdr:row>11</xdr:row>
      <xdr:rowOff>28575</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10267950" y="1066800"/>
          <a:ext cx="2847975" cy="1162050"/>
        </a:xfrm>
        <a:prstGeom prst="roundRect">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161926</xdr:colOff>
      <xdr:row>5</xdr:row>
      <xdr:rowOff>47625</xdr:rowOff>
    </xdr:from>
    <xdr:to>
      <xdr:col>23</xdr:col>
      <xdr:colOff>257176</xdr:colOff>
      <xdr:row>45</xdr:row>
      <xdr:rowOff>133351</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13315951" y="1047750"/>
          <a:ext cx="4210050" cy="8086726"/>
        </a:xfrm>
        <a:prstGeom prst="roundRect">
          <a:avLst>
            <a:gd name="adj" fmla="val 4902"/>
          </a:avLst>
        </a:prstGeom>
        <a:solidFill>
          <a:schemeClr val="bg1"/>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104775</xdr:colOff>
      <xdr:row>1</xdr:row>
      <xdr:rowOff>19050</xdr:rowOff>
    </xdr:from>
    <xdr:to>
      <xdr:col>16</xdr:col>
      <xdr:colOff>666750</xdr:colOff>
      <xdr:row>4</xdr:row>
      <xdr:rowOff>47625</xdr:rowOff>
    </xdr:to>
    <xdr:sp macro="" textlink="Pivot!U3">
      <xdr:nvSpPr>
        <xdr:cNvPr id="11" name="TextBox 10">
          <a:extLst>
            <a:ext uri="{FF2B5EF4-FFF2-40B4-BE49-F238E27FC236}">
              <a16:creationId xmlns:a16="http://schemas.microsoft.com/office/drawing/2014/main" id="{00000000-0008-0000-0200-00000B000000}"/>
            </a:ext>
          </a:extLst>
        </xdr:cNvPr>
        <xdr:cNvSpPr txBox="1"/>
      </xdr:nvSpPr>
      <xdr:spPr>
        <a:xfrm>
          <a:off x="11201400" y="219075"/>
          <a:ext cx="193357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54EB3C-D048-4710-8F63-2596A33B3CE0}" type="TxLink">
            <a:rPr lang="en-US" sz="2000" b="1" i="0" u="none" strike="noStrike" baseline="0">
              <a:solidFill>
                <a:schemeClr val="accent5">
                  <a:lumMod val="75000"/>
                </a:schemeClr>
              </a:solidFill>
              <a:latin typeface="Times New Roman" panose="02020603050405020304" pitchFamily="18" charset="0"/>
              <a:cs typeface="Times New Roman" panose="02020603050405020304" pitchFamily="18" charset="0"/>
            </a:rPr>
            <a:pPr/>
            <a:t>11/08/2025</a:t>
          </a:fld>
          <a:endParaRPr lang="en-US" sz="1800" b="1" baseline="0">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136874</xdr:colOff>
      <xdr:row>1</xdr:row>
      <xdr:rowOff>19050</xdr:rowOff>
    </xdr:from>
    <xdr:to>
      <xdr:col>14</xdr:col>
      <xdr:colOff>171450</xdr:colOff>
      <xdr:row>4</xdr:row>
      <xdr:rowOff>47625</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5061299" y="219075"/>
          <a:ext cx="6206776"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baseline="0">
              <a:solidFill>
                <a:schemeClr val="accent5">
                  <a:lumMod val="75000"/>
                </a:schemeClr>
              </a:solidFill>
              <a:latin typeface="Times New Roman" panose="02020603050405020304" pitchFamily="18" charset="0"/>
              <a:cs typeface="Times New Roman" panose="02020603050405020304" pitchFamily="18" charset="0"/>
            </a:rPr>
            <a:t>BÁO CÁO NGUỒN VIỆC KÊNH DỰ ÁN ĐẾN NGÀY</a:t>
          </a:r>
        </a:p>
      </xdr:txBody>
    </xdr:sp>
    <xdr:clientData/>
  </xdr:twoCellAnchor>
  <xdr:twoCellAnchor>
    <xdr:from>
      <xdr:col>1</xdr:col>
      <xdr:colOff>171450</xdr:colOff>
      <xdr:row>5</xdr:row>
      <xdr:rowOff>123825</xdr:rowOff>
    </xdr:from>
    <xdr:to>
      <xdr:col>3</xdr:col>
      <xdr:colOff>428625</xdr:colOff>
      <xdr:row>6</xdr:row>
      <xdr:rowOff>161925</xdr:rowOff>
    </xdr:to>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2352675" y="1123950"/>
          <a:ext cx="16287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5">
                  <a:lumMod val="75000"/>
                </a:schemeClr>
              </a:solidFill>
              <a:latin typeface="Times New Roman" panose="02020603050405020304" pitchFamily="18" charset="0"/>
              <a:cs typeface="Times New Roman" panose="02020603050405020304" pitchFamily="18" charset="0"/>
            </a:rPr>
            <a:t>NGUỒN</a:t>
          </a:r>
          <a:r>
            <a:rPr lang="en-US" sz="1600" b="1" baseline="0">
              <a:solidFill>
                <a:schemeClr val="accent5">
                  <a:lumMod val="75000"/>
                </a:schemeClr>
              </a:solidFill>
              <a:latin typeface="Times New Roman" panose="02020603050405020304" pitchFamily="18" charset="0"/>
              <a:cs typeface="Times New Roman" panose="02020603050405020304" pitchFamily="18" charset="0"/>
            </a:rPr>
            <a:t> VIỆC</a:t>
          </a:r>
          <a:endParaRPr lang="en-US" sz="16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638175</xdr:colOff>
      <xdr:row>5</xdr:row>
      <xdr:rowOff>133350</xdr:rowOff>
    </xdr:from>
    <xdr:to>
      <xdr:col>10</xdr:col>
      <xdr:colOff>542925</xdr:colOff>
      <xdr:row>6</xdr:row>
      <xdr:rowOff>171450</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6248400" y="1133475"/>
          <a:ext cx="26479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5">
                  <a:lumMod val="75000"/>
                </a:schemeClr>
              </a:solidFill>
              <a:latin typeface="Times New Roman" panose="02020603050405020304" pitchFamily="18" charset="0"/>
              <a:cs typeface="Times New Roman" panose="02020603050405020304" pitchFamily="18" charset="0"/>
            </a:rPr>
            <a:t>BÁN</a:t>
          </a:r>
          <a:r>
            <a:rPr lang="en-US" sz="1600" b="1" baseline="0">
              <a:solidFill>
                <a:schemeClr val="accent5">
                  <a:lumMod val="75000"/>
                </a:schemeClr>
              </a:solidFill>
              <a:latin typeface="Times New Roman" panose="02020603050405020304" pitchFamily="18" charset="0"/>
              <a:cs typeface="Times New Roman" panose="02020603050405020304" pitchFamily="18" charset="0"/>
            </a:rPr>
            <a:t> HÀNG TRỰC TIẾP</a:t>
          </a:r>
          <a:endParaRPr lang="en-US" sz="16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657225</xdr:colOff>
      <xdr:row>5</xdr:row>
      <xdr:rowOff>133350</xdr:rowOff>
    </xdr:from>
    <xdr:to>
      <xdr:col>16</xdr:col>
      <xdr:colOff>476250</xdr:colOff>
      <xdr:row>6</xdr:row>
      <xdr:rowOff>171450</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10382250" y="1133475"/>
          <a:ext cx="25622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5">
                  <a:lumMod val="75000"/>
                </a:schemeClr>
              </a:solidFill>
              <a:latin typeface="Times New Roman" panose="02020603050405020304" pitchFamily="18" charset="0"/>
              <a:cs typeface="Times New Roman" panose="02020603050405020304" pitchFamily="18" charset="0"/>
            </a:rPr>
            <a:t>DIGITAL MARKETING</a:t>
          </a:r>
        </a:p>
      </xdr:txBody>
    </xdr:sp>
    <xdr:clientData/>
  </xdr:twoCellAnchor>
  <xdr:twoCellAnchor>
    <xdr:from>
      <xdr:col>1</xdr:col>
      <xdr:colOff>619125</xdr:colOff>
      <xdr:row>7</xdr:row>
      <xdr:rowOff>19050</xdr:rowOff>
    </xdr:from>
    <xdr:to>
      <xdr:col>4</xdr:col>
      <xdr:colOff>190500</xdr:colOff>
      <xdr:row>9</xdr:row>
      <xdr:rowOff>76200</xdr:rowOff>
    </xdr:to>
    <xdr:sp macro="" textlink="Pivot!A4">
      <xdr:nvSpPr>
        <xdr:cNvPr id="17" name="TextBox 16">
          <a:extLst>
            <a:ext uri="{FF2B5EF4-FFF2-40B4-BE49-F238E27FC236}">
              <a16:creationId xmlns:a16="http://schemas.microsoft.com/office/drawing/2014/main" id="{00000000-0008-0000-0200-000011000000}"/>
            </a:ext>
          </a:extLst>
        </xdr:cNvPr>
        <xdr:cNvSpPr txBox="1"/>
      </xdr:nvSpPr>
      <xdr:spPr>
        <a:xfrm>
          <a:off x="2800350" y="1419225"/>
          <a:ext cx="16287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A750077-4A10-4D1C-B004-E9C76ABA5D5E}" type="TxLink">
            <a:rPr lang="en-US" sz="3200" b="1" i="0" u="none" strike="noStrike">
              <a:solidFill>
                <a:schemeClr val="accent5">
                  <a:lumMod val="50000"/>
                </a:schemeClr>
              </a:solidFill>
              <a:latin typeface="Times New Roman"/>
              <a:cs typeface="Times New Roman"/>
            </a:rPr>
            <a:pPr/>
            <a:t> 765,873 </a:t>
          </a:fld>
          <a:endParaRPr lang="en-US" sz="3600" b="1">
            <a:solidFill>
              <a:schemeClr val="accent5">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104775</xdr:colOff>
      <xdr:row>6</xdr:row>
      <xdr:rowOff>180975</xdr:rowOff>
    </xdr:from>
    <xdr:to>
      <xdr:col>10</xdr:col>
      <xdr:colOff>361950</xdr:colOff>
      <xdr:row>9</xdr:row>
      <xdr:rowOff>38100</xdr:rowOff>
    </xdr:to>
    <xdr:sp macro="" textlink="Pivot!S4">
      <xdr:nvSpPr>
        <xdr:cNvPr id="18" name="TextBox 17">
          <a:extLst>
            <a:ext uri="{FF2B5EF4-FFF2-40B4-BE49-F238E27FC236}">
              <a16:creationId xmlns:a16="http://schemas.microsoft.com/office/drawing/2014/main" id="{00000000-0008-0000-0200-000012000000}"/>
            </a:ext>
          </a:extLst>
        </xdr:cNvPr>
        <xdr:cNvSpPr txBox="1"/>
      </xdr:nvSpPr>
      <xdr:spPr>
        <a:xfrm>
          <a:off x="7086600" y="1381125"/>
          <a:ext cx="16287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FABECA8-5DD8-4FC1-ADF9-9932FFF2366E}" type="TxLink">
            <a:rPr lang="en-US" sz="2400" b="1" i="0" u="none" strike="noStrike">
              <a:solidFill>
                <a:schemeClr val="accent5">
                  <a:lumMod val="50000"/>
                </a:schemeClr>
              </a:solidFill>
              <a:latin typeface="Times New Roman"/>
              <a:ea typeface="+mn-ea"/>
              <a:cs typeface="Times New Roman"/>
            </a:rPr>
            <a:pPr marL="0" indent="0"/>
            <a:t>385,670</a:t>
          </a:fld>
          <a:endParaRPr lang="en-US" sz="2400" b="1" i="0" u="none" strike="noStrike">
            <a:solidFill>
              <a:schemeClr val="accent5">
                <a:lumMod val="50000"/>
              </a:schemeClr>
            </a:solidFill>
            <a:latin typeface="Times New Roman"/>
            <a:ea typeface="+mn-ea"/>
            <a:cs typeface="Times New Roman"/>
          </a:endParaRPr>
        </a:p>
      </xdr:txBody>
    </xdr:sp>
    <xdr:clientData/>
  </xdr:twoCellAnchor>
  <xdr:twoCellAnchor>
    <xdr:from>
      <xdr:col>14</xdr:col>
      <xdr:colOff>47625</xdr:colOff>
      <xdr:row>6</xdr:row>
      <xdr:rowOff>161925</xdr:rowOff>
    </xdr:from>
    <xdr:to>
      <xdr:col>16</xdr:col>
      <xdr:colOff>304800</xdr:colOff>
      <xdr:row>9</xdr:row>
      <xdr:rowOff>19050</xdr:rowOff>
    </xdr:to>
    <xdr:sp macro="" textlink="Pivot!S5">
      <xdr:nvSpPr>
        <xdr:cNvPr id="19" name="TextBox 18">
          <a:extLst>
            <a:ext uri="{FF2B5EF4-FFF2-40B4-BE49-F238E27FC236}">
              <a16:creationId xmlns:a16="http://schemas.microsoft.com/office/drawing/2014/main" id="{00000000-0008-0000-0200-000013000000}"/>
            </a:ext>
          </a:extLst>
        </xdr:cNvPr>
        <xdr:cNvSpPr txBox="1"/>
      </xdr:nvSpPr>
      <xdr:spPr>
        <a:xfrm>
          <a:off x="11144250" y="1362075"/>
          <a:ext cx="16287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5EC878B-3539-41DC-85AC-1780B2C63CC9}" type="TxLink">
            <a:rPr lang="en-US" sz="2400" b="1" i="0" u="none" strike="noStrike">
              <a:solidFill>
                <a:schemeClr val="accent5">
                  <a:lumMod val="50000"/>
                </a:schemeClr>
              </a:solidFill>
              <a:latin typeface="Times New Roman"/>
              <a:ea typeface="+mn-ea"/>
              <a:cs typeface="Times New Roman"/>
            </a:rPr>
            <a:pPr marL="0" indent="0"/>
            <a:t>380,203</a:t>
          </a:fld>
          <a:endParaRPr lang="en-US" sz="2400" b="1" i="0" u="none" strike="noStrike">
            <a:solidFill>
              <a:schemeClr val="accent5">
                <a:lumMod val="50000"/>
              </a:schemeClr>
            </a:solidFill>
            <a:latin typeface="Times New Roman"/>
            <a:ea typeface="+mn-ea"/>
            <a:cs typeface="Times New Roman"/>
          </a:endParaRPr>
        </a:p>
      </xdr:txBody>
    </xdr:sp>
    <xdr:clientData/>
  </xdr:twoCellAnchor>
  <xdr:twoCellAnchor>
    <xdr:from>
      <xdr:col>7</xdr:col>
      <xdr:colOff>590550</xdr:colOff>
      <xdr:row>8</xdr:row>
      <xdr:rowOff>123825</xdr:rowOff>
    </xdr:from>
    <xdr:to>
      <xdr:col>10</xdr:col>
      <xdr:colOff>161925</xdr:colOff>
      <xdr:row>10</xdr:row>
      <xdr:rowOff>180975</xdr:rowOff>
    </xdr:to>
    <xdr:sp macro="" textlink="Pivot!T4">
      <xdr:nvSpPr>
        <xdr:cNvPr id="20" name="TextBox 19">
          <a:extLst>
            <a:ext uri="{FF2B5EF4-FFF2-40B4-BE49-F238E27FC236}">
              <a16:creationId xmlns:a16="http://schemas.microsoft.com/office/drawing/2014/main" id="{00000000-0008-0000-0200-000014000000}"/>
            </a:ext>
          </a:extLst>
        </xdr:cNvPr>
        <xdr:cNvSpPr txBox="1"/>
      </xdr:nvSpPr>
      <xdr:spPr>
        <a:xfrm>
          <a:off x="6886575" y="1724025"/>
          <a:ext cx="16287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41163E-B1BF-432B-A1AE-888C78BE3CFA}" type="TxLink">
            <a:rPr lang="en-US" sz="1800" b="1" i="0" u="none" strike="noStrike">
              <a:solidFill>
                <a:srgbClr val="FF0000"/>
              </a:solidFill>
              <a:latin typeface="Times New Roman"/>
              <a:ea typeface="+mn-ea"/>
              <a:cs typeface="Times New Roman"/>
            </a:rPr>
            <a:pPr marL="0" indent="0" algn="ctr"/>
            <a:t>50.4%</a:t>
          </a:fld>
          <a:endParaRPr lang="en-US" sz="1800" b="1" i="0" u="none" strike="noStrike">
            <a:solidFill>
              <a:srgbClr val="FF0000"/>
            </a:solidFill>
            <a:latin typeface="Times New Roman"/>
            <a:ea typeface="+mn-ea"/>
            <a:cs typeface="Times New Roman"/>
          </a:endParaRPr>
        </a:p>
      </xdr:txBody>
    </xdr:sp>
    <xdr:clientData/>
  </xdr:twoCellAnchor>
  <xdr:twoCellAnchor>
    <xdr:from>
      <xdr:col>13</xdr:col>
      <xdr:colOff>504825</xdr:colOff>
      <xdr:row>8</xdr:row>
      <xdr:rowOff>104775</xdr:rowOff>
    </xdr:from>
    <xdr:to>
      <xdr:col>16</xdr:col>
      <xdr:colOff>76200</xdr:colOff>
      <xdr:row>10</xdr:row>
      <xdr:rowOff>161925</xdr:rowOff>
    </xdr:to>
    <xdr:sp macro="" textlink="Pivot!T5">
      <xdr:nvSpPr>
        <xdr:cNvPr id="21" name="TextBox 20">
          <a:extLst>
            <a:ext uri="{FF2B5EF4-FFF2-40B4-BE49-F238E27FC236}">
              <a16:creationId xmlns:a16="http://schemas.microsoft.com/office/drawing/2014/main" id="{00000000-0008-0000-0200-000015000000}"/>
            </a:ext>
          </a:extLst>
        </xdr:cNvPr>
        <xdr:cNvSpPr txBox="1"/>
      </xdr:nvSpPr>
      <xdr:spPr>
        <a:xfrm>
          <a:off x="10915650" y="1704975"/>
          <a:ext cx="16287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11B51B-7A92-46D0-B8AC-ED1C2C302882}" type="TxLink">
            <a:rPr lang="en-US" sz="1800" b="1" i="0" u="none" strike="noStrike">
              <a:solidFill>
                <a:srgbClr val="FF0000"/>
              </a:solidFill>
              <a:latin typeface="Times New Roman"/>
              <a:ea typeface="+mn-ea"/>
              <a:cs typeface="Times New Roman"/>
            </a:rPr>
            <a:pPr marL="0" indent="0" algn="ctr"/>
            <a:t>49.6%</a:t>
          </a:fld>
          <a:endParaRPr lang="en-US" sz="1800" b="1" i="0" u="none" strike="noStrike">
            <a:solidFill>
              <a:srgbClr val="FF0000"/>
            </a:solidFill>
            <a:latin typeface="Times New Roman"/>
            <a:ea typeface="+mn-ea"/>
            <a:cs typeface="Times New Roman"/>
          </a:endParaRPr>
        </a:p>
      </xdr:txBody>
    </xdr:sp>
    <xdr:clientData/>
  </xdr:twoCellAnchor>
  <xdr:twoCellAnchor>
    <xdr:from>
      <xdr:col>2</xdr:col>
      <xdr:colOff>161925</xdr:colOff>
      <xdr:row>12</xdr:row>
      <xdr:rowOff>38100</xdr:rowOff>
    </xdr:from>
    <xdr:to>
      <xdr:col>7</xdr:col>
      <xdr:colOff>438150</xdr:colOff>
      <xdr:row>13</xdr:row>
      <xdr:rowOff>76200</xdr:rowOff>
    </xdr:to>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3028950" y="2438400"/>
          <a:ext cx="37052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solidFill>
                <a:schemeClr val="accent5">
                  <a:lumMod val="75000"/>
                </a:schemeClr>
              </a:solidFill>
              <a:latin typeface="Times New Roman" panose="02020603050405020304" pitchFamily="18" charset="0"/>
              <a:cs typeface="Times New Roman" panose="02020603050405020304" pitchFamily="18" charset="0"/>
            </a:rPr>
            <a:t>XU HƯỚNG</a:t>
          </a:r>
          <a:r>
            <a:rPr lang="en-US" sz="1300" b="1" baseline="0">
              <a:solidFill>
                <a:schemeClr val="accent5">
                  <a:lumMod val="75000"/>
                </a:schemeClr>
              </a:solidFill>
              <a:latin typeface="Times New Roman" panose="02020603050405020304" pitchFamily="18" charset="0"/>
              <a:cs typeface="Times New Roman" panose="02020603050405020304" pitchFamily="18" charset="0"/>
            </a:rPr>
            <a:t> NGUỒN VIỆC THEO THÁNG</a:t>
          </a:r>
          <a:endParaRPr lang="en-US" sz="13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47625</xdr:colOff>
      <xdr:row>12</xdr:row>
      <xdr:rowOff>19050</xdr:rowOff>
    </xdr:from>
    <xdr:to>
      <xdr:col>15</xdr:col>
      <xdr:colOff>609600</xdr:colOff>
      <xdr:row>13</xdr:row>
      <xdr:rowOff>57150</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8401050" y="2419350"/>
          <a:ext cx="39909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baseline="0">
              <a:solidFill>
                <a:schemeClr val="accent5">
                  <a:lumMod val="75000"/>
                </a:schemeClr>
              </a:solidFill>
              <a:latin typeface="Times New Roman" panose="02020603050405020304" pitchFamily="18" charset="0"/>
              <a:cs typeface="Times New Roman" panose="02020603050405020304" pitchFamily="18" charset="0"/>
            </a:rPr>
            <a:t>NGUỒN VIỆC THEO LOẠI HÌNH KHÁCH HÀNG</a:t>
          </a:r>
          <a:endParaRPr lang="en-US" sz="13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428625</xdr:colOff>
      <xdr:row>28</xdr:row>
      <xdr:rowOff>161925</xdr:rowOff>
    </xdr:from>
    <xdr:to>
      <xdr:col>7</xdr:col>
      <xdr:colOff>381000</xdr:colOff>
      <xdr:row>30</xdr:row>
      <xdr:rowOff>0</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3295650" y="5762625"/>
          <a:ext cx="33813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solidFill>
                <a:schemeClr val="accent5">
                  <a:lumMod val="75000"/>
                </a:schemeClr>
              </a:solidFill>
              <a:latin typeface="Times New Roman" panose="02020603050405020304" pitchFamily="18" charset="0"/>
              <a:cs typeface="Times New Roman" panose="02020603050405020304" pitchFamily="18" charset="0"/>
            </a:rPr>
            <a:t>NGUỒN</a:t>
          </a:r>
          <a:r>
            <a:rPr lang="en-US" sz="1300" b="1" baseline="0">
              <a:solidFill>
                <a:schemeClr val="accent5">
                  <a:lumMod val="75000"/>
                </a:schemeClr>
              </a:solidFill>
              <a:latin typeface="Times New Roman" panose="02020603050405020304" pitchFamily="18" charset="0"/>
              <a:cs typeface="Times New Roman" panose="02020603050405020304" pitchFamily="18" charset="0"/>
            </a:rPr>
            <a:t> VIỆC THEO NGÀNH HÀNG</a:t>
          </a:r>
          <a:endParaRPr lang="en-US" sz="13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638175</xdr:colOff>
      <xdr:row>28</xdr:row>
      <xdr:rowOff>123825</xdr:rowOff>
    </xdr:from>
    <xdr:to>
      <xdr:col>15</xdr:col>
      <xdr:colOff>590550</xdr:colOff>
      <xdr:row>29</xdr:row>
      <xdr:rowOff>161925</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8991600" y="5724525"/>
          <a:ext cx="33813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solidFill>
                <a:schemeClr val="accent5">
                  <a:lumMod val="75000"/>
                </a:schemeClr>
              </a:solidFill>
              <a:latin typeface="Times New Roman" panose="02020603050405020304" pitchFamily="18" charset="0"/>
              <a:cs typeface="Times New Roman" panose="02020603050405020304" pitchFamily="18" charset="0"/>
            </a:rPr>
            <a:t>NGUỒN</a:t>
          </a:r>
          <a:r>
            <a:rPr lang="en-US" sz="1300" b="1" baseline="0">
              <a:solidFill>
                <a:schemeClr val="accent5">
                  <a:lumMod val="75000"/>
                </a:schemeClr>
              </a:solidFill>
              <a:latin typeface="Times New Roman" panose="02020603050405020304" pitchFamily="18" charset="0"/>
              <a:cs typeface="Times New Roman" panose="02020603050405020304" pitchFamily="18" charset="0"/>
            </a:rPr>
            <a:t> VIỆC THEO SẢN PHẨM</a:t>
          </a:r>
          <a:endParaRPr lang="en-US" sz="13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419101</xdr:colOff>
      <xdr:row>5</xdr:row>
      <xdr:rowOff>104775</xdr:rowOff>
    </xdr:from>
    <xdr:to>
      <xdr:col>22</xdr:col>
      <xdr:colOff>57151</xdr:colOff>
      <xdr:row>6</xdr:row>
      <xdr:rowOff>142875</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14258926" y="1104900"/>
          <a:ext cx="23812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baseline="0">
              <a:solidFill>
                <a:schemeClr val="accent5">
                  <a:lumMod val="75000"/>
                </a:schemeClr>
              </a:solidFill>
              <a:latin typeface="Times New Roman" panose="02020603050405020304" pitchFamily="18" charset="0"/>
              <a:cs typeface="Times New Roman" panose="02020603050405020304" pitchFamily="18" charset="0"/>
            </a:rPr>
            <a:t>NGUỒN VIỆC THEO TỈNH</a:t>
          </a:r>
          <a:endParaRPr lang="en-US" sz="13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171450</xdr:colOff>
      <xdr:row>30</xdr:row>
      <xdr:rowOff>47625</xdr:rowOff>
    </xdr:from>
    <xdr:to>
      <xdr:col>7</xdr:col>
      <xdr:colOff>657225</xdr:colOff>
      <xdr:row>44</xdr:row>
      <xdr:rowOff>142875</xdr:rowOff>
    </xdr:to>
    <xdr:graphicFrame macro="">
      <xdr:nvGraphicFramePr>
        <xdr:cNvPr id="28" name="Chart 27">
          <a:extLst>
            <a:ext uri="{FF2B5EF4-FFF2-40B4-BE49-F238E27FC236}">
              <a16:creationId xmlns:a16="http://schemas.microsoft.com/office/drawing/2014/main" id="{00000000-0008-0000-0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342899</xdr:colOff>
      <xdr:row>13</xdr:row>
      <xdr:rowOff>85724</xdr:rowOff>
    </xdr:from>
    <xdr:to>
      <xdr:col>17</xdr:col>
      <xdr:colOff>28574</xdr:colOff>
      <xdr:row>27</xdr:row>
      <xdr:rowOff>123825</xdr:rowOff>
    </xdr:to>
    <xdr:graphicFrame macro="">
      <xdr:nvGraphicFramePr>
        <xdr:cNvPr id="29" name="Chart 28">
          <a:extLst>
            <a:ext uri="{FF2B5EF4-FFF2-40B4-BE49-F238E27FC236}">
              <a16:creationId xmlns:a16="http://schemas.microsoft.com/office/drawing/2014/main" id="{00000000-0008-0000-02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200026</xdr:colOff>
      <xdr:row>29</xdr:row>
      <xdr:rowOff>192163</xdr:rowOff>
    </xdr:from>
    <xdr:to>
      <xdr:col>17</xdr:col>
      <xdr:colOff>9526</xdr:colOff>
      <xdr:row>45</xdr:row>
      <xdr:rowOff>104775</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76201</xdr:colOff>
      <xdr:row>13</xdr:row>
      <xdr:rowOff>57150</xdr:rowOff>
    </xdr:from>
    <xdr:to>
      <xdr:col>7</xdr:col>
      <xdr:colOff>628651</xdr:colOff>
      <xdr:row>27</xdr:row>
      <xdr:rowOff>95250</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0</xdr:row>
      <xdr:rowOff>104775</xdr:rowOff>
    </xdr:from>
    <xdr:to>
      <xdr:col>0</xdr:col>
      <xdr:colOff>2133600</xdr:colOff>
      <xdr:row>6</xdr:row>
      <xdr:rowOff>180975</xdr:rowOff>
    </xdr:to>
    <mc:AlternateContent xmlns:mc="http://schemas.openxmlformats.org/markup-compatibility/2006" xmlns:a14="http://schemas.microsoft.com/office/drawing/2010/main">
      <mc:Choice Requires="a14">
        <xdr:graphicFrame macro="">
          <xdr:nvGraphicFramePr>
            <xdr:cNvPr id="33" name="Lĩnh vực">
              <a:extLst>
                <a:ext uri="{FF2B5EF4-FFF2-40B4-BE49-F238E27FC236}">
                  <a16:creationId xmlns:a16="http://schemas.microsoft.com/office/drawing/2014/main" id="{00000000-0008-0000-0200-000021000000}"/>
                </a:ext>
              </a:extLst>
            </xdr:cNvPr>
            <xdr:cNvGraphicFramePr/>
          </xdr:nvGraphicFramePr>
          <xdr:xfrm>
            <a:off x="0" y="0"/>
            <a:ext cx="0" cy="0"/>
          </xdr:xfrm>
          <a:graphic>
            <a:graphicData uri="http://schemas.microsoft.com/office/drawing/2010/slicer">
              <sle:slicer xmlns:sle="http://schemas.microsoft.com/office/drawing/2010/slicer" name="Lĩnh vực"/>
            </a:graphicData>
          </a:graphic>
        </xdr:graphicFrame>
      </mc:Choice>
      <mc:Fallback xmlns="">
        <xdr:sp macro="" textlink="">
          <xdr:nvSpPr>
            <xdr:cNvPr id="0" name=""/>
            <xdr:cNvSpPr>
              <a:spLocks noTextEdit="1"/>
            </xdr:cNvSpPr>
          </xdr:nvSpPr>
          <xdr:spPr>
            <a:xfrm>
              <a:off x="38100" y="104775"/>
              <a:ext cx="20955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762000</xdr:colOff>
      <xdr:row>7</xdr:row>
      <xdr:rowOff>47625</xdr:rowOff>
    </xdr:from>
    <xdr:to>
      <xdr:col>0</xdr:col>
      <xdr:colOff>2105025</xdr:colOff>
      <xdr:row>14</xdr:row>
      <xdr:rowOff>190500</xdr:rowOff>
    </xdr:to>
    <mc:AlternateContent xmlns:mc="http://schemas.openxmlformats.org/markup-compatibility/2006" xmlns:a14="http://schemas.microsoft.com/office/drawing/2010/main">
      <mc:Choice Requires="a14">
        <xdr:graphicFrame macro="">
          <xdr:nvGraphicFramePr>
            <xdr:cNvPr id="34" name="Tháng">
              <a:extLst>
                <a:ext uri="{FF2B5EF4-FFF2-40B4-BE49-F238E27FC236}">
                  <a16:creationId xmlns:a16="http://schemas.microsoft.com/office/drawing/2014/main" id="{00000000-0008-0000-0200-000022000000}"/>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62000" y="1447800"/>
              <a:ext cx="1343025"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57149</xdr:rowOff>
    </xdr:from>
    <xdr:to>
      <xdr:col>0</xdr:col>
      <xdr:colOff>752475</xdr:colOff>
      <xdr:row>14</xdr:row>
      <xdr:rowOff>171449</xdr:rowOff>
    </xdr:to>
    <mc:AlternateContent xmlns:mc="http://schemas.openxmlformats.org/markup-compatibility/2006" xmlns:a14="http://schemas.microsoft.com/office/drawing/2010/main">
      <mc:Choice Requires="a14">
        <xdr:graphicFrame macro="">
          <xdr:nvGraphicFramePr>
            <xdr:cNvPr id="35" name="Năm">
              <a:extLst>
                <a:ext uri="{FF2B5EF4-FFF2-40B4-BE49-F238E27FC236}">
                  <a16:creationId xmlns:a16="http://schemas.microsoft.com/office/drawing/2014/main" id="{00000000-0008-0000-0200-000023000000}"/>
                </a:ext>
              </a:extLst>
            </xdr:cNvPr>
            <xdr:cNvGraphicFramePr/>
          </xdr:nvGraphicFramePr>
          <xdr:xfrm>
            <a:off x="0" y="0"/>
            <a:ext cx="0" cy="0"/>
          </xdr:xfrm>
          <a:graphic>
            <a:graphicData uri="http://schemas.microsoft.com/office/drawing/2010/slicer">
              <sle:slicer xmlns:sle="http://schemas.microsoft.com/office/drawing/2010/slicer" name="Năm"/>
            </a:graphicData>
          </a:graphic>
        </xdr:graphicFrame>
      </mc:Choice>
      <mc:Fallback xmlns="">
        <xdr:sp macro="" textlink="">
          <xdr:nvSpPr>
            <xdr:cNvPr id="0" name=""/>
            <xdr:cNvSpPr>
              <a:spLocks noTextEdit="1"/>
            </xdr:cNvSpPr>
          </xdr:nvSpPr>
          <xdr:spPr>
            <a:xfrm>
              <a:off x="38100" y="1457325"/>
              <a:ext cx="714375"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0</xdr:rowOff>
    </xdr:from>
    <xdr:to>
      <xdr:col>0</xdr:col>
      <xdr:colOff>2114550</xdr:colOff>
      <xdr:row>21</xdr:row>
      <xdr:rowOff>76200</xdr:rowOff>
    </xdr:to>
    <mc:AlternateContent xmlns:mc="http://schemas.openxmlformats.org/markup-compatibility/2006" xmlns:a14="http://schemas.microsoft.com/office/drawing/2010/main">
      <mc:Choice Requires="a14">
        <xdr:graphicFrame macro="">
          <xdr:nvGraphicFramePr>
            <xdr:cNvPr id="37" name="Đối tượng KH">
              <a:extLst>
                <a:ext uri="{FF2B5EF4-FFF2-40B4-BE49-F238E27FC236}">
                  <a16:creationId xmlns:a16="http://schemas.microsoft.com/office/drawing/2014/main" id="{00000000-0008-0000-0200-000025000000}"/>
                </a:ext>
              </a:extLst>
            </xdr:cNvPr>
            <xdr:cNvGraphicFramePr/>
          </xdr:nvGraphicFramePr>
          <xdr:xfrm>
            <a:off x="0" y="0"/>
            <a:ext cx="0" cy="0"/>
          </xdr:xfrm>
          <a:graphic>
            <a:graphicData uri="http://schemas.microsoft.com/office/drawing/2010/slicer">
              <sle:slicer xmlns:sle="http://schemas.microsoft.com/office/drawing/2010/slicer" name="Đối tượng KH"/>
            </a:graphicData>
          </a:graphic>
        </xdr:graphicFrame>
      </mc:Choice>
      <mc:Fallback xmlns="">
        <xdr:sp macro="" textlink="">
          <xdr:nvSpPr>
            <xdr:cNvPr id="0" name=""/>
            <xdr:cNvSpPr>
              <a:spLocks noTextEdit="1"/>
            </xdr:cNvSpPr>
          </xdr:nvSpPr>
          <xdr:spPr>
            <a:xfrm>
              <a:off x="0" y="3000375"/>
              <a:ext cx="211455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152400</xdr:colOff>
      <xdr:row>6</xdr:row>
      <xdr:rowOff>28574</xdr:rowOff>
    </xdr:from>
    <xdr:to>
      <xdr:col>23</xdr:col>
      <xdr:colOff>495300</xdr:colOff>
      <xdr:row>45</xdr:row>
      <xdr:rowOff>200024</xdr:rowOff>
    </xdr:to>
    <xdr:graphicFrame macro="">
      <xdr:nvGraphicFramePr>
        <xdr:cNvPr id="38" name="Chart 37">
          <a:extLst>
            <a:ext uri="{FF2B5EF4-FFF2-40B4-BE49-F238E27FC236}">
              <a16:creationId xmlns:a16="http://schemas.microsoft.com/office/drawing/2014/main" id="{63A8E691-773A-4169-9E98-4E98125B7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hungnt27" refreshedDate="45880.429842939811" createdVersion="6" refreshedVersion="8" minRefreshableVersion="3" recordCount="2699" xr:uid="{00000000-000A-0000-FFFF-FFFF00000000}">
  <cacheSource type="worksheet">
    <worksheetSource ref="A1:L2700" sheet="Data"/>
  </cacheSource>
  <cacheFields count="11">
    <cacheField name="Tỉnh" numFmtId="0">
      <sharedItems count="63">
        <s v="NAN"/>
        <s v="BDH"/>
        <s v="CTO"/>
        <s v="LAN"/>
        <s v="TNH"/>
        <s v="BPC"/>
        <s v="PTO"/>
        <s v="QBH"/>
        <s v="VTU"/>
        <s v="DNG"/>
        <s v="QNM"/>
        <s v="HCM"/>
        <s v="LCU"/>
        <s v="YBI"/>
        <s v="HNI"/>
        <s v="KHA"/>
        <s v="HNM"/>
        <s v="PYN"/>
        <s v="DCN"/>
        <s v="NTN"/>
        <s v="BTN"/>
        <s v="QNH"/>
        <s v="HUE"/>
        <s v="QNI"/>
        <s v="TBH"/>
        <s v="LDG"/>
        <s v="BDG"/>
        <s v="HTH"/>
        <s v="HDG"/>
        <s v="TGG"/>
        <s v="AGG"/>
        <s v="DLK"/>
        <s v="DTP"/>
        <s v="BGG"/>
        <s v="SLA"/>
        <s v="LSN"/>
        <s v="NBH"/>
        <s v="BLU"/>
        <s v="GLI"/>
        <s v="VLG"/>
        <s v="TVH"/>
        <s v="CBG"/>
        <s v="DBN"/>
        <s v="DNI"/>
        <s v="THA"/>
        <s v="STG"/>
        <s v="KGG"/>
        <s v="TQG"/>
        <s v="TNN"/>
        <s v="BTE"/>
        <s v="HBH"/>
        <s v="NDH"/>
        <s v="BNH"/>
        <s v="BKN"/>
        <s v="LCI"/>
        <s v="HPG"/>
        <s v="CMU"/>
        <s v="HUG"/>
        <s v="KTM"/>
        <s v="VPC"/>
        <s v="HGG"/>
        <s v="HYN"/>
        <s v="QTI"/>
      </sharedItems>
    </cacheField>
    <cacheField name="Đối tác/Khách hàng" numFmtId="0">
      <sharedItems/>
    </cacheField>
    <cacheField name="Lĩnh vực" numFmtId="0">
      <sharedItems count="6">
        <s v="ICT"/>
        <s v="ME"/>
        <s v="DVKT"/>
        <s v="Smarthome"/>
        <s v="NLMT"/>
        <s v="CSDT"/>
      </sharedItems>
    </cacheField>
    <cacheField name="Giá trị nguồn việc" numFmtId="3">
      <sharedItems containsSemiMixedTypes="0" containsString="0" containsNumber="1" containsInteger="1" minValue="1076400" maxValue="18026852078"/>
    </cacheField>
    <cacheField name="Ngày ký HĐ" numFmtId="14">
      <sharedItems containsSemiMixedTypes="0" containsNonDate="0" containsDate="1" containsString="0" minDate="2024-01-01T00:00:00" maxDate="2025-03-02T00:00:00"/>
    </cacheField>
    <cacheField name="Tháng" numFmtId="0">
      <sharedItems containsSemiMixedTypes="0" containsString="0" containsNumber="1" containsInteger="1" minValue="1" maxValue="12" count="12">
        <n v="1"/>
        <n v="2"/>
        <n v="3"/>
        <n v="4"/>
        <n v="5"/>
        <n v="6"/>
        <n v="7"/>
        <n v="8"/>
        <n v="9"/>
        <n v="10"/>
        <n v="11"/>
        <n v="12"/>
      </sharedItems>
    </cacheField>
    <cacheField name="Năm" numFmtId="3">
      <sharedItems containsSemiMixedTypes="0" containsString="0" containsNumber="1" containsInteger="1" minValue="2024" maxValue="2025" count="2">
        <n v="2024"/>
        <n v="2025"/>
      </sharedItems>
    </cacheField>
    <cacheField name="Vùng miền" numFmtId="0">
      <sharedItems/>
    </cacheField>
    <cacheField name="Đối tượng KH" numFmtId="0">
      <sharedItems count="7">
        <s v="Bệnh viện"/>
        <s v="Doanh nghiệp"/>
        <s v="Sở ban ngành"/>
        <s v="Ngân hàng"/>
        <s v="Trường học"/>
        <s v="Liên đoàn lao động" u="1"/>
        <s v="HKD" u="1"/>
      </sharedItems>
    </cacheField>
    <cacheField name="Mã sản phẩm" numFmtId="0">
      <sharedItems count="40">
        <s v="A"/>
        <s v="B"/>
        <s v="C"/>
        <s v="D"/>
        <s v="E"/>
        <s v="F"/>
        <s v="G"/>
        <s v="H"/>
        <s v="I"/>
        <s v="K"/>
        <s v="L"/>
        <s v="M"/>
        <s v="N"/>
        <s v="O"/>
        <s v="P"/>
        <s v="Q"/>
        <s v="T"/>
        <s v="R"/>
        <s v="U"/>
        <s v="W"/>
        <s v="Camera" u="1"/>
        <s v="HVAC" u="1"/>
        <s v="Wifi" u="1"/>
        <s v="PM" u="1"/>
        <s v="PCCC" u="1"/>
        <s v="TBGD" u="1"/>
        <s v="MHTT" u="1"/>
        <s v="DCS" u="1"/>
        <s v="DMT" u="1"/>
        <s v="Khác" u="1"/>
        <s v="HMT" u="1"/>
        <s v="XLN" u="1"/>
        <s v="LPT" u="1"/>
        <s v="MHHT" u="1"/>
        <s v="CTH" u="1"/>
        <s v="TBVP" u="1"/>
        <s v="ATCC" u="1"/>
        <s v="KSX" u="1"/>
        <s v="TM" u="1"/>
        <s v="XHTD" u="1"/>
      </sharedItems>
    </cacheField>
    <cacheField name="Nguồn việc" numFmtId="3">
      <sharedItems containsSemiMixedTypes="0" containsString="0" containsNumber="1" minValue="1.0764" maxValue="18026.85207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hungnt27" refreshedDate="45880.432728819447" createdVersion="8" refreshedVersion="8" minRefreshableVersion="3" recordCount="2699" xr:uid="{2AE314FD-7E68-4C0F-95EF-559D185BDF78}">
  <cacheSource type="worksheet">
    <worksheetSource name="Table1"/>
  </cacheSource>
  <cacheFields count="12">
    <cacheField name="Tỉnh" numFmtId="0">
      <sharedItems/>
    </cacheField>
    <cacheField name="Đối tác/Khách hàng" numFmtId="0">
      <sharedItems/>
    </cacheField>
    <cacheField name="Lĩnh vực" numFmtId="0">
      <sharedItems/>
    </cacheField>
    <cacheField name="Giá trị nguồn việc" numFmtId="3">
      <sharedItems containsSemiMixedTypes="0" containsString="0" containsNumber="1" containsInteger="1" minValue="1076400" maxValue="18026852078"/>
    </cacheField>
    <cacheField name="Ngày ký HĐ" numFmtId="14">
      <sharedItems containsSemiMixedTypes="0" containsNonDate="0" containsDate="1" containsString="0" minDate="2024-01-01T00:00:00" maxDate="2025-03-02T00:00:00"/>
    </cacheField>
    <cacheField name="Tháng" numFmtId="0">
      <sharedItems containsSemiMixedTypes="0" containsString="0" containsNumber="1" containsInteger="1" minValue="1" maxValue="12"/>
    </cacheField>
    <cacheField name="Năm" numFmtId="3">
      <sharedItems containsSemiMixedTypes="0" containsString="0" containsNumber="1" containsInteger="1" minValue="2024" maxValue="2025"/>
    </cacheField>
    <cacheField name="Vùng miền" numFmtId="0">
      <sharedItems/>
    </cacheField>
    <cacheField name="Đối tượng KH" numFmtId="0">
      <sharedItems/>
    </cacheField>
    <cacheField name="Hình thức" numFmtId="0">
      <sharedItems count="2">
        <s v="Digital Marketing"/>
        <s v="Bán hàng trực tiếp"/>
      </sharedItems>
    </cacheField>
    <cacheField name="Mã sản phẩm" numFmtId="0">
      <sharedItems/>
    </cacheField>
    <cacheField name="Nguồn việc" numFmtId="3">
      <sharedItems containsSemiMixedTypes="0" containsString="0" containsNumber="1" minValue="1.0764" maxValue="18026.85207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99">
  <r>
    <x v="0"/>
    <s v="BỆNH VIỆN ĐA KHOA DIỄN CHÂU"/>
    <x v="0"/>
    <n v="29360909"/>
    <d v="2024-01-01T00:00:00"/>
    <x v="0"/>
    <x v="0"/>
    <s v="Bắc Trung Bộ"/>
    <x v="0"/>
    <x v="0"/>
    <n v="29.360908999999999"/>
  </r>
  <r>
    <x v="1"/>
    <s v="BỆNH VIỆN ĐA KHOA TỈNH BÌNH ĐỊNH"/>
    <x v="0"/>
    <n v="8842364"/>
    <d v="2024-01-01T00:00:00"/>
    <x v="0"/>
    <x v="0"/>
    <s v="Duyên hải Nam Trung Bộ"/>
    <x v="0"/>
    <x v="1"/>
    <n v="8.8423639999999999"/>
  </r>
  <r>
    <x v="2"/>
    <s v="BỆNH VIỆN QUÂN Y 121"/>
    <x v="1"/>
    <n v="81100000"/>
    <d v="2024-01-01T00:00:00"/>
    <x v="0"/>
    <x v="0"/>
    <s v="ĐB Sông Cửu Long"/>
    <x v="0"/>
    <x v="2"/>
    <n v="81.099999999999994"/>
  </r>
  <r>
    <x v="3"/>
    <s v="Công ty 1"/>
    <x v="0"/>
    <n v="45000000"/>
    <d v="2024-01-01T00:00:00"/>
    <x v="0"/>
    <x v="0"/>
    <s v="ĐB Sông Cửu Long"/>
    <x v="1"/>
    <x v="1"/>
    <n v="45"/>
  </r>
  <r>
    <x v="4"/>
    <s v="Công ty 6"/>
    <x v="0"/>
    <n v="79329245"/>
    <d v="2024-01-01T00:00:00"/>
    <x v="0"/>
    <x v="0"/>
    <s v="Đông Nam Bộ"/>
    <x v="1"/>
    <x v="0"/>
    <n v="79.329245"/>
  </r>
  <r>
    <x v="5"/>
    <s v="Công ty 7"/>
    <x v="0"/>
    <n v="14434041"/>
    <d v="2024-01-01T00:00:00"/>
    <x v="0"/>
    <x v="0"/>
    <s v="Đông Nam Bộ"/>
    <x v="1"/>
    <x v="0"/>
    <n v="14.434041000000001"/>
  </r>
  <r>
    <x v="5"/>
    <s v="Công ty 8"/>
    <x v="0"/>
    <n v="21437000"/>
    <d v="2024-01-01T00:00:00"/>
    <x v="0"/>
    <x v="0"/>
    <s v="Đông Nam Bộ"/>
    <x v="1"/>
    <x v="0"/>
    <n v="21.437000000000001"/>
  </r>
  <r>
    <x v="6"/>
    <s v="Công ty 16"/>
    <x v="0"/>
    <n v="108855000"/>
    <d v="2024-01-01T00:00:00"/>
    <x v="0"/>
    <x v="0"/>
    <s v="Đông Bắc Bộ"/>
    <x v="1"/>
    <x v="1"/>
    <n v="108.855"/>
  </r>
  <r>
    <x v="5"/>
    <s v="Công ty 19"/>
    <x v="2"/>
    <n v="8925620"/>
    <d v="2024-01-01T00:00:00"/>
    <x v="0"/>
    <x v="0"/>
    <s v="Đông Nam Bộ"/>
    <x v="1"/>
    <x v="3"/>
    <n v="8.9256200000000003"/>
  </r>
  <r>
    <x v="5"/>
    <s v="Công ty 22"/>
    <x v="2"/>
    <n v="8925620"/>
    <d v="2024-01-01T00:00:00"/>
    <x v="0"/>
    <x v="0"/>
    <s v="Đông Nam Bộ"/>
    <x v="1"/>
    <x v="3"/>
    <n v="8.9256200000000003"/>
  </r>
  <r>
    <x v="5"/>
    <s v="Công ty 30"/>
    <x v="2"/>
    <n v="8925620"/>
    <d v="2024-01-01T00:00:00"/>
    <x v="0"/>
    <x v="0"/>
    <s v="Đông Nam Bộ"/>
    <x v="1"/>
    <x v="3"/>
    <n v="8.9256200000000003"/>
  </r>
  <r>
    <x v="7"/>
    <s v="Công ty 31"/>
    <x v="2"/>
    <n v="29880000"/>
    <d v="2024-01-01T00:00:00"/>
    <x v="0"/>
    <x v="0"/>
    <s v="Bắc Trung Bộ"/>
    <x v="1"/>
    <x v="4"/>
    <n v="29.88"/>
  </r>
  <r>
    <x v="8"/>
    <s v="Công ty 50"/>
    <x v="0"/>
    <n v="97927923"/>
    <d v="2024-01-01T00:00:00"/>
    <x v="0"/>
    <x v="0"/>
    <s v="Đông Nam Bộ"/>
    <x v="1"/>
    <x v="5"/>
    <n v="97.927923000000007"/>
  </r>
  <r>
    <x v="9"/>
    <s v="Công ty 60"/>
    <x v="0"/>
    <n v="203636364"/>
    <d v="2024-01-01T00:00:00"/>
    <x v="0"/>
    <x v="0"/>
    <s v="Duyên hải Nam Trung Bộ"/>
    <x v="1"/>
    <x v="6"/>
    <n v="203.63636399999999"/>
  </r>
  <r>
    <x v="5"/>
    <s v="Công ty 81"/>
    <x v="0"/>
    <n v="31123636"/>
    <d v="2024-01-01T00:00:00"/>
    <x v="0"/>
    <x v="0"/>
    <s v="Đông Nam Bộ"/>
    <x v="1"/>
    <x v="0"/>
    <n v="31.123636000000001"/>
  </r>
  <r>
    <x v="7"/>
    <s v="Công ty 82"/>
    <x v="2"/>
    <n v="227340000"/>
    <d v="2024-01-01T00:00:00"/>
    <x v="0"/>
    <x v="0"/>
    <s v="Bắc Trung Bộ"/>
    <x v="1"/>
    <x v="4"/>
    <n v="227.34"/>
  </r>
  <r>
    <x v="10"/>
    <s v="Công ty 86"/>
    <x v="1"/>
    <n v="10094194677"/>
    <d v="2024-01-01T00:00:00"/>
    <x v="0"/>
    <x v="0"/>
    <s v="Duyên hải Nam Trung Bộ"/>
    <x v="1"/>
    <x v="2"/>
    <n v="10094.194677"/>
  </r>
  <r>
    <x v="11"/>
    <s v="Công ty 91"/>
    <x v="2"/>
    <n v="42237779"/>
    <d v="2024-01-01T00:00:00"/>
    <x v="0"/>
    <x v="0"/>
    <s v="Đông Nam Bộ"/>
    <x v="1"/>
    <x v="7"/>
    <n v="42.237779000000003"/>
  </r>
  <r>
    <x v="12"/>
    <s v="Công ty 97"/>
    <x v="1"/>
    <n v="106719727"/>
    <d v="2024-01-01T00:00:00"/>
    <x v="0"/>
    <x v="0"/>
    <s v="Tây Bắc Bộ"/>
    <x v="1"/>
    <x v="2"/>
    <n v="106.71972700000001"/>
  </r>
  <r>
    <x v="13"/>
    <s v="Công ty 13"/>
    <x v="2"/>
    <n v="206265000"/>
    <d v="2024-01-01T00:00:00"/>
    <x v="0"/>
    <x v="0"/>
    <s v="Tây Bắc Bộ"/>
    <x v="1"/>
    <x v="0"/>
    <n v="206.26499999999999"/>
  </r>
  <r>
    <x v="14"/>
    <s v="Công ty 17"/>
    <x v="3"/>
    <n v="65300000"/>
    <d v="2024-01-01T00:00:00"/>
    <x v="0"/>
    <x v="0"/>
    <s v="ĐB Sông Hồng"/>
    <x v="1"/>
    <x v="8"/>
    <n v="65.3"/>
  </r>
  <r>
    <x v="14"/>
    <s v="Công ty 18"/>
    <x v="3"/>
    <n v="65300000"/>
    <d v="2024-01-01T00:00:00"/>
    <x v="0"/>
    <x v="0"/>
    <s v="ĐB Sông Hồng"/>
    <x v="1"/>
    <x v="8"/>
    <n v="65.3"/>
  </r>
  <r>
    <x v="15"/>
    <s v="Công ty 19"/>
    <x v="1"/>
    <n v="152554318"/>
    <d v="2024-01-01T00:00:00"/>
    <x v="0"/>
    <x v="0"/>
    <s v="Duyên hải Nam Trung Bộ"/>
    <x v="1"/>
    <x v="2"/>
    <n v="152.55431799999999"/>
  </r>
  <r>
    <x v="16"/>
    <s v="Công ty 21"/>
    <x v="0"/>
    <n v="11087273"/>
    <d v="2024-01-01T00:00:00"/>
    <x v="0"/>
    <x v="0"/>
    <s v="ĐB Sông Hồng"/>
    <x v="1"/>
    <x v="0"/>
    <n v="11.087273"/>
  </r>
  <r>
    <x v="15"/>
    <s v="Công ty 32"/>
    <x v="4"/>
    <n v="28272727"/>
    <d v="2024-01-01T00:00:00"/>
    <x v="0"/>
    <x v="0"/>
    <s v="Duyên hải Nam Trung Bộ"/>
    <x v="1"/>
    <x v="3"/>
    <n v="28.272727"/>
  </r>
  <r>
    <x v="17"/>
    <s v="Công ty 37"/>
    <x v="0"/>
    <n v="14600000"/>
    <d v="2024-01-01T00:00:00"/>
    <x v="0"/>
    <x v="0"/>
    <s v="Duyên hải Nam Trung Bộ"/>
    <x v="1"/>
    <x v="1"/>
    <n v="14.6"/>
  </r>
  <r>
    <x v="18"/>
    <s v="Công ty 38"/>
    <x v="4"/>
    <n v="97090909"/>
    <d v="2024-01-01T00:00:00"/>
    <x v="0"/>
    <x v="0"/>
    <s v="Tây Nguyên"/>
    <x v="1"/>
    <x v="9"/>
    <n v="97.090908999999996"/>
  </r>
  <r>
    <x v="19"/>
    <s v="Công ty 44"/>
    <x v="1"/>
    <n v="56136364"/>
    <d v="2024-01-01T00:00:00"/>
    <x v="0"/>
    <x v="0"/>
    <s v="Duyên hải Nam Trung Bộ"/>
    <x v="1"/>
    <x v="10"/>
    <n v="56.136364"/>
  </r>
  <r>
    <x v="7"/>
    <s v="Công ty 53"/>
    <x v="2"/>
    <n v="29880000"/>
    <d v="2024-01-01T00:00:00"/>
    <x v="0"/>
    <x v="0"/>
    <s v="Bắc Trung Bộ"/>
    <x v="1"/>
    <x v="4"/>
    <n v="29.88"/>
  </r>
  <r>
    <x v="20"/>
    <s v="Công ty 84"/>
    <x v="2"/>
    <n v="68485327"/>
    <d v="2024-01-01T00:00:00"/>
    <x v="0"/>
    <x v="0"/>
    <s v="Duyên hải Nam Trung Bộ"/>
    <x v="1"/>
    <x v="0"/>
    <n v="68.485326999999998"/>
  </r>
  <r>
    <x v="21"/>
    <s v="Công ty 33"/>
    <x v="2"/>
    <n v="284518490"/>
    <d v="2024-01-01T00:00:00"/>
    <x v="0"/>
    <x v="0"/>
    <s v="Đông Bắc Bộ"/>
    <x v="1"/>
    <x v="0"/>
    <n v="284.51848999999999"/>
  </r>
  <r>
    <x v="3"/>
    <s v="Công ty 45"/>
    <x v="1"/>
    <n v="155513400"/>
    <d v="2024-01-01T00:00:00"/>
    <x v="0"/>
    <x v="0"/>
    <s v="ĐB Sông Cửu Long"/>
    <x v="1"/>
    <x v="2"/>
    <n v="155.51339999999999"/>
  </r>
  <r>
    <x v="9"/>
    <s v="Công ty 51"/>
    <x v="0"/>
    <n v="41307273"/>
    <d v="2024-01-01T00:00:00"/>
    <x v="0"/>
    <x v="0"/>
    <s v="Duyên hải Nam Trung Bộ"/>
    <x v="1"/>
    <x v="1"/>
    <n v="41.307273000000002"/>
  </r>
  <r>
    <x v="22"/>
    <s v="Công ty 52"/>
    <x v="1"/>
    <n v="113200000"/>
    <d v="2024-01-01T00:00:00"/>
    <x v="0"/>
    <x v="0"/>
    <s v="Bắc Trung Bộ"/>
    <x v="1"/>
    <x v="11"/>
    <n v="113.2"/>
  </r>
  <r>
    <x v="6"/>
    <s v="Công ty 54"/>
    <x v="2"/>
    <n v="203813527"/>
    <d v="2024-01-01T00:00:00"/>
    <x v="0"/>
    <x v="0"/>
    <s v="Đông Bắc Bộ"/>
    <x v="1"/>
    <x v="1"/>
    <n v="203.81352699999999"/>
  </r>
  <r>
    <x v="12"/>
    <s v="Công ty 58"/>
    <x v="0"/>
    <n v="19908100"/>
    <d v="2024-01-01T00:00:00"/>
    <x v="0"/>
    <x v="0"/>
    <s v="Tây Bắc Bộ"/>
    <x v="1"/>
    <x v="1"/>
    <n v="19.908100000000001"/>
  </r>
  <r>
    <x v="14"/>
    <s v="Công ty 62"/>
    <x v="2"/>
    <n v="72313000"/>
    <d v="2024-01-01T00:00:00"/>
    <x v="0"/>
    <x v="0"/>
    <s v="ĐB Sông Hồng"/>
    <x v="1"/>
    <x v="2"/>
    <n v="72.313000000000002"/>
  </r>
  <r>
    <x v="0"/>
    <s v="Công ty 81"/>
    <x v="1"/>
    <n v="31784545"/>
    <d v="2024-01-01T00:00:00"/>
    <x v="0"/>
    <x v="0"/>
    <s v="Bắc Trung Bộ"/>
    <x v="1"/>
    <x v="2"/>
    <n v="31.784545000000001"/>
  </r>
  <r>
    <x v="21"/>
    <s v="Công ty 82"/>
    <x v="2"/>
    <n v="54332970"/>
    <d v="2024-01-01T00:00:00"/>
    <x v="0"/>
    <x v="0"/>
    <s v="Đông Bắc Bộ"/>
    <x v="1"/>
    <x v="11"/>
    <n v="54.332970000000003"/>
  </r>
  <r>
    <x v="23"/>
    <s v="Công ty 97"/>
    <x v="2"/>
    <n v="95379551"/>
    <d v="2024-01-01T00:00:00"/>
    <x v="0"/>
    <x v="0"/>
    <s v="Duyên hải Nam Trung Bộ"/>
    <x v="1"/>
    <x v="2"/>
    <n v="95.379551000000006"/>
  </r>
  <r>
    <x v="17"/>
    <s v="Công ty 4"/>
    <x v="0"/>
    <n v="24732727"/>
    <d v="2024-01-01T00:00:00"/>
    <x v="0"/>
    <x v="0"/>
    <s v="Duyên hải Nam Trung Bộ"/>
    <x v="1"/>
    <x v="1"/>
    <n v="24.732727000000001"/>
  </r>
  <r>
    <x v="24"/>
    <s v="Công ty 6"/>
    <x v="1"/>
    <n v="117938000"/>
    <d v="2024-01-01T00:00:00"/>
    <x v="0"/>
    <x v="0"/>
    <s v="ĐB Sông Hồng"/>
    <x v="1"/>
    <x v="2"/>
    <n v="117.938"/>
  </r>
  <r>
    <x v="9"/>
    <s v="Công ty 27"/>
    <x v="0"/>
    <n v="35550000"/>
    <d v="2024-01-01T00:00:00"/>
    <x v="0"/>
    <x v="0"/>
    <s v="Duyên hải Nam Trung Bộ"/>
    <x v="1"/>
    <x v="1"/>
    <n v="35.549999999999997"/>
  </r>
  <r>
    <x v="8"/>
    <s v="Công ty 30"/>
    <x v="1"/>
    <n v="29150000"/>
    <d v="2024-01-01T00:00:00"/>
    <x v="0"/>
    <x v="0"/>
    <s v="Đông Nam Bộ"/>
    <x v="1"/>
    <x v="10"/>
    <n v="29.15"/>
  </r>
  <r>
    <x v="25"/>
    <s v="Công ty 38"/>
    <x v="2"/>
    <n v="12760000"/>
    <d v="2024-01-01T00:00:00"/>
    <x v="0"/>
    <x v="0"/>
    <s v="Tây Nguyên"/>
    <x v="1"/>
    <x v="0"/>
    <n v="12.76"/>
  </r>
  <r>
    <x v="26"/>
    <s v="Công ty 45"/>
    <x v="2"/>
    <n v="2385573085"/>
    <d v="2024-01-01T00:00:00"/>
    <x v="0"/>
    <x v="0"/>
    <s v="Đông Nam Bộ"/>
    <x v="1"/>
    <x v="0"/>
    <n v="2385.573085"/>
  </r>
  <r>
    <x v="1"/>
    <s v="Công ty 47"/>
    <x v="0"/>
    <n v="252495455"/>
    <d v="2024-01-01T00:00:00"/>
    <x v="0"/>
    <x v="0"/>
    <s v="Duyên hải Nam Trung Bộ"/>
    <x v="1"/>
    <x v="0"/>
    <n v="252.49545499999999"/>
  </r>
  <r>
    <x v="14"/>
    <s v="Công ty 50"/>
    <x v="1"/>
    <n v="39260909"/>
    <d v="2024-01-01T00:00:00"/>
    <x v="0"/>
    <x v="0"/>
    <s v="ĐB Sông Hồng"/>
    <x v="1"/>
    <x v="2"/>
    <n v="39.260908999999998"/>
  </r>
  <r>
    <x v="16"/>
    <s v="Công ty 63"/>
    <x v="0"/>
    <n v="65493000"/>
    <d v="2024-01-01T00:00:00"/>
    <x v="0"/>
    <x v="0"/>
    <s v="ĐB Sông Hồng"/>
    <x v="1"/>
    <x v="1"/>
    <n v="65.492999999999995"/>
  </r>
  <r>
    <x v="0"/>
    <s v="Công ty 69"/>
    <x v="0"/>
    <n v="679344091"/>
    <d v="2024-01-01T00:00:00"/>
    <x v="0"/>
    <x v="0"/>
    <s v="Bắc Trung Bộ"/>
    <x v="1"/>
    <x v="5"/>
    <n v="679.34409100000005"/>
  </r>
  <r>
    <x v="0"/>
    <s v="Công ty 70"/>
    <x v="0"/>
    <n v="1253945255"/>
    <d v="2024-01-01T00:00:00"/>
    <x v="0"/>
    <x v="0"/>
    <s v="Bắc Trung Bộ"/>
    <x v="1"/>
    <x v="5"/>
    <n v="1253.9452550000001"/>
  </r>
  <r>
    <x v="25"/>
    <s v="Công ty 8"/>
    <x v="2"/>
    <n v="37200000"/>
    <d v="2024-01-01T00:00:00"/>
    <x v="0"/>
    <x v="0"/>
    <s v="Tây Nguyên"/>
    <x v="1"/>
    <x v="0"/>
    <n v="37.200000000000003"/>
  </r>
  <r>
    <x v="27"/>
    <s v="Công ty 11"/>
    <x v="0"/>
    <n v="13952108"/>
    <d v="2024-01-01T00:00:00"/>
    <x v="0"/>
    <x v="0"/>
    <s v="Bắc Trung Bộ"/>
    <x v="1"/>
    <x v="1"/>
    <n v="13.952108000000001"/>
  </r>
  <r>
    <x v="27"/>
    <s v="Công ty 13"/>
    <x v="0"/>
    <n v="17100000"/>
    <d v="2024-01-01T00:00:00"/>
    <x v="0"/>
    <x v="0"/>
    <s v="Bắc Trung Bộ"/>
    <x v="1"/>
    <x v="5"/>
    <n v="17.100000000000001"/>
  </r>
  <r>
    <x v="28"/>
    <s v="Công ty 69"/>
    <x v="1"/>
    <n v="412363636"/>
    <d v="2024-01-01T00:00:00"/>
    <x v="0"/>
    <x v="0"/>
    <s v="ĐB Sông Hồng"/>
    <x v="1"/>
    <x v="12"/>
    <n v="412.36363599999999"/>
  </r>
  <r>
    <x v="17"/>
    <s v="Công ty 74"/>
    <x v="0"/>
    <n v="15918182"/>
    <d v="2024-01-01T00:00:00"/>
    <x v="0"/>
    <x v="0"/>
    <s v="Duyên hải Nam Trung Bộ"/>
    <x v="1"/>
    <x v="1"/>
    <n v="15.918182"/>
  </r>
  <r>
    <x v="29"/>
    <s v="Công ty 83"/>
    <x v="0"/>
    <n v="26267727"/>
    <d v="2024-01-01T00:00:00"/>
    <x v="0"/>
    <x v="0"/>
    <s v="ĐB Sông Cửu Long"/>
    <x v="1"/>
    <x v="0"/>
    <n v="26.267727000000001"/>
  </r>
  <r>
    <x v="5"/>
    <s v="Công ty 94"/>
    <x v="0"/>
    <n v="19546182"/>
    <d v="2024-01-01T00:00:00"/>
    <x v="0"/>
    <x v="0"/>
    <s v="Đông Nam Bộ"/>
    <x v="1"/>
    <x v="0"/>
    <n v="19.546182000000002"/>
  </r>
  <r>
    <x v="5"/>
    <s v="Công ty 95"/>
    <x v="4"/>
    <n v="56247273"/>
    <d v="2024-01-01T00:00:00"/>
    <x v="0"/>
    <x v="0"/>
    <s v="Đông Nam Bộ"/>
    <x v="1"/>
    <x v="3"/>
    <n v="56.247273"/>
  </r>
  <r>
    <x v="29"/>
    <s v="Công ty 32"/>
    <x v="0"/>
    <n v="27697628"/>
    <d v="2024-01-01T00:00:00"/>
    <x v="0"/>
    <x v="0"/>
    <s v="ĐB Sông Cửu Long"/>
    <x v="1"/>
    <x v="1"/>
    <n v="27.697628000000002"/>
  </r>
  <r>
    <x v="0"/>
    <s v="Công ty 33"/>
    <x v="0"/>
    <n v="23721364"/>
    <d v="2024-01-01T00:00:00"/>
    <x v="0"/>
    <x v="0"/>
    <s v="Bắc Trung Bộ"/>
    <x v="1"/>
    <x v="0"/>
    <n v="23.721364000000001"/>
  </r>
  <r>
    <x v="0"/>
    <s v="Công ty 34"/>
    <x v="0"/>
    <n v="26814091"/>
    <d v="2024-01-01T00:00:00"/>
    <x v="0"/>
    <x v="0"/>
    <s v="Bắc Trung Bộ"/>
    <x v="1"/>
    <x v="0"/>
    <n v="26.814091000000001"/>
  </r>
  <r>
    <x v="30"/>
    <s v="Công ty 36"/>
    <x v="1"/>
    <n v="29245455"/>
    <d v="2024-01-01T00:00:00"/>
    <x v="0"/>
    <x v="0"/>
    <s v="ĐB Sông Cửu Long"/>
    <x v="1"/>
    <x v="13"/>
    <n v="29.245455"/>
  </r>
  <r>
    <x v="31"/>
    <s v="Công ty 40"/>
    <x v="0"/>
    <n v="13411818"/>
    <d v="2024-01-01T00:00:00"/>
    <x v="0"/>
    <x v="0"/>
    <s v="Tây Nguyên"/>
    <x v="1"/>
    <x v="1"/>
    <n v="13.411818"/>
  </r>
  <r>
    <x v="32"/>
    <s v="Công ty 47"/>
    <x v="1"/>
    <n v="139454545"/>
    <d v="2024-01-01T00:00:00"/>
    <x v="0"/>
    <x v="0"/>
    <s v="ĐB Sông Cửu Long"/>
    <x v="1"/>
    <x v="13"/>
    <n v="139.454545"/>
  </r>
  <r>
    <x v="25"/>
    <s v="Công ty 54"/>
    <x v="0"/>
    <n v="20057000"/>
    <d v="2024-01-01T00:00:00"/>
    <x v="0"/>
    <x v="0"/>
    <s v="Tây Nguyên"/>
    <x v="1"/>
    <x v="1"/>
    <n v="20.056999999999999"/>
  </r>
  <r>
    <x v="0"/>
    <s v="Công ty 65"/>
    <x v="0"/>
    <n v="54545455"/>
    <d v="2024-01-01T00:00:00"/>
    <x v="0"/>
    <x v="0"/>
    <s v="Bắc Trung Bộ"/>
    <x v="1"/>
    <x v="14"/>
    <n v="54.545454999999997"/>
  </r>
  <r>
    <x v="0"/>
    <s v="Công ty 70"/>
    <x v="0"/>
    <n v="85653011"/>
    <d v="2024-01-01T00:00:00"/>
    <x v="0"/>
    <x v="0"/>
    <s v="Bắc Trung Bộ"/>
    <x v="1"/>
    <x v="1"/>
    <n v="85.653011000000006"/>
  </r>
  <r>
    <x v="0"/>
    <s v="Công ty 71"/>
    <x v="3"/>
    <n v="528467182"/>
    <d v="2024-01-01T00:00:00"/>
    <x v="0"/>
    <x v="0"/>
    <s v="Bắc Trung Bộ"/>
    <x v="1"/>
    <x v="7"/>
    <n v="528.46718199999998"/>
  </r>
  <r>
    <x v="33"/>
    <s v="Công ty 74"/>
    <x v="1"/>
    <n v="51000000"/>
    <d v="2024-01-01T00:00:00"/>
    <x v="0"/>
    <x v="0"/>
    <s v="Đông Bắc Bộ"/>
    <x v="1"/>
    <x v="13"/>
    <n v="51"/>
  </r>
  <r>
    <x v="30"/>
    <s v="Công ty 78"/>
    <x v="1"/>
    <n v="27172727"/>
    <d v="2024-01-01T00:00:00"/>
    <x v="0"/>
    <x v="0"/>
    <s v="ĐB Sông Cửu Long"/>
    <x v="1"/>
    <x v="2"/>
    <n v="27.172726999999998"/>
  </r>
  <r>
    <x v="16"/>
    <s v="Công ty 80"/>
    <x v="2"/>
    <n v="222283802"/>
    <d v="2024-01-01T00:00:00"/>
    <x v="0"/>
    <x v="0"/>
    <s v="ĐB Sông Hồng"/>
    <x v="1"/>
    <x v="0"/>
    <n v="222.28380200000001"/>
  </r>
  <r>
    <x v="34"/>
    <s v="Công ty 89"/>
    <x v="1"/>
    <n v="35028636"/>
    <d v="2024-01-01T00:00:00"/>
    <x v="0"/>
    <x v="0"/>
    <s v="Tây Bắc Bộ"/>
    <x v="1"/>
    <x v="13"/>
    <n v="35.028635999999999"/>
  </r>
  <r>
    <x v="35"/>
    <s v="Công ty 92"/>
    <x v="1"/>
    <n v="99800768"/>
    <d v="2024-01-01T00:00:00"/>
    <x v="0"/>
    <x v="0"/>
    <s v="Đông Bắc Bộ"/>
    <x v="1"/>
    <x v="13"/>
    <n v="99.800768000000005"/>
  </r>
  <r>
    <x v="20"/>
    <s v="Công ty 96"/>
    <x v="4"/>
    <n v="23636364"/>
    <d v="2024-01-01T00:00:00"/>
    <x v="0"/>
    <x v="0"/>
    <s v="Duyên hải Nam Trung Bộ"/>
    <x v="1"/>
    <x v="9"/>
    <n v="23.636364"/>
  </r>
  <r>
    <x v="20"/>
    <s v="Công ty 33"/>
    <x v="2"/>
    <n v="152200000"/>
    <d v="2024-01-01T00:00:00"/>
    <x v="0"/>
    <x v="0"/>
    <s v="Duyên hải Nam Trung Bộ"/>
    <x v="1"/>
    <x v="0"/>
    <n v="152.19999999999999"/>
  </r>
  <r>
    <x v="36"/>
    <s v="Công ty 47"/>
    <x v="2"/>
    <n v="18597153"/>
    <d v="2024-01-01T00:00:00"/>
    <x v="0"/>
    <x v="0"/>
    <s v="ĐB Sông Hồng"/>
    <x v="1"/>
    <x v="1"/>
    <n v="18.597152999999999"/>
  </r>
  <r>
    <x v="27"/>
    <s v="Công ty 49"/>
    <x v="3"/>
    <n v="10000000"/>
    <d v="2024-01-01T00:00:00"/>
    <x v="0"/>
    <x v="0"/>
    <s v="Bắc Trung Bộ"/>
    <x v="1"/>
    <x v="7"/>
    <n v="10"/>
  </r>
  <r>
    <x v="27"/>
    <s v="Công ty 50"/>
    <x v="0"/>
    <n v="8491508"/>
    <d v="2024-01-01T00:00:00"/>
    <x v="0"/>
    <x v="0"/>
    <s v="Bắc Trung Bộ"/>
    <x v="1"/>
    <x v="5"/>
    <n v="8.4915079999999996"/>
  </r>
  <r>
    <x v="6"/>
    <s v="Công ty 60"/>
    <x v="2"/>
    <n v="24902455"/>
    <d v="2024-01-01T00:00:00"/>
    <x v="0"/>
    <x v="0"/>
    <s v="Đông Bắc Bộ"/>
    <x v="1"/>
    <x v="11"/>
    <n v="24.902455"/>
  </r>
  <r>
    <x v="25"/>
    <s v="Công ty 63"/>
    <x v="0"/>
    <n v="48732727"/>
    <d v="2024-01-01T00:00:00"/>
    <x v="0"/>
    <x v="0"/>
    <s v="Tây Nguyên"/>
    <x v="1"/>
    <x v="0"/>
    <n v="48.732726999999997"/>
  </r>
  <r>
    <x v="31"/>
    <s v="Công ty 69"/>
    <x v="0"/>
    <n v="11027273"/>
    <d v="2024-01-01T00:00:00"/>
    <x v="0"/>
    <x v="0"/>
    <s v="Tây Nguyên"/>
    <x v="1"/>
    <x v="0"/>
    <n v="11.027272999999999"/>
  </r>
  <r>
    <x v="21"/>
    <s v="Công ty 83"/>
    <x v="0"/>
    <n v="202516391"/>
    <d v="2024-01-01T00:00:00"/>
    <x v="0"/>
    <x v="0"/>
    <s v="Đông Bắc Bộ"/>
    <x v="1"/>
    <x v="0"/>
    <n v="202.516391"/>
  </r>
  <r>
    <x v="37"/>
    <s v="Công ty 89"/>
    <x v="1"/>
    <n v="126950000"/>
    <d v="2024-01-01T00:00:00"/>
    <x v="0"/>
    <x v="0"/>
    <s v="ĐB Sông Cửu Long"/>
    <x v="1"/>
    <x v="2"/>
    <n v="126.95"/>
  </r>
  <r>
    <x v="5"/>
    <s v="Công ty 1"/>
    <x v="0"/>
    <n v="67568182"/>
    <d v="2024-01-01T00:00:00"/>
    <x v="0"/>
    <x v="0"/>
    <s v="Đông Nam Bộ"/>
    <x v="1"/>
    <x v="0"/>
    <n v="67.568181999999993"/>
  </r>
  <r>
    <x v="12"/>
    <s v="Công ty 6"/>
    <x v="0"/>
    <n v="28202269"/>
    <d v="2024-01-01T00:00:00"/>
    <x v="0"/>
    <x v="0"/>
    <s v="Tây Bắc Bộ"/>
    <x v="1"/>
    <x v="1"/>
    <n v="28.202269000000001"/>
  </r>
  <r>
    <x v="36"/>
    <s v="Công ty 16"/>
    <x v="0"/>
    <n v="99783452"/>
    <d v="2024-01-01T00:00:00"/>
    <x v="0"/>
    <x v="0"/>
    <s v="ĐB Sông Hồng"/>
    <x v="1"/>
    <x v="14"/>
    <n v="99.783451999999997"/>
  </r>
  <r>
    <x v="38"/>
    <s v="Công ty 25"/>
    <x v="0"/>
    <n v="24305455"/>
    <d v="2024-01-01T00:00:00"/>
    <x v="0"/>
    <x v="0"/>
    <s v="Tây Nguyên"/>
    <x v="1"/>
    <x v="1"/>
    <n v="24.305454999999998"/>
  </r>
  <r>
    <x v="30"/>
    <s v="Công ty 35"/>
    <x v="1"/>
    <n v="22545455"/>
    <d v="2024-01-01T00:00:00"/>
    <x v="0"/>
    <x v="0"/>
    <s v="ĐB Sông Cửu Long"/>
    <x v="1"/>
    <x v="15"/>
    <n v="22.545455"/>
  </r>
  <r>
    <x v="29"/>
    <s v="Công ty 38"/>
    <x v="0"/>
    <n v="44345455"/>
    <d v="2024-01-01T00:00:00"/>
    <x v="0"/>
    <x v="0"/>
    <s v="ĐB Sông Cửu Long"/>
    <x v="1"/>
    <x v="1"/>
    <n v="44.345455000000001"/>
  </r>
  <r>
    <x v="12"/>
    <s v="Công ty 45"/>
    <x v="3"/>
    <n v="42045455"/>
    <d v="2024-01-01T00:00:00"/>
    <x v="0"/>
    <x v="0"/>
    <s v="Tây Bắc Bộ"/>
    <x v="1"/>
    <x v="7"/>
    <n v="42.045454999999997"/>
  </r>
  <r>
    <x v="39"/>
    <s v="Công ty 58"/>
    <x v="4"/>
    <n v="11372727"/>
    <d v="2024-01-01T00:00:00"/>
    <x v="0"/>
    <x v="0"/>
    <s v="ĐB Sông Cửu Long"/>
    <x v="1"/>
    <x v="3"/>
    <n v="11.372726999999999"/>
  </r>
  <r>
    <x v="29"/>
    <s v="Công ty 69"/>
    <x v="0"/>
    <n v="27595636"/>
    <d v="2024-01-01T00:00:00"/>
    <x v="0"/>
    <x v="0"/>
    <s v="ĐB Sông Cửu Long"/>
    <x v="1"/>
    <x v="1"/>
    <n v="27.595635999999999"/>
  </r>
  <r>
    <x v="35"/>
    <s v="Công ty 71"/>
    <x v="0"/>
    <n v="29660000"/>
    <d v="2024-01-01T00:00:00"/>
    <x v="0"/>
    <x v="0"/>
    <s v="Đông Bắc Bộ"/>
    <x v="1"/>
    <x v="0"/>
    <n v="29.66"/>
  </r>
  <r>
    <x v="40"/>
    <s v="Công ty 81"/>
    <x v="1"/>
    <n v="136270215"/>
    <d v="2024-01-01T00:00:00"/>
    <x v="0"/>
    <x v="0"/>
    <s v="ĐB Sông Cửu Long"/>
    <x v="1"/>
    <x v="13"/>
    <n v="136.27021500000001"/>
  </r>
  <r>
    <x v="15"/>
    <s v="Công ty 89"/>
    <x v="0"/>
    <n v="100625386"/>
    <d v="2024-01-01T00:00:00"/>
    <x v="0"/>
    <x v="0"/>
    <s v="Duyên hải Nam Trung Bộ"/>
    <x v="1"/>
    <x v="1"/>
    <n v="100.62538600000001"/>
  </r>
  <r>
    <x v="26"/>
    <s v="Công ty 26"/>
    <x v="1"/>
    <n v="245454545"/>
    <d v="2024-01-01T00:00:00"/>
    <x v="0"/>
    <x v="0"/>
    <s v="Đông Nam Bộ"/>
    <x v="1"/>
    <x v="4"/>
    <n v="245.454545"/>
  </r>
  <r>
    <x v="26"/>
    <s v="Công ty 27"/>
    <x v="1"/>
    <n v="245454545"/>
    <d v="2024-01-01T00:00:00"/>
    <x v="0"/>
    <x v="0"/>
    <s v="Đông Nam Bộ"/>
    <x v="1"/>
    <x v="4"/>
    <n v="245.454545"/>
  </r>
  <r>
    <x v="34"/>
    <s v="Công ty 32"/>
    <x v="3"/>
    <n v="62297818"/>
    <d v="2024-01-01T00:00:00"/>
    <x v="0"/>
    <x v="0"/>
    <s v="Tây Bắc Bộ"/>
    <x v="1"/>
    <x v="7"/>
    <n v="62.297817999999999"/>
  </r>
  <r>
    <x v="34"/>
    <s v="Công ty 33"/>
    <x v="3"/>
    <n v="102908882"/>
    <d v="2024-01-01T00:00:00"/>
    <x v="0"/>
    <x v="0"/>
    <s v="Tây Bắc Bộ"/>
    <x v="1"/>
    <x v="7"/>
    <n v="102.90888200000001"/>
  </r>
  <r>
    <x v="5"/>
    <s v="Công ty 82"/>
    <x v="0"/>
    <n v="104549091"/>
    <d v="2024-01-01T00:00:00"/>
    <x v="0"/>
    <x v="0"/>
    <s v="Đông Nam Bộ"/>
    <x v="1"/>
    <x v="0"/>
    <n v="104.549091"/>
  </r>
  <r>
    <x v="2"/>
    <s v="Công ty 92"/>
    <x v="0"/>
    <n v="151322673"/>
    <d v="2024-01-01T00:00:00"/>
    <x v="0"/>
    <x v="0"/>
    <s v="ĐB Sông Cửu Long"/>
    <x v="1"/>
    <x v="16"/>
    <n v="151.32267300000001"/>
  </r>
  <r>
    <x v="0"/>
    <s v="Công ty 93"/>
    <x v="1"/>
    <n v="2395108705"/>
    <d v="2024-01-01T00:00:00"/>
    <x v="0"/>
    <x v="0"/>
    <s v="Bắc Trung Bộ"/>
    <x v="1"/>
    <x v="4"/>
    <n v="2395.1087050000001"/>
  </r>
  <r>
    <x v="32"/>
    <s v="Công ty 10"/>
    <x v="0"/>
    <n v="10818182"/>
    <d v="2024-01-01T00:00:00"/>
    <x v="0"/>
    <x v="0"/>
    <s v="ĐB Sông Cửu Long"/>
    <x v="1"/>
    <x v="1"/>
    <n v="10.818182"/>
  </r>
  <r>
    <x v="39"/>
    <s v="Công ty 21"/>
    <x v="1"/>
    <n v="47599091"/>
    <d v="2024-01-01T00:00:00"/>
    <x v="0"/>
    <x v="0"/>
    <s v="ĐB Sông Cửu Long"/>
    <x v="1"/>
    <x v="13"/>
    <n v="47.599091000000001"/>
  </r>
  <r>
    <x v="39"/>
    <s v="Công ty 22"/>
    <x v="0"/>
    <n v="8054545"/>
    <d v="2024-01-01T00:00:00"/>
    <x v="0"/>
    <x v="0"/>
    <s v="ĐB Sông Cửu Long"/>
    <x v="1"/>
    <x v="5"/>
    <n v="8.0545449999999992"/>
  </r>
  <r>
    <x v="8"/>
    <s v="Công ty 26"/>
    <x v="2"/>
    <n v="135110945"/>
    <d v="2024-01-01T00:00:00"/>
    <x v="0"/>
    <x v="0"/>
    <s v="Đông Nam Bộ"/>
    <x v="1"/>
    <x v="0"/>
    <n v="135.11094499999999"/>
  </r>
  <r>
    <x v="2"/>
    <s v="Công ty 29"/>
    <x v="0"/>
    <n v="26958182"/>
    <d v="2024-01-01T00:00:00"/>
    <x v="0"/>
    <x v="0"/>
    <s v="ĐB Sông Cửu Long"/>
    <x v="1"/>
    <x v="0"/>
    <n v="26.958182000000001"/>
  </r>
  <r>
    <x v="32"/>
    <s v="Công ty 30"/>
    <x v="0"/>
    <n v="31850909"/>
    <d v="2024-01-01T00:00:00"/>
    <x v="0"/>
    <x v="0"/>
    <s v="ĐB Sông Cửu Long"/>
    <x v="1"/>
    <x v="1"/>
    <n v="31.850909000000001"/>
  </r>
  <r>
    <x v="32"/>
    <s v="Công ty 31"/>
    <x v="0"/>
    <n v="143276859"/>
    <d v="2024-01-01T00:00:00"/>
    <x v="0"/>
    <x v="0"/>
    <s v="ĐB Sông Cửu Long"/>
    <x v="1"/>
    <x v="1"/>
    <n v="143.276859"/>
  </r>
  <r>
    <x v="41"/>
    <s v="Công ty 35"/>
    <x v="1"/>
    <n v="42709091"/>
    <d v="2024-01-01T00:00:00"/>
    <x v="0"/>
    <x v="0"/>
    <s v="Đông Bắc Bộ"/>
    <x v="1"/>
    <x v="2"/>
    <n v="42.709091000000001"/>
  </r>
  <r>
    <x v="41"/>
    <s v="Công ty 36"/>
    <x v="0"/>
    <n v="25281818"/>
    <d v="2024-01-01T00:00:00"/>
    <x v="0"/>
    <x v="0"/>
    <s v="Đông Bắc Bộ"/>
    <x v="1"/>
    <x v="1"/>
    <n v="25.281818000000001"/>
  </r>
  <r>
    <x v="41"/>
    <s v="Công ty 37"/>
    <x v="1"/>
    <n v="42172727"/>
    <d v="2024-01-01T00:00:00"/>
    <x v="0"/>
    <x v="0"/>
    <s v="Đông Bắc Bộ"/>
    <x v="1"/>
    <x v="2"/>
    <n v="42.172727000000002"/>
  </r>
  <r>
    <x v="14"/>
    <s v="Công ty 46"/>
    <x v="1"/>
    <n v="23400000"/>
    <d v="2024-01-01T00:00:00"/>
    <x v="0"/>
    <x v="0"/>
    <s v="ĐB Sông Hồng"/>
    <x v="1"/>
    <x v="13"/>
    <n v="23.4"/>
  </r>
  <r>
    <x v="42"/>
    <s v="Công ty 66"/>
    <x v="3"/>
    <n v="65759091"/>
    <d v="2024-01-01T00:00:00"/>
    <x v="0"/>
    <x v="0"/>
    <s v="Tây Bắc Bộ"/>
    <x v="1"/>
    <x v="7"/>
    <n v="65.759090999999998"/>
  </r>
  <r>
    <x v="23"/>
    <s v="Công ty 67"/>
    <x v="0"/>
    <n v="198113636"/>
    <d v="2024-01-01T00:00:00"/>
    <x v="0"/>
    <x v="0"/>
    <s v="Duyên hải Nam Trung Bộ"/>
    <x v="1"/>
    <x v="5"/>
    <n v="198.11363600000001"/>
  </r>
  <r>
    <x v="20"/>
    <s v="Công ty 68"/>
    <x v="0"/>
    <n v="34041000"/>
    <d v="2024-01-01T00:00:00"/>
    <x v="0"/>
    <x v="0"/>
    <s v="Duyên hải Nam Trung Bộ"/>
    <x v="1"/>
    <x v="1"/>
    <n v="34.040999999999997"/>
  </r>
  <r>
    <x v="20"/>
    <s v="Công ty 69"/>
    <x v="0"/>
    <n v="10078000"/>
    <d v="2024-01-01T00:00:00"/>
    <x v="0"/>
    <x v="0"/>
    <s v="Duyên hải Nam Trung Bộ"/>
    <x v="1"/>
    <x v="1"/>
    <n v="10.077999999999999"/>
  </r>
  <r>
    <x v="42"/>
    <s v="Công ty 83"/>
    <x v="0"/>
    <n v="24898455"/>
    <d v="2024-01-01T00:00:00"/>
    <x v="0"/>
    <x v="0"/>
    <s v="Tây Bắc Bộ"/>
    <x v="1"/>
    <x v="1"/>
    <n v="24.898454999999998"/>
  </r>
  <r>
    <x v="27"/>
    <s v="Công ty 86"/>
    <x v="0"/>
    <n v="22472727"/>
    <d v="2024-01-01T00:00:00"/>
    <x v="0"/>
    <x v="0"/>
    <s v="Bắc Trung Bộ"/>
    <x v="1"/>
    <x v="1"/>
    <n v="22.472726999999999"/>
  </r>
  <r>
    <x v="11"/>
    <s v="Công ty 87"/>
    <x v="1"/>
    <n v="243154545"/>
    <d v="2024-01-01T00:00:00"/>
    <x v="0"/>
    <x v="0"/>
    <s v="Đông Nam Bộ"/>
    <x v="1"/>
    <x v="13"/>
    <n v="243.15454500000001"/>
  </r>
  <r>
    <x v="34"/>
    <s v="Công ty 88"/>
    <x v="1"/>
    <n v="44690000"/>
    <d v="2024-01-01T00:00:00"/>
    <x v="0"/>
    <x v="0"/>
    <s v="Tây Bắc Bộ"/>
    <x v="1"/>
    <x v="2"/>
    <n v="44.69"/>
  </r>
  <r>
    <x v="31"/>
    <s v="Công ty 99"/>
    <x v="0"/>
    <n v="16936364"/>
    <d v="2024-01-01T00:00:00"/>
    <x v="0"/>
    <x v="0"/>
    <s v="Tây Nguyên"/>
    <x v="1"/>
    <x v="0"/>
    <n v="16.936364000000001"/>
  </r>
  <r>
    <x v="42"/>
    <s v="Công ty 9"/>
    <x v="1"/>
    <n v="49272727"/>
    <d v="2024-01-01T00:00:00"/>
    <x v="0"/>
    <x v="0"/>
    <s v="Tây Bắc Bộ"/>
    <x v="1"/>
    <x v="13"/>
    <n v="49.272727000000003"/>
  </r>
  <r>
    <x v="43"/>
    <s v="Công ty 12"/>
    <x v="1"/>
    <n v="39371331"/>
    <d v="2024-01-01T00:00:00"/>
    <x v="0"/>
    <x v="0"/>
    <s v="Đông Nam Bộ"/>
    <x v="1"/>
    <x v="4"/>
    <n v="39.371330999999998"/>
  </r>
  <r>
    <x v="31"/>
    <s v="Công ty 19"/>
    <x v="0"/>
    <n v="14335182"/>
    <d v="2024-01-01T00:00:00"/>
    <x v="0"/>
    <x v="0"/>
    <s v="Tây Nguyên"/>
    <x v="1"/>
    <x v="0"/>
    <n v="14.335182"/>
  </r>
  <r>
    <x v="31"/>
    <s v="Công ty 20"/>
    <x v="3"/>
    <n v="22934000"/>
    <d v="2024-01-01T00:00:00"/>
    <x v="0"/>
    <x v="0"/>
    <s v="Tây Nguyên"/>
    <x v="1"/>
    <x v="7"/>
    <n v="22.934000000000001"/>
  </r>
  <r>
    <x v="31"/>
    <s v="Công ty 21"/>
    <x v="0"/>
    <n v="10025370"/>
    <d v="2024-01-01T00:00:00"/>
    <x v="0"/>
    <x v="0"/>
    <s v="Tây Nguyên"/>
    <x v="1"/>
    <x v="0"/>
    <n v="10.025370000000001"/>
  </r>
  <r>
    <x v="18"/>
    <s v="Công ty 28"/>
    <x v="1"/>
    <n v="74171318"/>
    <d v="2024-01-01T00:00:00"/>
    <x v="0"/>
    <x v="0"/>
    <s v="Tây Nguyên"/>
    <x v="1"/>
    <x v="2"/>
    <n v="74.171317999999999"/>
  </r>
  <r>
    <x v="18"/>
    <s v="Công ty 29"/>
    <x v="1"/>
    <n v="16863636"/>
    <d v="2024-01-01T00:00:00"/>
    <x v="0"/>
    <x v="0"/>
    <s v="Tây Nguyên"/>
    <x v="1"/>
    <x v="13"/>
    <n v="16.863636"/>
  </r>
  <r>
    <x v="18"/>
    <s v="Công ty 30"/>
    <x v="2"/>
    <n v="159444541"/>
    <d v="2024-01-01T00:00:00"/>
    <x v="0"/>
    <x v="0"/>
    <s v="Tây Nguyên"/>
    <x v="1"/>
    <x v="5"/>
    <n v="159.44454099999999"/>
  </r>
  <r>
    <x v="44"/>
    <s v="Công ty 31"/>
    <x v="1"/>
    <n v="56200000"/>
    <d v="2024-01-01T00:00:00"/>
    <x v="0"/>
    <x v="0"/>
    <s v="Bắc Trung Bộ"/>
    <x v="1"/>
    <x v="13"/>
    <n v="56.2"/>
  </r>
  <r>
    <x v="14"/>
    <s v="Công ty 35"/>
    <x v="3"/>
    <n v="98350000"/>
    <d v="2024-01-01T00:00:00"/>
    <x v="0"/>
    <x v="0"/>
    <s v="ĐB Sông Hồng"/>
    <x v="1"/>
    <x v="8"/>
    <n v="98.35"/>
  </r>
  <r>
    <x v="27"/>
    <s v="Công ty 36"/>
    <x v="0"/>
    <n v="15572557"/>
    <d v="2024-01-01T00:00:00"/>
    <x v="0"/>
    <x v="0"/>
    <s v="Bắc Trung Bộ"/>
    <x v="1"/>
    <x v="1"/>
    <n v="15.572557"/>
  </r>
  <r>
    <x v="18"/>
    <s v="Công ty 42"/>
    <x v="1"/>
    <n v="18181818"/>
    <d v="2024-01-01T00:00:00"/>
    <x v="0"/>
    <x v="0"/>
    <s v="Tây Nguyên"/>
    <x v="1"/>
    <x v="2"/>
    <n v="18.181818"/>
  </r>
  <r>
    <x v="19"/>
    <s v="Công ty 61"/>
    <x v="1"/>
    <n v="35681818"/>
    <d v="2024-01-01T00:00:00"/>
    <x v="0"/>
    <x v="0"/>
    <s v="Duyên hải Nam Trung Bộ"/>
    <x v="1"/>
    <x v="2"/>
    <n v="35.681818"/>
  </r>
  <r>
    <x v="19"/>
    <s v="Công ty 62"/>
    <x v="1"/>
    <n v="33872727"/>
    <d v="2024-01-01T00:00:00"/>
    <x v="0"/>
    <x v="0"/>
    <s v="Duyên hải Nam Trung Bộ"/>
    <x v="1"/>
    <x v="2"/>
    <n v="33.872726999999998"/>
  </r>
  <r>
    <x v="1"/>
    <s v="Công ty 73"/>
    <x v="1"/>
    <n v="27000000"/>
    <d v="2024-01-01T00:00:00"/>
    <x v="0"/>
    <x v="0"/>
    <s v="Duyên hải Nam Trung Bộ"/>
    <x v="1"/>
    <x v="13"/>
    <n v="27"/>
  </r>
  <r>
    <x v="45"/>
    <s v="Công ty 89"/>
    <x v="0"/>
    <n v="185400000"/>
    <d v="2024-01-01T00:00:00"/>
    <x v="0"/>
    <x v="0"/>
    <s v="ĐB Sông Cửu Long"/>
    <x v="1"/>
    <x v="0"/>
    <n v="185.4"/>
  </r>
  <r>
    <x v="36"/>
    <s v="Công ty 89"/>
    <x v="2"/>
    <n v="41638575"/>
    <d v="2024-01-01T00:00:00"/>
    <x v="0"/>
    <x v="0"/>
    <s v="ĐB Sông Hồng"/>
    <x v="1"/>
    <x v="4"/>
    <n v="41.638575000000003"/>
  </r>
  <r>
    <x v="30"/>
    <s v="Công ty 89"/>
    <x v="4"/>
    <n v="27970000"/>
    <d v="2024-01-01T00:00:00"/>
    <x v="0"/>
    <x v="0"/>
    <s v="ĐB Sông Cửu Long"/>
    <x v="1"/>
    <x v="9"/>
    <n v="27.97"/>
  </r>
  <r>
    <x v="40"/>
    <s v="Doanh nghiệp 8"/>
    <x v="0"/>
    <n v="122539382"/>
    <d v="2024-01-01T00:00:00"/>
    <x v="0"/>
    <x v="0"/>
    <s v="ĐB Sông Cửu Long"/>
    <x v="1"/>
    <x v="1"/>
    <n v="122.539382"/>
  </r>
  <r>
    <x v="42"/>
    <s v="Doanh nghiệp 9"/>
    <x v="2"/>
    <n v="24181818"/>
    <d v="2024-01-01T00:00:00"/>
    <x v="0"/>
    <x v="0"/>
    <s v="Tây Bắc Bộ"/>
    <x v="1"/>
    <x v="0"/>
    <n v="24.181818"/>
  </r>
  <r>
    <x v="6"/>
    <s v="Doanh nghiệp 11"/>
    <x v="0"/>
    <n v="51500000"/>
    <d v="2024-01-01T00:00:00"/>
    <x v="0"/>
    <x v="0"/>
    <s v="Đông Bắc Bộ"/>
    <x v="1"/>
    <x v="1"/>
    <n v="51.5"/>
  </r>
  <r>
    <x v="6"/>
    <s v="Doanh nghiệp 12"/>
    <x v="1"/>
    <n v="37127273"/>
    <d v="2024-01-01T00:00:00"/>
    <x v="0"/>
    <x v="0"/>
    <s v="Đông Bắc Bộ"/>
    <x v="1"/>
    <x v="13"/>
    <n v="37.127273000000002"/>
  </r>
  <r>
    <x v="19"/>
    <s v="Doanh nghiệp 15"/>
    <x v="1"/>
    <n v="150800000"/>
    <d v="2024-01-01T00:00:00"/>
    <x v="0"/>
    <x v="0"/>
    <s v="Duyên hải Nam Trung Bộ"/>
    <x v="1"/>
    <x v="15"/>
    <n v="150.80000000000001"/>
  </r>
  <r>
    <x v="46"/>
    <s v="Doanh nghiệp 25"/>
    <x v="2"/>
    <n v="195044836"/>
    <d v="2024-01-01T00:00:00"/>
    <x v="0"/>
    <x v="0"/>
    <s v="ĐB Sông Cửu Long"/>
    <x v="1"/>
    <x v="2"/>
    <n v="195.044836"/>
  </r>
  <r>
    <x v="32"/>
    <s v="Doanh nghiệp 20"/>
    <x v="1"/>
    <n v="21172727"/>
    <d v="2024-01-01T00:00:00"/>
    <x v="0"/>
    <x v="0"/>
    <s v="ĐB Sông Cửu Long"/>
    <x v="1"/>
    <x v="11"/>
    <n v="21.172726999999998"/>
  </r>
  <r>
    <x v="32"/>
    <s v="Doanh nghiệp 21"/>
    <x v="0"/>
    <n v="19090909"/>
    <d v="2024-01-01T00:00:00"/>
    <x v="0"/>
    <x v="0"/>
    <s v="ĐB Sông Cửu Long"/>
    <x v="1"/>
    <x v="1"/>
    <n v="19.090909"/>
  </r>
  <r>
    <x v="2"/>
    <s v="Doanh nghiệp 23"/>
    <x v="0"/>
    <n v="157670000"/>
    <d v="2024-01-01T00:00:00"/>
    <x v="0"/>
    <x v="0"/>
    <s v="ĐB Sông Cửu Long"/>
    <x v="1"/>
    <x v="1"/>
    <n v="157.66999999999999"/>
  </r>
  <r>
    <x v="47"/>
    <s v="Doanh nghiệp 14"/>
    <x v="2"/>
    <n v="33812000"/>
    <d v="2024-01-01T00:00:00"/>
    <x v="0"/>
    <x v="0"/>
    <s v="Đông Bắc Bộ"/>
    <x v="1"/>
    <x v="1"/>
    <n v="33.811999999999998"/>
  </r>
  <r>
    <x v="47"/>
    <s v="Doanh nghiệp 15"/>
    <x v="2"/>
    <n v="20886500"/>
    <d v="2024-01-01T00:00:00"/>
    <x v="0"/>
    <x v="0"/>
    <s v="Đông Bắc Bộ"/>
    <x v="1"/>
    <x v="1"/>
    <n v="20.886500000000002"/>
  </r>
  <r>
    <x v="47"/>
    <s v="Doanh nghiệp 16"/>
    <x v="2"/>
    <n v="17257500"/>
    <d v="2024-01-01T00:00:00"/>
    <x v="0"/>
    <x v="0"/>
    <s v="Đông Bắc Bộ"/>
    <x v="1"/>
    <x v="1"/>
    <n v="17.2575"/>
  </r>
  <r>
    <x v="12"/>
    <s v="Doanh nghiệp 18"/>
    <x v="0"/>
    <n v="37581818"/>
    <d v="2024-01-01T00:00:00"/>
    <x v="0"/>
    <x v="0"/>
    <s v="Tây Bắc Bộ"/>
    <x v="1"/>
    <x v="1"/>
    <n v="37.581817999999998"/>
  </r>
  <r>
    <x v="34"/>
    <s v="Doanh nghiệp 19"/>
    <x v="3"/>
    <n v="76290000"/>
    <d v="2024-01-01T00:00:00"/>
    <x v="0"/>
    <x v="0"/>
    <s v="Tây Bắc Bộ"/>
    <x v="1"/>
    <x v="7"/>
    <n v="76.290000000000006"/>
  </r>
  <r>
    <x v="44"/>
    <s v="Doanh nghiệp 20"/>
    <x v="0"/>
    <n v="110766364"/>
    <d v="2024-01-01T00:00:00"/>
    <x v="0"/>
    <x v="0"/>
    <s v="Bắc Trung Bộ"/>
    <x v="1"/>
    <x v="5"/>
    <n v="110.766364"/>
  </r>
  <r>
    <x v="11"/>
    <s v="Doanh nghiệp 21"/>
    <x v="1"/>
    <n v="769133636"/>
    <d v="2024-01-01T00:00:00"/>
    <x v="0"/>
    <x v="0"/>
    <s v="Đông Nam Bộ"/>
    <x v="1"/>
    <x v="4"/>
    <n v="769.13363600000002"/>
  </r>
  <r>
    <x v="44"/>
    <s v="Doanh nghiệp 22"/>
    <x v="1"/>
    <n v="12681818"/>
    <d v="2024-01-01T00:00:00"/>
    <x v="0"/>
    <x v="0"/>
    <s v="Bắc Trung Bộ"/>
    <x v="1"/>
    <x v="4"/>
    <n v="12.681818"/>
  </r>
  <r>
    <x v="48"/>
    <s v="Doanh nghiệp 5"/>
    <x v="0"/>
    <n v="443706000"/>
    <d v="2024-01-01T00:00:00"/>
    <x v="0"/>
    <x v="0"/>
    <s v="Đông Bắc Bộ"/>
    <x v="1"/>
    <x v="5"/>
    <n v="443.70600000000002"/>
  </r>
  <r>
    <x v="48"/>
    <s v="Doanh nghiệp 6"/>
    <x v="1"/>
    <n v="1503106327"/>
    <d v="2024-01-01T00:00:00"/>
    <x v="0"/>
    <x v="0"/>
    <s v="Đông Bắc Bộ"/>
    <x v="1"/>
    <x v="4"/>
    <n v="1503.106327"/>
  </r>
  <r>
    <x v="48"/>
    <s v="Doanh nghiệp 7"/>
    <x v="0"/>
    <n v="844000080"/>
    <d v="2024-01-01T00:00:00"/>
    <x v="0"/>
    <x v="0"/>
    <s v="Đông Bắc Bộ"/>
    <x v="1"/>
    <x v="5"/>
    <n v="844.00008000000003"/>
  </r>
  <r>
    <x v="30"/>
    <s v="Doanh nghiệp 24"/>
    <x v="2"/>
    <n v="20000000"/>
    <d v="2024-01-01T00:00:00"/>
    <x v="0"/>
    <x v="0"/>
    <s v="ĐB Sông Cửu Long"/>
    <x v="1"/>
    <x v="17"/>
    <n v="20"/>
  </r>
  <r>
    <x v="49"/>
    <s v="Doanh nghiệp 12"/>
    <x v="0"/>
    <n v="155909091"/>
    <d v="2024-01-01T00:00:00"/>
    <x v="0"/>
    <x v="0"/>
    <s v="ĐB Sông Cửu Long"/>
    <x v="1"/>
    <x v="1"/>
    <n v="155.90909099999999"/>
  </r>
  <r>
    <x v="31"/>
    <s v="Tập đoàn 3"/>
    <x v="1"/>
    <n v="136327337"/>
    <d v="2024-01-01T00:00:00"/>
    <x v="0"/>
    <x v="0"/>
    <s v="Tây Nguyên"/>
    <x v="1"/>
    <x v="10"/>
    <n v="136.327337"/>
  </r>
  <r>
    <x v="50"/>
    <s v="Tập đoàn 17"/>
    <x v="0"/>
    <n v="42720000"/>
    <d v="2024-01-01T00:00:00"/>
    <x v="0"/>
    <x v="0"/>
    <s v="Tây Bắc Bộ"/>
    <x v="1"/>
    <x v="0"/>
    <n v="42.72"/>
  </r>
  <r>
    <x v="35"/>
    <s v="Tập đoàn 32"/>
    <x v="2"/>
    <n v="150251605"/>
    <d v="2024-01-01T00:00:00"/>
    <x v="0"/>
    <x v="0"/>
    <s v="Đông Bắc Bộ"/>
    <x v="1"/>
    <x v="0"/>
    <n v="150.25160500000001"/>
  </r>
  <r>
    <x v="51"/>
    <s v="Tập đoàn 37"/>
    <x v="0"/>
    <n v="46475000"/>
    <d v="2024-01-01T00:00:00"/>
    <x v="0"/>
    <x v="0"/>
    <s v="ĐB Sông Hồng"/>
    <x v="1"/>
    <x v="1"/>
    <n v="46.475000000000001"/>
  </r>
  <r>
    <x v="19"/>
    <s v="Tập đoàn 82"/>
    <x v="0"/>
    <n v="59154545"/>
    <d v="2024-01-01T00:00:00"/>
    <x v="0"/>
    <x v="0"/>
    <s v="Duyên hải Nam Trung Bộ"/>
    <x v="1"/>
    <x v="14"/>
    <n v="59.154544999999999"/>
  </r>
  <r>
    <x v="27"/>
    <s v="Tập đoàn 94"/>
    <x v="4"/>
    <n v="181818182"/>
    <d v="2024-01-01T00:00:00"/>
    <x v="0"/>
    <x v="0"/>
    <s v="Bắc Trung Bộ"/>
    <x v="1"/>
    <x v="9"/>
    <n v="181.81818200000001"/>
  </r>
  <r>
    <x v="13"/>
    <s v="Tập đoàn 93"/>
    <x v="4"/>
    <n v="34600000"/>
    <d v="2024-01-01T00:00:00"/>
    <x v="0"/>
    <x v="0"/>
    <s v="Tây Bắc Bộ"/>
    <x v="1"/>
    <x v="9"/>
    <n v="34.6"/>
  </r>
  <r>
    <x v="6"/>
    <s v="Tập đoàn 94"/>
    <x v="0"/>
    <n v="1527727273"/>
    <d v="2024-01-01T00:00:00"/>
    <x v="0"/>
    <x v="0"/>
    <s v="Đông Bắc Bộ"/>
    <x v="1"/>
    <x v="5"/>
    <n v="1527.727273"/>
  </r>
  <r>
    <x v="29"/>
    <s v="BỘ CHỈ HUY BỘ ĐỘI BIÊN PHÒNG TIỀN GIANG"/>
    <x v="0"/>
    <n v="54511273"/>
    <d v="2024-01-01T00:00:00"/>
    <x v="0"/>
    <x v="0"/>
    <s v="ĐB Sông Cửu Long"/>
    <x v="2"/>
    <x v="0"/>
    <n v="54.511273000000003"/>
  </r>
  <r>
    <x v="29"/>
    <s v="BỘ CHỈ HUY BỘ ĐỘI BIÊN PHÒNG TIỀN GIANG"/>
    <x v="0"/>
    <n v="17840000"/>
    <d v="2024-01-01T00:00:00"/>
    <x v="0"/>
    <x v="0"/>
    <s v="ĐB Sông Cửu Long"/>
    <x v="2"/>
    <x v="0"/>
    <n v="17.84"/>
  </r>
  <r>
    <x v="52"/>
    <s v="BỘ CHỈ HUY QUÂN SỰ TỈNH BẮC NINH"/>
    <x v="1"/>
    <n v="72102000"/>
    <d v="2024-01-01T00:00:00"/>
    <x v="0"/>
    <x v="0"/>
    <s v="ĐB Sông Hồng"/>
    <x v="2"/>
    <x v="4"/>
    <n v="72.102000000000004"/>
  </r>
  <r>
    <x v="52"/>
    <s v="BỘ CHỈ HUY QUÂN SỰ TỈNH BẮC NINH"/>
    <x v="0"/>
    <n v="87669077"/>
    <d v="2024-01-01T00:00:00"/>
    <x v="0"/>
    <x v="0"/>
    <s v="ĐB Sông Hồng"/>
    <x v="2"/>
    <x v="1"/>
    <n v="87.669077000000001"/>
  </r>
  <r>
    <x v="42"/>
    <s v="Công ty 39"/>
    <x v="0"/>
    <n v="2709091"/>
    <d v="2024-01-01T00:00:00"/>
    <x v="0"/>
    <x v="0"/>
    <s v="Tây Bắc Bộ"/>
    <x v="1"/>
    <x v="1"/>
    <n v="2.7090909999999999"/>
  </r>
  <r>
    <x v="31"/>
    <s v="Công ty 98"/>
    <x v="0"/>
    <n v="8680909"/>
    <d v="2024-01-01T00:00:00"/>
    <x v="0"/>
    <x v="0"/>
    <s v="Tây Nguyên"/>
    <x v="1"/>
    <x v="0"/>
    <n v="8.6809089999999998"/>
  </r>
  <r>
    <x v="5"/>
    <s v="CÔNG AN HUYỆN BÙ ĐỐP"/>
    <x v="2"/>
    <n v="17672727"/>
    <d v="2024-01-01T00:00:00"/>
    <x v="0"/>
    <x v="0"/>
    <s v="Đông Nam Bộ"/>
    <x v="2"/>
    <x v="2"/>
    <n v="17.672726999999998"/>
  </r>
  <r>
    <x v="6"/>
    <s v="CÔNG AN HUYỆN THANH THUỶ"/>
    <x v="2"/>
    <n v="45916818"/>
    <d v="2024-01-01T00:00:00"/>
    <x v="0"/>
    <x v="0"/>
    <s v="Đông Bắc Bộ"/>
    <x v="2"/>
    <x v="5"/>
    <n v="45.916817999999999"/>
  </r>
  <r>
    <x v="25"/>
    <s v="Công an Tỉnh Lâm Đồng"/>
    <x v="1"/>
    <n v="1500000000"/>
    <d v="2024-01-01T00:00:00"/>
    <x v="0"/>
    <x v="0"/>
    <s v="Tây Nguyên"/>
    <x v="2"/>
    <x v="11"/>
    <n v="1500"/>
  </r>
  <r>
    <x v="25"/>
    <s v="CÔNG AN TỈNH LÂM ĐỒNG"/>
    <x v="0"/>
    <n v="393171818"/>
    <d v="2024-01-01T00:00:00"/>
    <x v="0"/>
    <x v="0"/>
    <s v="Tây Nguyên"/>
    <x v="2"/>
    <x v="0"/>
    <n v="393.17181799999997"/>
  </r>
  <r>
    <x v="39"/>
    <s v="Công An Tỉnh Vĩnh Long"/>
    <x v="0"/>
    <n v="9100000"/>
    <d v="2024-01-01T00:00:00"/>
    <x v="0"/>
    <x v="0"/>
    <s v="ĐB Sông Cửu Long"/>
    <x v="2"/>
    <x v="1"/>
    <n v="9.1"/>
  </r>
  <r>
    <x v="13"/>
    <s v="CÔNG AN XÃ HỒNG CA"/>
    <x v="2"/>
    <n v="23818182"/>
    <d v="2024-01-01T00:00:00"/>
    <x v="0"/>
    <x v="0"/>
    <s v="Tây Bắc Bộ"/>
    <x v="2"/>
    <x v="1"/>
    <n v="23.818182"/>
  </r>
  <r>
    <x v="13"/>
    <s v="CÔNG AN XÃ MÔNG SƠN"/>
    <x v="2"/>
    <n v="40618182"/>
    <d v="2024-01-01T00:00:00"/>
    <x v="0"/>
    <x v="0"/>
    <s v="Tây Bắc Bộ"/>
    <x v="2"/>
    <x v="1"/>
    <n v="40.618181999999997"/>
  </r>
  <r>
    <x v="13"/>
    <s v="CÔNG AN XÃ MÔNG SƠN"/>
    <x v="2"/>
    <n v="40618182"/>
    <d v="2024-01-01T00:00:00"/>
    <x v="0"/>
    <x v="0"/>
    <s v="Tây Bắc Bộ"/>
    <x v="2"/>
    <x v="1"/>
    <n v="40.618181999999997"/>
  </r>
  <r>
    <x v="44"/>
    <s v="CỤC THUẾ TỈNH THANH HOÁ"/>
    <x v="2"/>
    <n v="200332727"/>
    <d v="2024-01-01T00:00:00"/>
    <x v="0"/>
    <x v="0"/>
    <s v="Bắc Trung Bộ"/>
    <x v="2"/>
    <x v="2"/>
    <n v="200.33272700000001"/>
  </r>
  <r>
    <x v="14"/>
    <s v="DNTN PHÒNG CHO THUÊ KIM PHÁT"/>
    <x v="3"/>
    <n v="81540000"/>
    <d v="2024-01-01T00:00:00"/>
    <x v="0"/>
    <x v="0"/>
    <s v="ĐB Sông Hồng"/>
    <x v="2"/>
    <x v="7"/>
    <n v="81.540000000000006"/>
  </r>
  <r>
    <x v="33"/>
    <s v="Công ty 21"/>
    <x v="3"/>
    <n v="73872000"/>
    <d v="2024-01-01T00:00:00"/>
    <x v="0"/>
    <x v="0"/>
    <s v="Đông Bắc Bộ"/>
    <x v="1"/>
    <x v="7"/>
    <n v="73.872"/>
  </r>
  <r>
    <x v="9"/>
    <s v="KHU QUẢN LÝ ĐƯỜNG BỘ III"/>
    <x v="0"/>
    <n v="12727273"/>
    <d v="2024-01-01T00:00:00"/>
    <x v="0"/>
    <x v="0"/>
    <s v="Duyên hải Nam Trung Bộ"/>
    <x v="2"/>
    <x v="0"/>
    <n v="12.727273"/>
  </r>
  <r>
    <x v="42"/>
    <s v="Phòng Giao Dịch Ngân Hàng Chính Sách Xã Hội Huyện Điện Biên"/>
    <x v="0"/>
    <n v="5418182"/>
    <d v="2024-01-01T00:00:00"/>
    <x v="0"/>
    <x v="0"/>
    <s v="Tây Bắc Bộ"/>
    <x v="3"/>
    <x v="1"/>
    <n v="5.4181819999999998"/>
  </r>
  <r>
    <x v="42"/>
    <s v="Phòng Giao Dịch Ngân Hàng Chính Sách Xã Hội Huyện Điện Biên Đông"/>
    <x v="0"/>
    <n v="5418182"/>
    <d v="2024-01-01T00:00:00"/>
    <x v="0"/>
    <x v="0"/>
    <s v="Tây Bắc Bộ"/>
    <x v="3"/>
    <x v="6"/>
    <n v="5.4181819999999998"/>
  </r>
  <r>
    <x v="42"/>
    <s v="Phòng Giao Dịch Ngân Hàng Chính Sách Xã Hội Huyện Mường Ảng"/>
    <x v="0"/>
    <n v="2709091"/>
    <d v="2024-01-01T00:00:00"/>
    <x v="0"/>
    <x v="0"/>
    <s v="Tây Bắc Bộ"/>
    <x v="3"/>
    <x v="1"/>
    <n v="2.7090909999999999"/>
  </r>
  <r>
    <x v="42"/>
    <s v="Phòng Giao Dịch Ngân Hàng Chính Sách Xã Hội Huyện Mường Chà"/>
    <x v="0"/>
    <n v="5418182"/>
    <d v="2024-01-01T00:00:00"/>
    <x v="0"/>
    <x v="0"/>
    <s v="Tây Bắc Bộ"/>
    <x v="3"/>
    <x v="1"/>
    <n v="5.4181819999999998"/>
  </r>
  <r>
    <x v="42"/>
    <s v="Phòng Giao Dịch Ngân Hàng Chính Sách Xã Hội Huyện Mường Nhé"/>
    <x v="0"/>
    <n v="5418182"/>
    <d v="2024-01-01T00:00:00"/>
    <x v="0"/>
    <x v="0"/>
    <s v="Tây Bắc Bộ"/>
    <x v="3"/>
    <x v="1"/>
    <n v="5.4181819999999998"/>
  </r>
  <r>
    <x v="42"/>
    <s v="Phòng Giao Dịch Ngân Hàng Chính Sách Xã Hội Huyện Nậm Pồ"/>
    <x v="0"/>
    <n v="5418182"/>
    <d v="2024-01-01T00:00:00"/>
    <x v="0"/>
    <x v="0"/>
    <s v="Tây Bắc Bộ"/>
    <x v="3"/>
    <x v="1"/>
    <n v="5.4181819999999998"/>
  </r>
  <r>
    <x v="42"/>
    <s v="Phòng Giao Dịch Ngân Hàng Chính Sách Xã Hội Huyện Tủa Chùa"/>
    <x v="0"/>
    <n v="10688182"/>
    <d v="2024-01-01T00:00:00"/>
    <x v="0"/>
    <x v="0"/>
    <s v="Tây Bắc Bộ"/>
    <x v="3"/>
    <x v="1"/>
    <n v="10.688181999999999"/>
  </r>
  <r>
    <x v="42"/>
    <s v="Phòng Giao Dịch Ngân Hàng Chính Sách Xã Hội Huyện Tuần Giáo"/>
    <x v="0"/>
    <n v="5172727"/>
    <d v="2024-01-01T00:00:00"/>
    <x v="0"/>
    <x v="0"/>
    <s v="Tây Bắc Bộ"/>
    <x v="3"/>
    <x v="1"/>
    <n v="5.1727270000000001"/>
  </r>
  <r>
    <x v="42"/>
    <s v="Phòng Giao Dịch Ngân Hàng Chính Sách Xã Hội Thị Xã Mường Lay"/>
    <x v="0"/>
    <n v="2709091"/>
    <d v="2024-01-01T00:00:00"/>
    <x v="0"/>
    <x v="0"/>
    <s v="Tây Bắc Bộ"/>
    <x v="3"/>
    <x v="1"/>
    <n v="2.7090909999999999"/>
  </r>
  <r>
    <x v="25"/>
    <s v="PHÒNG KINH TẾ THÀNH PHỐ ĐÀ LẠT"/>
    <x v="0"/>
    <n v="90339091"/>
    <d v="2024-01-01T00:00:00"/>
    <x v="0"/>
    <x v="0"/>
    <s v="Tây Nguyên"/>
    <x v="2"/>
    <x v="0"/>
    <n v="90.339090999999996"/>
  </r>
  <r>
    <x v="41"/>
    <s v="PHÒNG VĂN HOÁ VÀ THÔNG TIN"/>
    <x v="1"/>
    <n v="174836000"/>
    <d v="2024-01-01T00:00:00"/>
    <x v="0"/>
    <x v="0"/>
    <s v="Đông Bắc Bộ"/>
    <x v="2"/>
    <x v="13"/>
    <n v="174.83600000000001"/>
  </r>
  <r>
    <x v="53"/>
    <s v="PHÒNG VĂN HOÁ VÀ THÔNG TIN NGÂN SƠN"/>
    <x v="3"/>
    <n v="723316500"/>
    <d v="2024-01-01T00:00:00"/>
    <x v="0"/>
    <x v="0"/>
    <s v="Đông Bắc Bộ"/>
    <x v="2"/>
    <x v="7"/>
    <n v="723.31650000000002"/>
  </r>
  <r>
    <x v="8"/>
    <s v="Quân Chủng Hải Quân"/>
    <x v="0"/>
    <n v="2117417773"/>
    <d v="2024-01-01T00:00:00"/>
    <x v="0"/>
    <x v="0"/>
    <s v="Đông Nam Bộ"/>
    <x v="2"/>
    <x v="1"/>
    <n v="2117.4177730000001"/>
  </r>
  <r>
    <x v="25"/>
    <s v="QUỸ BẢO VỆ VÀ PHÁT TRIỂN RỪNG TỈNH LÂM ĐỒNG"/>
    <x v="2"/>
    <n v="32727273"/>
    <d v="2024-01-01T00:00:00"/>
    <x v="0"/>
    <x v="0"/>
    <s v="Tây Nguyên"/>
    <x v="2"/>
    <x v="5"/>
    <n v="32.727272999999997"/>
  </r>
  <r>
    <x v="36"/>
    <s v="THÔN LA VÂN, XÃ NINH GIANG, HUYỆN HOA LƯ, TỈNH NINH BÌNH"/>
    <x v="3"/>
    <n v="39314715"/>
    <d v="2024-01-01T00:00:00"/>
    <x v="0"/>
    <x v="0"/>
    <s v="ĐB Sông Hồng"/>
    <x v="2"/>
    <x v="7"/>
    <n v="39.314715"/>
  </r>
  <r>
    <x v="54"/>
    <s v="TỔ CHỨC SAMARITAN'S PURSE HOA KỲ - VĂN PHÒNG ĐẠI DIỆN TẠI VIỆT NAM"/>
    <x v="1"/>
    <n v="970000000"/>
    <d v="2024-01-01T00:00:00"/>
    <x v="0"/>
    <x v="0"/>
    <s v="Tây Bắc Bộ"/>
    <x v="2"/>
    <x v="15"/>
    <n v="970"/>
  </r>
  <r>
    <x v="14"/>
    <s v="TRUNG TÂM HỘI NGHỊ QUỐC GIA"/>
    <x v="0"/>
    <n v="316770737"/>
    <d v="2024-01-01T00:00:00"/>
    <x v="0"/>
    <x v="0"/>
    <s v="ĐB Sông Hồng"/>
    <x v="2"/>
    <x v="0"/>
    <n v="316.770737"/>
  </r>
  <r>
    <x v="55"/>
    <s v="TRUNG TÂM VĂN HÓA - THÔNG TIN VÀ THỂ THAO QUẬN KIẾN AN"/>
    <x v="0"/>
    <n v="600410000"/>
    <d v="2024-01-01T00:00:00"/>
    <x v="0"/>
    <x v="0"/>
    <s v="ĐB Sông Hồng"/>
    <x v="2"/>
    <x v="16"/>
    <n v="600.41"/>
  </r>
  <r>
    <x v="25"/>
    <s v="TRƯỜNG TIỂU HỌC NAM BAN 1"/>
    <x v="0"/>
    <n v="18216000"/>
    <d v="2024-01-01T00:00:00"/>
    <x v="0"/>
    <x v="0"/>
    <s v="Tây Nguyên"/>
    <x v="4"/>
    <x v="0"/>
    <n v="18.216000000000001"/>
  </r>
  <r>
    <x v="31"/>
    <s v="UBND PHƯỜNG EA TAM"/>
    <x v="0"/>
    <n v="3040000"/>
    <d v="2024-01-01T00:00:00"/>
    <x v="0"/>
    <x v="0"/>
    <s v="Tây Nguyên"/>
    <x v="2"/>
    <x v="0"/>
    <n v="3.04"/>
  </r>
  <r>
    <x v="47"/>
    <s v="UBND Thị trấn Vĩnh Lộc - Huyện Chiêm Hóa - Tỉnh Tuyên Quang"/>
    <x v="0"/>
    <n v="55810909"/>
    <d v="2024-01-01T00:00:00"/>
    <x v="0"/>
    <x v="0"/>
    <s v="Đông Bắc Bộ"/>
    <x v="2"/>
    <x v="1"/>
    <n v="55.810909000000002"/>
  </r>
  <r>
    <x v="56"/>
    <s v="UBND XÃ BIỂN BẠCH ĐÔNG"/>
    <x v="0"/>
    <n v="126448364"/>
    <d v="2024-01-01T00:00:00"/>
    <x v="0"/>
    <x v="0"/>
    <s v="ĐB Sông Cửu Long"/>
    <x v="2"/>
    <x v="1"/>
    <n v="126.448364"/>
  </r>
  <r>
    <x v="0"/>
    <s v="UBND XÃ DIỄN THỌ"/>
    <x v="0"/>
    <n v="45304000"/>
    <d v="2024-01-01T00:00:00"/>
    <x v="0"/>
    <x v="0"/>
    <s v="Bắc Trung Bộ"/>
    <x v="2"/>
    <x v="1"/>
    <n v="45.304000000000002"/>
  </r>
  <r>
    <x v="47"/>
    <s v="UBND XÃ HOÀNG KHAI"/>
    <x v="2"/>
    <n v="7879200"/>
    <d v="2024-01-01T00:00:00"/>
    <x v="0"/>
    <x v="0"/>
    <s v="Đông Bắc Bộ"/>
    <x v="2"/>
    <x v="1"/>
    <n v="7.8792"/>
  </r>
  <r>
    <x v="28"/>
    <s v="UBND XÃ KIM TÂN"/>
    <x v="2"/>
    <n v="56320000"/>
    <d v="2024-01-01T00:00:00"/>
    <x v="0"/>
    <x v="0"/>
    <s v="ĐB Sông Hồng"/>
    <x v="2"/>
    <x v="1"/>
    <n v="56.32"/>
  </r>
  <r>
    <x v="0"/>
    <s v="UBND XÃ NGHĨA MỸ"/>
    <x v="0"/>
    <n v="77382273"/>
    <d v="2024-01-01T00:00:00"/>
    <x v="0"/>
    <x v="0"/>
    <s v="Bắc Trung Bộ"/>
    <x v="2"/>
    <x v="1"/>
    <n v="77.382272999999998"/>
  </r>
  <r>
    <x v="20"/>
    <s v="UBND XÃ SÔNG PHAN"/>
    <x v="3"/>
    <n v="160272727"/>
    <d v="2024-01-01T00:00:00"/>
    <x v="0"/>
    <x v="0"/>
    <s v="Duyên hải Nam Trung Bộ"/>
    <x v="2"/>
    <x v="18"/>
    <n v="160.272727"/>
  </r>
  <r>
    <x v="10"/>
    <s v="UBND XÃ TAM THĂNG"/>
    <x v="4"/>
    <n v="225568182"/>
    <d v="2024-01-01T00:00:00"/>
    <x v="0"/>
    <x v="0"/>
    <s v="Duyên hải Nam Trung Bộ"/>
    <x v="2"/>
    <x v="9"/>
    <n v="225.56818200000001"/>
  </r>
  <r>
    <x v="20"/>
    <s v="UBND XÃ TÂN HÀ"/>
    <x v="3"/>
    <n v="161363636"/>
    <d v="2024-01-01T00:00:00"/>
    <x v="0"/>
    <x v="0"/>
    <s v="Duyên hải Nam Trung Bộ"/>
    <x v="2"/>
    <x v="18"/>
    <n v="161.36363600000001"/>
  </r>
  <r>
    <x v="20"/>
    <s v="UBND XÃ TÂN PHÚC"/>
    <x v="3"/>
    <n v="213309091"/>
    <d v="2024-01-01T00:00:00"/>
    <x v="0"/>
    <x v="0"/>
    <s v="Duyên hải Nam Trung Bộ"/>
    <x v="2"/>
    <x v="18"/>
    <n v="213.309091"/>
  </r>
  <r>
    <x v="20"/>
    <s v="UBND XÃ TÂN PHÚC"/>
    <x v="3"/>
    <n v="160763636"/>
    <d v="2024-01-01T00:00:00"/>
    <x v="0"/>
    <x v="0"/>
    <s v="Duyên hải Nam Trung Bộ"/>
    <x v="2"/>
    <x v="18"/>
    <n v="160.76363599999999"/>
  </r>
  <r>
    <x v="20"/>
    <s v="UBND XÃ TÂN XUÂN"/>
    <x v="3"/>
    <n v="152363636"/>
    <d v="2024-01-01T00:00:00"/>
    <x v="0"/>
    <x v="0"/>
    <s v="Duyên hải Nam Trung Bộ"/>
    <x v="2"/>
    <x v="18"/>
    <n v="152.36363600000001"/>
  </r>
  <r>
    <x v="20"/>
    <s v="UBND XÃ TÂN XUÂN"/>
    <x v="3"/>
    <n v="162054545"/>
    <d v="2024-01-01T00:00:00"/>
    <x v="0"/>
    <x v="0"/>
    <s v="Duyên hải Nam Trung Bộ"/>
    <x v="2"/>
    <x v="18"/>
    <n v="162.05454499999999"/>
  </r>
  <r>
    <x v="28"/>
    <s v="UBND XÃ THÁI TÂN"/>
    <x v="2"/>
    <n v="34669455"/>
    <d v="2024-01-01T00:00:00"/>
    <x v="0"/>
    <x v="0"/>
    <s v="ĐB Sông Hồng"/>
    <x v="2"/>
    <x v="1"/>
    <n v="34.669454999999999"/>
  </r>
  <r>
    <x v="28"/>
    <s v="UBND XÃ THÁI TÂN"/>
    <x v="2"/>
    <n v="36512182"/>
    <d v="2024-01-01T00:00:00"/>
    <x v="0"/>
    <x v="0"/>
    <s v="ĐB Sông Hồng"/>
    <x v="2"/>
    <x v="1"/>
    <n v="36.512182000000003"/>
  </r>
  <r>
    <x v="28"/>
    <s v="UBND XÃ THÁI TÂN"/>
    <x v="2"/>
    <n v="43157273"/>
    <d v="2024-01-01T00:00:00"/>
    <x v="0"/>
    <x v="0"/>
    <s v="ĐB Sông Hồng"/>
    <x v="2"/>
    <x v="1"/>
    <n v="43.157273000000004"/>
  </r>
  <r>
    <x v="28"/>
    <s v="UBND XÃ THÁI TÂN"/>
    <x v="2"/>
    <n v="42808545"/>
    <d v="2024-01-01T00:00:00"/>
    <x v="0"/>
    <x v="0"/>
    <s v="ĐB Sông Hồng"/>
    <x v="2"/>
    <x v="1"/>
    <n v="42.808545000000002"/>
  </r>
  <r>
    <x v="28"/>
    <s v="UBND XÃ THÁI TÂN"/>
    <x v="2"/>
    <n v="36319818"/>
    <d v="2024-01-01T00:00:00"/>
    <x v="0"/>
    <x v="0"/>
    <s v="ĐB Sông Hồng"/>
    <x v="2"/>
    <x v="1"/>
    <n v="36.319817999999998"/>
  </r>
  <r>
    <x v="0"/>
    <s v="UBND XÃ TRUNG THÀNH"/>
    <x v="0"/>
    <n v="80882727"/>
    <d v="2024-01-01T00:00:00"/>
    <x v="0"/>
    <x v="0"/>
    <s v="Bắc Trung Bộ"/>
    <x v="2"/>
    <x v="1"/>
    <n v="80.882727000000003"/>
  </r>
  <r>
    <x v="0"/>
    <s v="UBND XÃ VĂN LỢI"/>
    <x v="3"/>
    <n v="254254545"/>
    <d v="2024-01-01T00:00:00"/>
    <x v="0"/>
    <x v="0"/>
    <s v="Bắc Trung Bộ"/>
    <x v="2"/>
    <x v="7"/>
    <n v="254.25454500000001"/>
  </r>
  <r>
    <x v="47"/>
    <s v="UBND XÃ XUÂN QUANG"/>
    <x v="0"/>
    <n v="49583636"/>
    <d v="2024-01-01T00:00:00"/>
    <x v="0"/>
    <x v="0"/>
    <s v="Đông Bắc Bộ"/>
    <x v="2"/>
    <x v="1"/>
    <n v="49.583635999999998"/>
  </r>
  <r>
    <x v="30"/>
    <s v="ỦY BAN MẶT TRẬN TỔ QUỐC VIỆT NAM THỊ TRẤN MỸ LUÔNG"/>
    <x v="1"/>
    <n v="19681818"/>
    <d v="2024-01-01T00:00:00"/>
    <x v="0"/>
    <x v="0"/>
    <s v="ĐB Sông Cửu Long"/>
    <x v="2"/>
    <x v="13"/>
    <n v="19.681818"/>
  </r>
  <r>
    <x v="39"/>
    <s v="ỦY BAN NHÂN DÂN PHƯỜNG TÂN HỘI"/>
    <x v="1"/>
    <n v="48636364"/>
    <d v="2024-01-01T00:00:00"/>
    <x v="0"/>
    <x v="0"/>
    <s v="ĐB Sông Cửu Long"/>
    <x v="2"/>
    <x v="15"/>
    <n v="48.636364"/>
  </r>
  <r>
    <x v="24"/>
    <s v="UỶ BAN NHÂN DÂN XÃ ĐÔNG TRÀ"/>
    <x v="0"/>
    <n v="108620000"/>
    <d v="2024-01-01T00:00:00"/>
    <x v="0"/>
    <x v="0"/>
    <s v="ĐB Sông Hồng"/>
    <x v="2"/>
    <x v="1"/>
    <n v="108.62"/>
  </r>
  <r>
    <x v="30"/>
    <s v="VĂN PHÒNG HĐND VÀ UBND HUYỆN CHÂU THÀNH"/>
    <x v="0"/>
    <n v="90282545"/>
    <d v="2024-01-01T00:00:00"/>
    <x v="0"/>
    <x v="0"/>
    <s v="ĐB Sông Cửu Long"/>
    <x v="2"/>
    <x v="1"/>
    <n v="90.282544999999999"/>
  </r>
  <r>
    <x v="39"/>
    <s v="VĂN PHÒNG HUYỆN ỦY TAM BÌNH"/>
    <x v="4"/>
    <n v="36172727"/>
    <d v="2024-01-01T00:00:00"/>
    <x v="0"/>
    <x v="0"/>
    <s v="ĐB Sông Cửu Long"/>
    <x v="2"/>
    <x v="9"/>
    <n v="36.172727000000002"/>
  </r>
  <r>
    <x v="56"/>
    <s v="VĂN PHÒNG THÀNH UỶ CÀ MAU"/>
    <x v="0"/>
    <n v="87961818"/>
    <d v="2024-01-01T00:00:00"/>
    <x v="0"/>
    <x v="0"/>
    <s v="ĐB Sông Cửu Long"/>
    <x v="2"/>
    <x v="0"/>
    <n v="87.961817999999994"/>
  </r>
  <r>
    <x v="14"/>
    <s v="VĂN PHÒNG TRUNG ƯƠNG ĐOÀN THANH NIÊN CỘNG SẢN HỒ CHÍ MINH"/>
    <x v="0"/>
    <n v="88500000"/>
    <d v="2024-01-01T00:00:00"/>
    <x v="0"/>
    <x v="0"/>
    <s v="ĐB Sông Hồng"/>
    <x v="2"/>
    <x v="5"/>
    <n v="88.5"/>
  </r>
  <r>
    <x v="49"/>
    <s v="TRƯỜNG MẦM NON LONG THỚI"/>
    <x v="0"/>
    <n v="8954545"/>
    <d v="2024-01-01T00:00:00"/>
    <x v="0"/>
    <x v="0"/>
    <s v="ĐB Sông Cửu Long"/>
    <x v="4"/>
    <x v="0"/>
    <n v="8.9545449999999995"/>
  </r>
  <r>
    <x v="12"/>
    <s v="TRƯỜNG PHỔ THÔNG DÂN TỘC BÁN TRÚ THCS XÃ KHOEN ON"/>
    <x v="0"/>
    <n v="10681818"/>
    <d v="2024-01-01T00:00:00"/>
    <x v="0"/>
    <x v="0"/>
    <s v="Tây Bắc Bộ"/>
    <x v="4"/>
    <x v="1"/>
    <n v="10.681818"/>
  </r>
  <r>
    <x v="13"/>
    <s v="TRƯỜNG PT DÂN TỘC NỘI TRÚ THPT TỈNH YÊN BÁI"/>
    <x v="0"/>
    <n v="19000000"/>
    <d v="2024-01-01T00:00:00"/>
    <x v="0"/>
    <x v="0"/>
    <s v="Tây Bắc Bộ"/>
    <x v="4"/>
    <x v="5"/>
    <n v="19"/>
  </r>
  <r>
    <x v="31"/>
    <s v="TRƯỜNG TH NGUYỄN ĐÌNH CHIỂU"/>
    <x v="0"/>
    <n v="8918818"/>
    <d v="2024-01-01T00:00:00"/>
    <x v="0"/>
    <x v="0"/>
    <s v="Tây Nguyên"/>
    <x v="4"/>
    <x v="0"/>
    <n v="8.9188179999999999"/>
  </r>
  <r>
    <x v="15"/>
    <s v="TRƯỜNG THCS NGUYỄN TRUNG TRỰC"/>
    <x v="0"/>
    <n v="13636364"/>
    <d v="2024-01-01T00:00:00"/>
    <x v="0"/>
    <x v="0"/>
    <s v="Duyên hải Nam Trung Bộ"/>
    <x v="4"/>
    <x v="0"/>
    <n v="13.636364"/>
  </r>
  <r>
    <x v="54"/>
    <s v="TRƯỜNG THCS SỐ 2 VÕ LAO"/>
    <x v="0"/>
    <n v="63636364"/>
    <d v="2024-01-01T00:00:00"/>
    <x v="0"/>
    <x v="0"/>
    <s v="Tây Bắc Bộ"/>
    <x v="4"/>
    <x v="5"/>
    <n v="63.636364"/>
  </r>
  <r>
    <x v="15"/>
    <s v="TRƯỜNG THCS TRẦN QUANG KHẢI"/>
    <x v="0"/>
    <n v="13245455"/>
    <d v="2024-01-01T00:00:00"/>
    <x v="0"/>
    <x v="0"/>
    <s v="Duyên hải Nam Trung Bộ"/>
    <x v="4"/>
    <x v="0"/>
    <n v="13.245455"/>
  </r>
  <r>
    <x v="40"/>
    <s v="TRƯỜNG THPT CẦU KÈ"/>
    <x v="0"/>
    <n v="111739972"/>
    <d v="2024-01-01T00:00:00"/>
    <x v="0"/>
    <x v="0"/>
    <s v="ĐB Sông Cửu Long"/>
    <x v="4"/>
    <x v="1"/>
    <n v="111.73997199999999"/>
  </r>
  <r>
    <x v="0"/>
    <s v="TRƯỜNG THPT NGUYỄN DUY TRINH"/>
    <x v="0"/>
    <n v="71854545"/>
    <d v="2024-01-01T00:00:00"/>
    <x v="0"/>
    <x v="0"/>
    <s v="Bắc Trung Bộ"/>
    <x v="4"/>
    <x v="5"/>
    <n v="71.854545000000002"/>
  </r>
  <r>
    <x v="0"/>
    <s v="TRƯỜNG THPT NGUYỄN DUY TRINH"/>
    <x v="0"/>
    <n v="71854545"/>
    <d v="2024-01-01T00:00:00"/>
    <x v="0"/>
    <x v="0"/>
    <s v="Bắc Trung Bộ"/>
    <x v="4"/>
    <x v="5"/>
    <n v="71.854545000000002"/>
  </r>
  <r>
    <x v="0"/>
    <s v="TRƯỜNG THPT NGUYỄN DUY TRINH"/>
    <x v="0"/>
    <n v="35927273"/>
    <d v="2024-01-01T00:00:00"/>
    <x v="0"/>
    <x v="0"/>
    <s v="Bắc Trung Bộ"/>
    <x v="4"/>
    <x v="5"/>
    <n v="35.927273"/>
  </r>
  <r>
    <x v="49"/>
    <s v="TRƯỜNG THPT NGUYỄN NGỌC THĂNG"/>
    <x v="0"/>
    <n v="32800909"/>
    <d v="2024-01-01T00:00:00"/>
    <x v="0"/>
    <x v="0"/>
    <s v="ĐB Sông Cửu Long"/>
    <x v="4"/>
    <x v="0"/>
    <n v="32.800908999999997"/>
  </r>
  <r>
    <x v="27"/>
    <s v="TRƯỜNG THPT NGUYỄN THỊ BÍCH CHÂU"/>
    <x v="0"/>
    <n v="59045455"/>
    <d v="2024-01-01T00:00:00"/>
    <x v="0"/>
    <x v="0"/>
    <s v="Bắc Trung Bộ"/>
    <x v="4"/>
    <x v="0"/>
    <n v="59.045454999999997"/>
  </r>
  <r>
    <x v="34"/>
    <s v="TRƯỜNG THPT SÔNG MÃ"/>
    <x v="0"/>
    <n v="45272727"/>
    <d v="2024-01-01T00:00:00"/>
    <x v="0"/>
    <x v="0"/>
    <s v="Tây Bắc Bộ"/>
    <x v="4"/>
    <x v="0"/>
    <n v="45.272727000000003"/>
  </r>
  <r>
    <x v="34"/>
    <s v="TRƯỜNG THPT SỐP CỘP"/>
    <x v="0"/>
    <n v="89501091"/>
    <d v="2024-01-01T00:00:00"/>
    <x v="0"/>
    <x v="0"/>
    <s v="Tây Bắc Bộ"/>
    <x v="4"/>
    <x v="0"/>
    <n v="89.501091000000002"/>
  </r>
  <r>
    <x v="26"/>
    <s v="TRƯỜNG THPT VÕ MINH ĐỨC"/>
    <x v="3"/>
    <n v="580909091"/>
    <d v="2024-01-01T00:00:00"/>
    <x v="0"/>
    <x v="0"/>
    <s v="Đông Nam Bộ"/>
    <x v="4"/>
    <x v="8"/>
    <n v="580.90909099999999"/>
  </r>
  <r>
    <x v="26"/>
    <s v="TRƯỜNG THPT VÕ MINH ĐỨC"/>
    <x v="3"/>
    <n v="580909091"/>
    <d v="2024-01-01T00:00:00"/>
    <x v="0"/>
    <x v="0"/>
    <s v="Đông Nam Bộ"/>
    <x v="4"/>
    <x v="8"/>
    <n v="580.90909099999999"/>
  </r>
  <r>
    <x v="33"/>
    <s v="TRƯỜNG TIỂU HỌC BẢO ĐÀI"/>
    <x v="0"/>
    <n v="27180000"/>
    <d v="2024-01-01T00:00:00"/>
    <x v="0"/>
    <x v="0"/>
    <s v="Đông Bắc Bộ"/>
    <x v="4"/>
    <x v="5"/>
    <n v="27.18"/>
  </r>
  <r>
    <x v="33"/>
    <s v="TRƯỜNG TIỂU HỌC ĐỨC THẮNG 2"/>
    <x v="0"/>
    <n v="41970000"/>
    <d v="2024-01-01T00:00:00"/>
    <x v="0"/>
    <x v="0"/>
    <s v="Đông Bắc Bộ"/>
    <x v="4"/>
    <x v="0"/>
    <n v="41.97"/>
  </r>
  <r>
    <x v="25"/>
    <s v="TRƯỜNG TIỂU HỌC NGHĨA HIỆP"/>
    <x v="0"/>
    <n v="31272727"/>
    <d v="2024-01-01T00:00:00"/>
    <x v="0"/>
    <x v="0"/>
    <s v="Tây Nguyên"/>
    <x v="4"/>
    <x v="0"/>
    <n v="31.272727"/>
  </r>
  <r>
    <x v="1"/>
    <s v="TRƯỜNG TIỂU HỌC TÂY PHÚ"/>
    <x v="0"/>
    <n v="40000000"/>
    <d v="2024-01-01T00:00:00"/>
    <x v="0"/>
    <x v="0"/>
    <s v="Duyên hải Nam Trung Bộ"/>
    <x v="4"/>
    <x v="0"/>
    <n v="40"/>
  </r>
  <r>
    <x v="49"/>
    <s v="TRƯỜNG TIỂU HỌC THỚI LAI"/>
    <x v="0"/>
    <n v="8590909"/>
    <d v="2024-01-01T00:00:00"/>
    <x v="0"/>
    <x v="0"/>
    <s v="ĐB Sông Cửu Long"/>
    <x v="4"/>
    <x v="0"/>
    <n v="8.5909089999999999"/>
  </r>
  <r>
    <x v="17"/>
    <s v="TRƯỜNG TIỂU HỌC VÀ TRUNG HỌC CƠ SỞ SƠN THÀNH TÂY"/>
    <x v="0"/>
    <n v="4159091"/>
    <d v="2024-01-01T00:00:00"/>
    <x v="0"/>
    <x v="0"/>
    <s v="Duyên hải Nam Trung Bộ"/>
    <x v="4"/>
    <x v="0"/>
    <n v="4.1590910000000001"/>
  </r>
  <r>
    <x v="6"/>
    <s v="Trường trung học cơ sở Hương Nộn"/>
    <x v="2"/>
    <n v="53991818"/>
    <d v="2024-01-01T00:00:00"/>
    <x v="0"/>
    <x v="0"/>
    <s v="Đông Bắc Bộ"/>
    <x v="4"/>
    <x v="1"/>
    <n v="53.991818000000002"/>
  </r>
  <r>
    <x v="32"/>
    <s v="TRƯỜNG TRUNG HỌC CƠ SỞ THANH BÌNH"/>
    <x v="0"/>
    <n v="34490000"/>
    <d v="2024-01-01T00:00:00"/>
    <x v="0"/>
    <x v="0"/>
    <s v="ĐB Sông Cửu Long"/>
    <x v="4"/>
    <x v="0"/>
    <n v="34.49"/>
  </r>
  <r>
    <x v="57"/>
    <s v="Bệnh Viện An Bình"/>
    <x v="1"/>
    <n v="336009091"/>
    <d v="2025-01-01T00:00:00"/>
    <x v="0"/>
    <x v="1"/>
    <s v="ĐB Sông Cửu Long"/>
    <x v="0"/>
    <x v="2"/>
    <n v="336.00909100000001"/>
  </r>
  <r>
    <x v="39"/>
    <s v="Bệnh Viện Đa Khoa Vĩnh Long"/>
    <x v="0"/>
    <n v="43000000"/>
    <d v="2025-01-01T00:00:00"/>
    <x v="0"/>
    <x v="1"/>
    <s v="ĐB Sông Cửu Long"/>
    <x v="0"/>
    <x v="16"/>
    <n v="43"/>
  </r>
  <r>
    <x v="24"/>
    <s v="Công ty 2"/>
    <x v="1"/>
    <n v="4144945010"/>
    <d v="2025-01-01T00:00:00"/>
    <x v="0"/>
    <x v="1"/>
    <s v="ĐB Sông Hồng"/>
    <x v="1"/>
    <x v="11"/>
    <n v="4144.9450100000004"/>
  </r>
  <r>
    <x v="5"/>
    <s v="Công ty 33"/>
    <x v="0"/>
    <n v="18943636"/>
    <d v="2025-01-01T00:00:00"/>
    <x v="0"/>
    <x v="1"/>
    <s v="Đông Nam Bộ"/>
    <x v="1"/>
    <x v="0"/>
    <n v="18.943636000000001"/>
  </r>
  <r>
    <x v="38"/>
    <s v="Công ty 30"/>
    <x v="4"/>
    <n v="476726350"/>
    <d v="2025-01-01T00:00:00"/>
    <x v="0"/>
    <x v="1"/>
    <s v="Tây Nguyên"/>
    <x v="1"/>
    <x v="3"/>
    <n v="476.72635000000002"/>
  </r>
  <r>
    <x v="28"/>
    <s v="Công ty 42"/>
    <x v="1"/>
    <n v="189189182"/>
    <d v="2025-01-01T00:00:00"/>
    <x v="0"/>
    <x v="1"/>
    <s v="ĐB Sông Hồng"/>
    <x v="1"/>
    <x v="2"/>
    <n v="189.18918199999999"/>
  </r>
  <r>
    <x v="42"/>
    <s v="Công ty 63"/>
    <x v="4"/>
    <n v="49090909"/>
    <d v="2025-01-01T00:00:00"/>
    <x v="0"/>
    <x v="1"/>
    <s v="Tây Bắc Bộ"/>
    <x v="1"/>
    <x v="9"/>
    <n v="49.090909000000003"/>
  </r>
  <r>
    <x v="9"/>
    <s v="Công ty 92"/>
    <x v="0"/>
    <n v="4935455"/>
    <d v="2025-01-01T00:00:00"/>
    <x v="0"/>
    <x v="1"/>
    <s v="Duyên hải Nam Trung Bộ"/>
    <x v="1"/>
    <x v="1"/>
    <n v="4.9354550000000001"/>
  </r>
  <r>
    <x v="48"/>
    <s v="Công ty 3"/>
    <x v="2"/>
    <n v="24886364"/>
    <d v="2025-01-01T00:00:00"/>
    <x v="0"/>
    <x v="1"/>
    <s v="Đông Bắc Bộ"/>
    <x v="1"/>
    <x v="1"/>
    <n v="24.886364"/>
  </r>
  <r>
    <x v="15"/>
    <s v="Công ty 41"/>
    <x v="0"/>
    <n v="49418182"/>
    <d v="2025-01-01T00:00:00"/>
    <x v="0"/>
    <x v="1"/>
    <s v="Duyên hải Nam Trung Bộ"/>
    <x v="1"/>
    <x v="0"/>
    <n v="49.418182000000002"/>
  </r>
  <r>
    <x v="35"/>
    <s v="Công ty 50"/>
    <x v="0"/>
    <n v="50984000"/>
    <d v="2025-01-01T00:00:00"/>
    <x v="0"/>
    <x v="1"/>
    <s v="Đông Bắc Bộ"/>
    <x v="1"/>
    <x v="1"/>
    <n v="50.984000000000002"/>
  </r>
  <r>
    <x v="6"/>
    <s v="Công ty 95"/>
    <x v="2"/>
    <n v="224730455"/>
    <d v="2025-01-01T00:00:00"/>
    <x v="0"/>
    <x v="1"/>
    <s v="Đông Bắc Bộ"/>
    <x v="1"/>
    <x v="1"/>
    <n v="224.73045500000001"/>
  </r>
  <r>
    <x v="6"/>
    <s v="Công ty 96"/>
    <x v="2"/>
    <n v="292753373"/>
    <d v="2025-01-01T00:00:00"/>
    <x v="0"/>
    <x v="1"/>
    <s v="Đông Bắc Bộ"/>
    <x v="1"/>
    <x v="1"/>
    <n v="292.75337300000001"/>
  </r>
  <r>
    <x v="25"/>
    <s v="Công ty 10"/>
    <x v="0"/>
    <n v="148586818"/>
    <d v="2025-01-01T00:00:00"/>
    <x v="0"/>
    <x v="1"/>
    <s v="Tây Nguyên"/>
    <x v="1"/>
    <x v="0"/>
    <n v="148.58681799999999"/>
  </r>
  <r>
    <x v="15"/>
    <s v="Công ty 60"/>
    <x v="2"/>
    <n v="178230000"/>
    <d v="2025-01-01T00:00:00"/>
    <x v="0"/>
    <x v="1"/>
    <s v="Duyên hải Nam Trung Bộ"/>
    <x v="1"/>
    <x v="0"/>
    <n v="178.23"/>
  </r>
  <r>
    <x v="6"/>
    <s v="Công ty 4"/>
    <x v="2"/>
    <n v="83818182"/>
    <d v="2025-01-01T00:00:00"/>
    <x v="0"/>
    <x v="1"/>
    <s v="Đông Bắc Bộ"/>
    <x v="1"/>
    <x v="1"/>
    <n v="83.818181999999993"/>
  </r>
  <r>
    <x v="58"/>
    <s v="Công ty 36"/>
    <x v="1"/>
    <n v="533059091"/>
    <d v="2025-01-01T00:00:00"/>
    <x v="0"/>
    <x v="1"/>
    <s v="Tây Nguyên"/>
    <x v="1"/>
    <x v="2"/>
    <n v="533.05909099999997"/>
  </r>
  <r>
    <x v="29"/>
    <s v="Công ty 47"/>
    <x v="1"/>
    <n v="7689925366"/>
    <d v="2025-01-01T00:00:00"/>
    <x v="0"/>
    <x v="1"/>
    <s v="ĐB Sông Cửu Long"/>
    <x v="1"/>
    <x v="2"/>
    <n v="7689.9253660000004"/>
  </r>
  <r>
    <x v="1"/>
    <s v="Công ty 54"/>
    <x v="2"/>
    <n v="212291091"/>
    <d v="2025-01-01T00:00:00"/>
    <x v="0"/>
    <x v="1"/>
    <s v="Duyên hải Nam Trung Bộ"/>
    <x v="1"/>
    <x v="1"/>
    <n v="212.29109099999999"/>
  </r>
  <r>
    <x v="1"/>
    <s v="Công ty 55"/>
    <x v="0"/>
    <n v="182426727"/>
    <d v="2025-01-01T00:00:00"/>
    <x v="0"/>
    <x v="1"/>
    <s v="Duyên hải Nam Trung Bộ"/>
    <x v="1"/>
    <x v="1"/>
    <n v="182.426727"/>
  </r>
  <r>
    <x v="30"/>
    <s v="Công ty 6"/>
    <x v="0"/>
    <n v="58600000"/>
    <d v="2025-01-01T00:00:00"/>
    <x v="0"/>
    <x v="1"/>
    <s v="ĐB Sông Cửu Long"/>
    <x v="1"/>
    <x v="1"/>
    <n v="58.6"/>
  </r>
  <r>
    <x v="20"/>
    <s v="Công ty 14"/>
    <x v="0"/>
    <n v="16720000"/>
    <d v="2025-01-01T00:00:00"/>
    <x v="0"/>
    <x v="1"/>
    <s v="Duyên hải Nam Trung Bộ"/>
    <x v="1"/>
    <x v="1"/>
    <n v="16.72"/>
  </r>
  <r>
    <x v="5"/>
    <s v="Công ty 60"/>
    <x v="2"/>
    <n v="19440000"/>
    <d v="2025-01-01T00:00:00"/>
    <x v="0"/>
    <x v="1"/>
    <s v="Đông Nam Bộ"/>
    <x v="1"/>
    <x v="0"/>
    <n v="19.440000000000001"/>
  </r>
  <r>
    <x v="0"/>
    <s v="Công ty 61"/>
    <x v="4"/>
    <n v="111930864"/>
    <d v="2025-01-01T00:00:00"/>
    <x v="0"/>
    <x v="1"/>
    <s v="Bắc Trung Bộ"/>
    <x v="1"/>
    <x v="3"/>
    <n v="111.930864"/>
  </r>
  <r>
    <x v="51"/>
    <s v="Công ty 75"/>
    <x v="4"/>
    <n v="3411049554"/>
    <d v="2025-01-01T00:00:00"/>
    <x v="0"/>
    <x v="1"/>
    <s v="ĐB Sông Hồng"/>
    <x v="1"/>
    <x v="3"/>
    <n v="3411.0495540000002"/>
  </r>
  <r>
    <x v="40"/>
    <s v="Công ty 94"/>
    <x v="4"/>
    <n v="135000000"/>
    <d v="2025-01-01T00:00:00"/>
    <x v="0"/>
    <x v="1"/>
    <s v="ĐB Sông Cửu Long"/>
    <x v="1"/>
    <x v="3"/>
    <n v="135"/>
  </r>
  <r>
    <x v="43"/>
    <s v="Công ty 95"/>
    <x v="4"/>
    <n v="8546406000"/>
    <d v="2025-01-01T00:00:00"/>
    <x v="0"/>
    <x v="1"/>
    <s v="Đông Nam Bộ"/>
    <x v="1"/>
    <x v="3"/>
    <n v="8546.4060000000009"/>
  </r>
  <r>
    <x v="1"/>
    <s v="Công ty 27"/>
    <x v="0"/>
    <n v="10571636"/>
    <d v="2025-01-01T00:00:00"/>
    <x v="0"/>
    <x v="1"/>
    <s v="Duyên hải Nam Trung Bộ"/>
    <x v="1"/>
    <x v="5"/>
    <n v="10.571636"/>
  </r>
  <r>
    <x v="5"/>
    <s v="Công ty 42"/>
    <x v="1"/>
    <n v="38627273"/>
    <d v="2025-01-01T00:00:00"/>
    <x v="0"/>
    <x v="1"/>
    <s v="Đông Nam Bộ"/>
    <x v="1"/>
    <x v="2"/>
    <n v="38.627273000000002"/>
  </r>
  <r>
    <x v="19"/>
    <s v="Công ty 70"/>
    <x v="4"/>
    <n v="390909091"/>
    <d v="2025-01-01T00:00:00"/>
    <x v="0"/>
    <x v="1"/>
    <s v="Duyên hải Nam Trung Bộ"/>
    <x v="1"/>
    <x v="3"/>
    <n v="390.90909099999999"/>
  </r>
  <r>
    <x v="38"/>
    <s v="Công ty 94"/>
    <x v="4"/>
    <n v="109056818"/>
    <d v="2025-01-01T00:00:00"/>
    <x v="0"/>
    <x v="1"/>
    <s v="Tây Nguyên"/>
    <x v="1"/>
    <x v="3"/>
    <n v="109.05681800000001"/>
  </r>
  <r>
    <x v="9"/>
    <s v="Công ty 7"/>
    <x v="2"/>
    <n v="508699000"/>
    <d v="2025-01-01T00:00:00"/>
    <x v="0"/>
    <x v="1"/>
    <s v="Duyên hải Nam Trung Bộ"/>
    <x v="1"/>
    <x v="4"/>
    <n v="508.69900000000001"/>
  </r>
  <r>
    <x v="5"/>
    <s v="Công ty 18"/>
    <x v="2"/>
    <n v="21364364"/>
    <d v="2025-01-01T00:00:00"/>
    <x v="0"/>
    <x v="1"/>
    <s v="Đông Nam Bộ"/>
    <x v="1"/>
    <x v="3"/>
    <n v="21.364363999999998"/>
  </r>
  <r>
    <x v="15"/>
    <s v="Công ty 22"/>
    <x v="4"/>
    <n v="208636364"/>
    <d v="2025-01-01T00:00:00"/>
    <x v="0"/>
    <x v="1"/>
    <s v="Duyên hải Nam Trung Bộ"/>
    <x v="1"/>
    <x v="3"/>
    <n v="208.63636399999999"/>
  </r>
  <r>
    <x v="43"/>
    <s v="Công ty 32"/>
    <x v="0"/>
    <n v="5319767727"/>
    <d v="2025-01-01T00:00:00"/>
    <x v="0"/>
    <x v="1"/>
    <s v="Đông Nam Bộ"/>
    <x v="1"/>
    <x v="0"/>
    <n v="5319.7677270000004"/>
  </r>
  <r>
    <x v="14"/>
    <s v="Công ty 34"/>
    <x v="0"/>
    <n v="205491273"/>
    <d v="2025-01-01T00:00:00"/>
    <x v="0"/>
    <x v="1"/>
    <s v="ĐB Sông Hồng"/>
    <x v="1"/>
    <x v="5"/>
    <n v="205.49127300000001"/>
  </r>
  <r>
    <x v="2"/>
    <s v="Công ty 91"/>
    <x v="0"/>
    <n v="29778182"/>
    <d v="2025-01-01T00:00:00"/>
    <x v="0"/>
    <x v="1"/>
    <s v="ĐB Sông Cửu Long"/>
    <x v="1"/>
    <x v="1"/>
    <n v="29.778182000000001"/>
  </r>
  <r>
    <x v="56"/>
    <s v="Công ty 53"/>
    <x v="2"/>
    <n v="37356586"/>
    <d v="2025-01-01T00:00:00"/>
    <x v="0"/>
    <x v="1"/>
    <s v="ĐB Sông Cửu Long"/>
    <x v="1"/>
    <x v="3"/>
    <n v="37.356586"/>
  </r>
  <r>
    <x v="0"/>
    <s v="Công ty 56"/>
    <x v="4"/>
    <n v="438886337"/>
    <d v="2025-01-01T00:00:00"/>
    <x v="0"/>
    <x v="1"/>
    <s v="Bắc Trung Bộ"/>
    <x v="1"/>
    <x v="3"/>
    <n v="438.88633700000003"/>
  </r>
  <r>
    <x v="33"/>
    <s v="Công ty 58"/>
    <x v="4"/>
    <n v="872727273"/>
    <d v="2025-01-01T00:00:00"/>
    <x v="0"/>
    <x v="1"/>
    <s v="Đông Bắc Bộ"/>
    <x v="1"/>
    <x v="3"/>
    <n v="872.72727299999997"/>
  </r>
  <r>
    <x v="59"/>
    <s v="Công ty 78"/>
    <x v="4"/>
    <n v="136663636"/>
    <d v="2025-01-01T00:00:00"/>
    <x v="0"/>
    <x v="1"/>
    <s v="ĐB Sông Hồng"/>
    <x v="1"/>
    <x v="3"/>
    <n v="136.663636"/>
  </r>
  <r>
    <x v="37"/>
    <s v="Công ty 98"/>
    <x v="0"/>
    <n v="189338568"/>
    <d v="2025-01-01T00:00:00"/>
    <x v="0"/>
    <x v="1"/>
    <s v="ĐB Sông Cửu Long"/>
    <x v="1"/>
    <x v="0"/>
    <n v="189.33856800000001"/>
  </r>
  <r>
    <x v="3"/>
    <s v="Công ty 99"/>
    <x v="0"/>
    <n v="18606364"/>
    <d v="2025-01-01T00:00:00"/>
    <x v="0"/>
    <x v="1"/>
    <s v="ĐB Sông Cửu Long"/>
    <x v="1"/>
    <x v="1"/>
    <n v="18.606363999999999"/>
  </r>
  <r>
    <x v="20"/>
    <s v="Công ty 16"/>
    <x v="1"/>
    <n v="2044152702"/>
    <d v="2025-01-01T00:00:00"/>
    <x v="0"/>
    <x v="1"/>
    <s v="Duyên hải Nam Trung Bộ"/>
    <x v="1"/>
    <x v="4"/>
    <n v="2044.1527020000001"/>
  </r>
  <r>
    <x v="24"/>
    <s v="Công ty 55"/>
    <x v="0"/>
    <n v="681846873"/>
    <d v="2025-01-01T00:00:00"/>
    <x v="0"/>
    <x v="1"/>
    <s v="ĐB Sông Hồng"/>
    <x v="1"/>
    <x v="0"/>
    <n v="681.84687299999996"/>
  </r>
  <r>
    <x v="17"/>
    <s v="Công ty 56"/>
    <x v="0"/>
    <n v="6160587636"/>
    <d v="2025-01-01T00:00:00"/>
    <x v="0"/>
    <x v="1"/>
    <s v="Duyên hải Nam Trung Bộ"/>
    <x v="1"/>
    <x v="1"/>
    <n v="6160.5876360000002"/>
  </r>
  <r>
    <x v="48"/>
    <s v="Công ty 79"/>
    <x v="4"/>
    <n v="218855218"/>
    <d v="2025-01-01T00:00:00"/>
    <x v="0"/>
    <x v="1"/>
    <s v="Đông Bắc Bộ"/>
    <x v="1"/>
    <x v="3"/>
    <n v="218.85521800000001"/>
  </r>
  <r>
    <x v="46"/>
    <s v="Công ty 82"/>
    <x v="4"/>
    <n v="75454545"/>
    <d v="2025-01-01T00:00:00"/>
    <x v="0"/>
    <x v="1"/>
    <s v="ĐB Sông Cửu Long"/>
    <x v="1"/>
    <x v="3"/>
    <n v="75.454544999999996"/>
  </r>
  <r>
    <x v="34"/>
    <s v="Công ty 70"/>
    <x v="4"/>
    <n v="189090909"/>
    <d v="2025-01-01T00:00:00"/>
    <x v="0"/>
    <x v="1"/>
    <s v="Tây Bắc Bộ"/>
    <x v="1"/>
    <x v="9"/>
    <n v="189.09090900000001"/>
  </r>
  <r>
    <x v="34"/>
    <s v="Công ty 71"/>
    <x v="4"/>
    <n v="40181818"/>
    <d v="2025-01-01T00:00:00"/>
    <x v="0"/>
    <x v="1"/>
    <s v="Tây Bắc Bộ"/>
    <x v="1"/>
    <x v="9"/>
    <n v="40.181818"/>
  </r>
  <r>
    <x v="18"/>
    <s v="Công ty 74"/>
    <x v="1"/>
    <n v="499063636"/>
    <d v="2025-01-01T00:00:00"/>
    <x v="0"/>
    <x v="1"/>
    <s v="Tây Nguyên"/>
    <x v="1"/>
    <x v="2"/>
    <n v="499.06363599999997"/>
  </r>
  <r>
    <x v="44"/>
    <s v="Công ty 81"/>
    <x v="4"/>
    <n v="336000000"/>
    <d v="2025-01-01T00:00:00"/>
    <x v="0"/>
    <x v="1"/>
    <s v="Bắc Trung Bộ"/>
    <x v="1"/>
    <x v="9"/>
    <n v="336"/>
  </r>
  <r>
    <x v="6"/>
    <s v="Công ty 99"/>
    <x v="4"/>
    <n v="1195454545"/>
    <d v="2025-01-01T00:00:00"/>
    <x v="0"/>
    <x v="1"/>
    <s v="Đông Bắc Bộ"/>
    <x v="1"/>
    <x v="3"/>
    <n v="1195.4545450000001"/>
  </r>
  <r>
    <x v="0"/>
    <s v="Công ty 83"/>
    <x v="3"/>
    <n v="211347896"/>
    <d v="2025-01-01T00:00:00"/>
    <x v="0"/>
    <x v="1"/>
    <s v="Bắc Trung Bộ"/>
    <x v="1"/>
    <x v="7"/>
    <n v="211.34789599999999"/>
  </r>
  <r>
    <x v="28"/>
    <s v="Công ty 97"/>
    <x v="4"/>
    <n v="44818182"/>
    <d v="2025-01-01T00:00:00"/>
    <x v="0"/>
    <x v="1"/>
    <s v="ĐB Sông Hồng"/>
    <x v="1"/>
    <x v="3"/>
    <n v="44.818182"/>
  </r>
  <r>
    <x v="30"/>
    <s v="Doanh nghiệp 5"/>
    <x v="4"/>
    <n v="245834164"/>
    <d v="2025-01-01T00:00:00"/>
    <x v="0"/>
    <x v="1"/>
    <s v="ĐB Sông Cửu Long"/>
    <x v="1"/>
    <x v="3"/>
    <n v="245.83416399999999"/>
  </r>
  <r>
    <x v="35"/>
    <s v="Doanh nghiệp 16"/>
    <x v="0"/>
    <n v="64112600"/>
    <d v="2025-01-01T00:00:00"/>
    <x v="0"/>
    <x v="1"/>
    <s v="Đông Bắc Bộ"/>
    <x v="1"/>
    <x v="1"/>
    <n v="64.1126"/>
  </r>
  <r>
    <x v="48"/>
    <s v="Doanh nghiệp 1"/>
    <x v="2"/>
    <n v="216995455"/>
    <d v="2025-01-01T00:00:00"/>
    <x v="0"/>
    <x v="1"/>
    <s v="Đông Bắc Bộ"/>
    <x v="1"/>
    <x v="9"/>
    <n v="216.99545499999999"/>
  </r>
  <r>
    <x v="20"/>
    <s v="Doanh nghiệp 5"/>
    <x v="2"/>
    <n v="21702384"/>
    <d v="2025-01-01T00:00:00"/>
    <x v="0"/>
    <x v="1"/>
    <s v="Duyên hải Nam Trung Bộ"/>
    <x v="1"/>
    <x v="6"/>
    <n v="21.702383999999999"/>
  </r>
  <r>
    <x v="32"/>
    <s v="Doanh nghiệp 6"/>
    <x v="2"/>
    <n v="75600000"/>
    <d v="2025-01-01T00:00:00"/>
    <x v="0"/>
    <x v="1"/>
    <s v="ĐB Sông Cửu Long"/>
    <x v="1"/>
    <x v="1"/>
    <n v="75.599999999999994"/>
  </r>
  <r>
    <x v="54"/>
    <s v="Doanh nghiệp 7"/>
    <x v="2"/>
    <n v="824426364"/>
    <d v="2025-01-01T00:00:00"/>
    <x v="0"/>
    <x v="1"/>
    <s v="Tây Bắc Bộ"/>
    <x v="1"/>
    <x v="10"/>
    <n v="824.42636400000004"/>
  </r>
  <r>
    <x v="48"/>
    <s v="Doanh nghiệp 12"/>
    <x v="0"/>
    <n v="153640000"/>
    <d v="2025-01-01T00:00:00"/>
    <x v="0"/>
    <x v="1"/>
    <s v="Đông Bắc Bộ"/>
    <x v="1"/>
    <x v="5"/>
    <n v="153.63999999999999"/>
  </r>
  <r>
    <x v="0"/>
    <s v="Doanh nghiệp 16"/>
    <x v="0"/>
    <n v="24377540"/>
    <d v="2025-01-01T00:00:00"/>
    <x v="0"/>
    <x v="1"/>
    <s v="Bắc Trung Bộ"/>
    <x v="1"/>
    <x v="1"/>
    <n v="24.37754"/>
  </r>
  <r>
    <x v="18"/>
    <s v="Tập đoàn 4"/>
    <x v="0"/>
    <n v="230337727"/>
    <d v="2025-01-01T00:00:00"/>
    <x v="0"/>
    <x v="1"/>
    <s v="Tây Nguyên"/>
    <x v="1"/>
    <x v="0"/>
    <n v="230.337727"/>
  </r>
  <r>
    <x v="60"/>
    <s v="Tập đoàn 12"/>
    <x v="0"/>
    <n v="38984727"/>
    <d v="2025-01-01T00:00:00"/>
    <x v="0"/>
    <x v="1"/>
    <s v="Đông Bắc Bộ"/>
    <x v="1"/>
    <x v="0"/>
    <n v="38.984726999999999"/>
  </r>
  <r>
    <x v="25"/>
    <s v="Tập đoàn 26"/>
    <x v="0"/>
    <n v="7381818"/>
    <d v="2025-01-01T00:00:00"/>
    <x v="0"/>
    <x v="1"/>
    <s v="Tây Nguyên"/>
    <x v="1"/>
    <x v="0"/>
    <n v="7.381818"/>
  </r>
  <r>
    <x v="0"/>
    <s v="Tập đoàn 75"/>
    <x v="0"/>
    <n v="584763018"/>
    <d v="2025-01-01T00:00:00"/>
    <x v="0"/>
    <x v="1"/>
    <s v="Bắc Trung Bộ"/>
    <x v="1"/>
    <x v="0"/>
    <n v="584.76301799999999"/>
  </r>
  <r>
    <x v="0"/>
    <s v="Tập đoàn 76"/>
    <x v="2"/>
    <n v="17672727"/>
    <d v="2025-01-01T00:00:00"/>
    <x v="0"/>
    <x v="1"/>
    <s v="Bắc Trung Bộ"/>
    <x v="1"/>
    <x v="13"/>
    <n v="17.672726999999998"/>
  </r>
  <r>
    <x v="0"/>
    <s v="Tập đoàn 77"/>
    <x v="1"/>
    <n v="108322249"/>
    <d v="2025-01-01T00:00:00"/>
    <x v="0"/>
    <x v="1"/>
    <s v="Bắc Trung Bộ"/>
    <x v="1"/>
    <x v="4"/>
    <n v="108.322249"/>
  </r>
  <r>
    <x v="13"/>
    <s v="Tập đoàn 91"/>
    <x v="2"/>
    <n v="32824476"/>
    <d v="2025-01-01T00:00:00"/>
    <x v="0"/>
    <x v="1"/>
    <s v="Tây Bắc Bộ"/>
    <x v="1"/>
    <x v="4"/>
    <n v="32.824475999999997"/>
  </r>
  <r>
    <x v="13"/>
    <s v="Tập đoàn 92"/>
    <x v="2"/>
    <n v="118557325"/>
    <d v="2025-01-01T00:00:00"/>
    <x v="0"/>
    <x v="1"/>
    <s v="Tây Bắc Bộ"/>
    <x v="1"/>
    <x v="4"/>
    <n v="118.55732500000001"/>
  </r>
  <r>
    <x v="2"/>
    <s v="Tập đoàn 90"/>
    <x v="0"/>
    <n v="308890000"/>
    <d v="2025-01-01T00:00:00"/>
    <x v="0"/>
    <x v="1"/>
    <s v="ĐB Sông Cửu Long"/>
    <x v="1"/>
    <x v="0"/>
    <n v="308.89"/>
  </r>
  <r>
    <x v="21"/>
    <s v="Tập đoàn 94"/>
    <x v="3"/>
    <n v="382427273"/>
    <d v="2025-01-01T00:00:00"/>
    <x v="0"/>
    <x v="1"/>
    <s v="Đông Bắc Bộ"/>
    <x v="1"/>
    <x v="7"/>
    <n v="382.42727300000001"/>
  </r>
  <r>
    <x v="57"/>
    <s v="Tập đoàn 93"/>
    <x v="1"/>
    <n v="2542853636"/>
    <d v="2025-01-01T00:00:00"/>
    <x v="0"/>
    <x v="1"/>
    <s v="ĐB Sông Cửu Long"/>
    <x v="1"/>
    <x v="2"/>
    <n v="2542.8536359999998"/>
  </r>
  <r>
    <x v="49"/>
    <s v="Tập đoàn 94"/>
    <x v="0"/>
    <n v="682772900"/>
    <d v="2025-01-01T00:00:00"/>
    <x v="0"/>
    <x v="1"/>
    <s v="ĐB Sông Cửu Long"/>
    <x v="1"/>
    <x v="1"/>
    <n v="682.77290000000005"/>
  </r>
  <r>
    <x v="11"/>
    <s v="Tập đoàn 93"/>
    <x v="1"/>
    <n v="3809335455"/>
    <d v="2025-01-01T00:00:00"/>
    <x v="0"/>
    <x v="1"/>
    <s v="Đông Nam Bộ"/>
    <x v="1"/>
    <x v="4"/>
    <n v="3809.3354549999999"/>
  </r>
  <r>
    <x v="18"/>
    <s v="Tập đoàn 92"/>
    <x v="1"/>
    <n v="3276701631"/>
    <d v="2025-01-01T00:00:00"/>
    <x v="0"/>
    <x v="1"/>
    <s v="Tây Nguyên"/>
    <x v="1"/>
    <x v="2"/>
    <n v="3276.7016309999999"/>
  </r>
  <r>
    <x v="42"/>
    <s v="Công ty 91"/>
    <x v="4"/>
    <n v="68952727"/>
    <d v="2025-01-01T00:00:00"/>
    <x v="0"/>
    <x v="1"/>
    <s v="Tây Bắc Bộ"/>
    <x v="1"/>
    <x v="9"/>
    <n v="68.952726999999996"/>
  </r>
  <r>
    <x v="42"/>
    <s v="Công ty 92"/>
    <x v="4"/>
    <n v="22036364"/>
    <d v="2025-01-01T00:00:00"/>
    <x v="0"/>
    <x v="1"/>
    <s v="Tây Bắc Bộ"/>
    <x v="1"/>
    <x v="9"/>
    <n v="22.036363999999999"/>
  </r>
  <r>
    <x v="44"/>
    <s v="CÔNG AN HUYỆN MƯỜNG LÁT"/>
    <x v="0"/>
    <n v="90817273"/>
    <d v="2025-01-01T00:00:00"/>
    <x v="0"/>
    <x v="1"/>
    <s v="Bắc Trung Bộ"/>
    <x v="2"/>
    <x v="1"/>
    <n v="90.817273"/>
  </r>
  <r>
    <x v="53"/>
    <s v="Công ty 22"/>
    <x v="4"/>
    <n v="11418182"/>
    <d v="2025-01-01T00:00:00"/>
    <x v="0"/>
    <x v="1"/>
    <s v="Đông Bắc Bộ"/>
    <x v="1"/>
    <x v="9"/>
    <n v="11.418182"/>
  </r>
  <r>
    <x v="41"/>
    <s v="Đoàn Thanh Niên Bidv"/>
    <x v="4"/>
    <n v="181705455"/>
    <d v="2025-01-01T00:00:00"/>
    <x v="0"/>
    <x v="1"/>
    <s v="Đông Bắc Bộ"/>
    <x v="2"/>
    <x v="9"/>
    <n v="181.705455"/>
  </r>
  <r>
    <x v="44"/>
    <s v="Phòng Cảnh Sát Pccc Và Cnch Công An Tỉnh Thanh Hóa"/>
    <x v="0"/>
    <n v="76100000"/>
    <d v="2025-01-01T00:00:00"/>
    <x v="0"/>
    <x v="1"/>
    <s v="Bắc Trung Bộ"/>
    <x v="2"/>
    <x v="5"/>
    <n v="76.099999999999994"/>
  </r>
  <r>
    <x v="17"/>
    <s v="Phòng Dân Tọc Huyện Sông Hinh"/>
    <x v="0"/>
    <n v="209018636"/>
    <d v="2025-01-01T00:00:00"/>
    <x v="0"/>
    <x v="1"/>
    <s v="Duyên hải Nam Trung Bộ"/>
    <x v="2"/>
    <x v="14"/>
    <n v="209.01863599999999"/>
  </r>
  <r>
    <x v="30"/>
    <s v="Phòng Giáo Dục Và Đào Tạo Thành Phố Châu Đốc"/>
    <x v="1"/>
    <n v="1014139091"/>
    <d v="2025-01-01T00:00:00"/>
    <x v="0"/>
    <x v="1"/>
    <s v="ĐB Sông Cửu Long"/>
    <x v="2"/>
    <x v="15"/>
    <n v="1014.139091"/>
  </r>
  <r>
    <x v="10"/>
    <s v="PHÒNG KINH TẾ VÀ HẠ TẦNG HUYỆN NAM TRÀ MY"/>
    <x v="1"/>
    <n v="109079545"/>
    <d v="2025-01-01T00:00:00"/>
    <x v="0"/>
    <x v="1"/>
    <s v="Duyên hải Nam Trung Bộ"/>
    <x v="2"/>
    <x v="10"/>
    <n v="109.079545"/>
  </r>
  <r>
    <x v="30"/>
    <s v="Phòng Văn Hóa Và Thông Tin Huyện Chợ Mới"/>
    <x v="2"/>
    <n v="79254545"/>
    <d v="2025-01-01T00:00:00"/>
    <x v="0"/>
    <x v="1"/>
    <s v="ĐB Sông Cửu Long"/>
    <x v="2"/>
    <x v="4"/>
    <n v="79.254544999999993"/>
  </r>
  <r>
    <x v="30"/>
    <s v="Phòng Văn Hóa Và Thông Tin Huyện Chợ Mới"/>
    <x v="2"/>
    <n v="79145455"/>
    <d v="2025-01-01T00:00:00"/>
    <x v="0"/>
    <x v="1"/>
    <s v="ĐB Sông Cửu Long"/>
    <x v="2"/>
    <x v="4"/>
    <n v="79.145454999999998"/>
  </r>
  <r>
    <x v="13"/>
    <s v="PHÒNG VĂN HOÁ VÀ THÔNG TIN HUYỆN TRẠM TẤU"/>
    <x v="0"/>
    <n v="191727273"/>
    <d v="2025-01-01T00:00:00"/>
    <x v="0"/>
    <x v="1"/>
    <s v="Tây Bắc Bộ"/>
    <x v="2"/>
    <x v="16"/>
    <n v="191.727273"/>
  </r>
  <r>
    <x v="33"/>
    <s v="SỞ GIÁO DỤC VÀ ĐÀO TẠO BẮC GIANG"/>
    <x v="0"/>
    <n v="2815800000"/>
    <d v="2025-01-01T00:00:00"/>
    <x v="0"/>
    <x v="1"/>
    <s v="Đông Bắc Bộ"/>
    <x v="2"/>
    <x v="5"/>
    <n v="2815.8"/>
  </r>
  <r>
    <x v="3"/>
    <s v="Trung Tâm Hoạt Động Thanh Thiếu Nhi Tỉnh"/>
    <x v="1"/>
    <n v="11289091"/>
    <d v="2025-01-01T00:00:00"/>
    <x v="0"/>
    <x v="1"/>
    <s v="ĐB Sông Cửu Long"/>
    <x v="2"/>
    <x v="13"/>
    <n v="11.289091000000001"/>
  </r>
  <r>
    <x v="6"/>
    <s v="UBND xã Tứ Xã"/>
    <x v="3"/>
    <n v="227930545"/>
    <d v="2025-01-01T00:00:00"/>
    <x v="0"/>
    <x v="1"/>
    <s v="Đông Bắc Bộ"/>
    <x v="2"/>
    <x v="18"/>
    <n v="227.930545"/>
  </r>
  <r>
    <x v="12"/>
    <s v="Ủy Ban Nhân Dân Phường Đoàn Kết"/>
    <x v="0"/>
    <n v="128224682"/>
    <d v="2025-01-01T00:00:00"/>
    <x v="0"/>
    <x v="1"/>
    <s v="Tây Bắc Bộ"/>
    <x v="2"/>
    <x v="1"/>
    <n v="128.224682"/>
  </r>
  <r>
    <x v="0"/>
    <s v="Ủy Ban Nhân Dân Xã Bài Sơn"/>
    <x v="2"/>
    <n v="47970545"/>
    <d v="2025-01-01T00:00:00"/>
    <x v="0"/>
    <x v="1"/>
    <s v="Bắc Trung Bộ"/>
    <x v="2"/>
    <x v="1"/>
    <n v="47.970545000000001"/>
  </r>
  <r>
    <x v="47"/>
    <s v="Ủy Ban Nhân Dân Xã Hợp Hòa"/>
    <x v="2"/>
    <n v="135804545"/>
    <d v="2025-01-01T00:00:00"/>
    <x v="0"/>
    <x v="1"/>
    <s v="Đông Bắc Bộ"/>
    <x v="2"/>
    <x v="13"/>
    <n v="135.80454499999999"/>
  </r>
  <r>
    <x v="41"/>
    <s v="UỶ BAN NHÂN DÂN XÃ LÝ QUỐC"/>
    <x v="4"/>
    <n v="45296818"/>
    <d v="2025-01-01T00:00:00"/>
    <x v="0"/>
    <x v="1"/>
    <s v="Đông Bắc Bộ"/>
    <x v="2"/>
    <x v="9"/>
    <n v="45.296818000000002"/>
  </r>
  <r>
    <x v="53"/>
    <s v="TRƯỜNG MẦM NON ĐỨC XUÂN"/>
    <x v="0"/>
    <n v="20690909"/>
    <d v="2025-01-01T00:00:00"/>
    <x v="0"/>
    <x v="1"/>
    <s v="Đông Bắc Bộ"/>
    <x v="4"/>
    <x v="0"/>
    <n v="20.690909000000001"/>
  </r>
  <r>
    <x v="53"/>
    <s v="Trường mầm non Sông Cầu"/>
    <x v="0"/>
    <n v="16127273"/>
    <d v="2025-01-01T00:00:00"/>
    <x v="0"/>
    <x v="1"/>
    <s v="Đông Bắc Bộ"/>
    <x v="4"/>
    <x v="0"/>
    <n v="16.127272999999999"/>
  </r>
  <r>
    <x v="15"/>
    <s v="Trường Mầm Non Vạn Giã"/>
    <x v="0"/>
    <n v="24415455"/>
    <d v="2025-01-01T00:00:00"/>
    <x v="0"/>
    <x v="1"/>
    <s v="Duyên hải Nam Trung Bộ"/>
    <x v="4"/>
    <x v="0"/>
    <n v="24.415455000000001"/>
  </r>
  <r>
    <x v="33"/>
    <s v="TRƯỜNG TIỂU HỌC HỢP THỊNH SỐ 2"/>
    <x v="0"/>
    <n v="9340000"/>
    <d v="2025-01-01T00:00:00"/>
    <x v="0"/>
    <x v="1"/>
    <s v="Đông Bắc Bộ"/>
    <x v="4"/>
    <x v="0"/>
    <n v="9.34"/>
  </r>
  <r>
    <x v="39"/>
    <s v="Trường Tiểu Học Phú Quới A"/>
    <x v="0"/>
    <n v="17761818"/>
    <d v="2025-01-01T00:00:00"/>
    <x v="0"/>
    <x v="1"/>
    <s v="ĐB Sông Cửu Long"/>
    <x v="4"/>
    <x v="1"/>
    <n v="17.761818000000002"/>
  </r>
  <r>
    <x v="20"/>
    <s v="BỆNH VIỆN ĐA KHOA KHU VỰC BẮC BÌNH THUẬN"/>
    <x v="0"/>
    <n v="44070000"/>
    <d v="2024-02-01T00:00:00"/>
    <x v="1"/>
    <x v="0"/>
    <s v="Duyên hải Nam Trung Bộ"/>
    <x v="0"/>
    <x v="5"/>
    <n v="44.07"/>
  </r>
  <r>
    <x v="14"/>
    <s v="Công ty 1"/>
    <x v="0"/>
    <n v="30618377"/>
    <d v="2024-02-01T00:00:00"/>
    <x v="1"/>
    <x v="0"/>
    <s v="ĐB Sông Hồng"/>
    <x v="1"/>
    <x v="1"/>
    <n v="30.618376999999999"/>
  </r>
  <r>
    <x v="5"/>
    <s v="Công ty 9"/>
    <x v="0"/>
    <n v="108126121"/>
    <d v="2024-02-01T00:00:00"/>
    <x v="1"/>
    <x v="0"/>
    <s v="Đông Nam Bộ"/>
    <x v="1"/>
    <x v="0"/>
    <n v="108.126121"/>
  </r>
  <r>
    <x v="32"/>
    <s v="Công ty 14"/>
    <x v="0"/>
    <n v="4700000"/>
    <d v="2024-02-01T00:00:00"/>
    <x v="1"/>
    <x v="0"/>
    <s v="ĐB Sông Cửu Long"/>
    <x v="1"/>
    <x v="0"/>
    <n v="4.7"/>
  </r>
  <r>
    <x v="5"/>
    <s v="Công ty 15"/>
    <x v="0"/>
    <n v="64010909"/>
    <d v="2024-02-01T00:00:00"/>
    <x v="1"/>
    <x v="0"/>
    <s v="Đông Nam Bộ"/>
    <x v="1"/>
    <x v="1"/>
    <n v="64.010908999999998"/>
  </r>
  <r>
    <x v="33"/>
    <s v="Công ty 23"/>
    <x v="0"/>
    <n v="83200000"/>
    <d v="2024-02-01T00:00:00"/>
    <x v="1"/>
    <x v="0"/>
    <s v="Đông Bắc Bộ"/>
    <x v="1"/>
    <x v="1"/>
    <n v="83.2"/>
  </r>
  <r>
    <x v="9"/>
    <s v="Công ty 24"/>
    <x v="0"/>
    <n v="463574264"/>
    <d v="2024-02-01T00:00:00"/>
    <x v="1"/>
    <x v="0"/>
    <s v="Duyên hải Nam Trung Bộ"/>
    <x v="1"/>
    <x v="6"/>
    <n v="463.57426400000003"/>
  </r>
  <r>
    <x v="11"/>
    <s v="Công ty 38"/>
    <x v="4"/>
    <n v="8603609530"/>
    <d v="2024-02-01T00:00:00"/>
    <x v="1"/>
    <x v="0"/>
    <s v="Đông Nam Bộ"/>
    <x v="1"/>
    <x v="3"/>
    <n v="8603.6095299999997"/>
  </r>
  <r>
    <x v="9"/>
    <s v="Công ty 57"/>
    <x v="0"/>
    <n v="227153009"/>
    <d v="2024-02-01T00:00:00"/>
    <x v="1"/>
    <x v="0"/>
    <s v="Duyên hải Nam Trung Bộ"/>
    <x v="1"/>
    <x v="6"/>
    <n v="227.153009"/>
  </r>
  <r>
    <x v="9"/>
    <s v="Công ty 58"/>
    <x v="0"/>
    <n v="418763636"/>
    <d v="2024-02-01T00:00:00"/>
    <x v="1"/>
    <x v="0"/>
    <s v="Duyên hải Nam Trung Bộ"/>
    <x v="1"/>
    <x v="6"/>
    <n v="418.76363600000002"/>
  </r>
  <r>
    <x v="9"/>
    <s v="Công ty 59"/>
    <x v="0"/>
    <n v="283138182"/>
    <d v="2024-02-01T00:00:00"/>
    <x v="1"/>
    <x v="0"/>
    <s v="Duyên hải Nam Trung Bộ"/>
    <x v="1"/>
    <x v="6"/>
    <n v="283.13818199999997"/>
  </r>
  <r>
    <x v="44"/>
    <s v="Công ty 6"/>
    <x v="0"/>
    <n v="84070909"/>
    <d v="2024-02-01T00:00:00"/>
    <x v="1"/>
    <x v="0"/>
    <s v="Bắc Trung Bộ"/>
    <x v="1"/>
    <x v="1"/>
    <n v="84.070909"/>
  </r>
  <r>
    <x v="20"/>
    <s v="Công ty 7"/>
    <x v="2"/>
    <n v="28250000"/>
    <d v="2024-02-01T00:00:00"/>
    <x v="1"/>
    <x v="0"/>
    <s v="Duyên hải Nam Trung Bộ"/>
    <x v="1"/>
    <x v="0"/>
    <n v="28.25"/>
  </r>
  <r>
    <x v="9"/>
    <s v="Công ty 20"/>
    <x v="2"/>
    <n v="5818182"/>
    <d v="2024-02-01T00:00:00"/>
    <x v="1"/>
    <x v="0"/>
    <s v="Duyên hải Nam Trung Bộ"/>
    <x v="1"/>
    <x v="3"/>
    <n v="5.8181820000000002"/>
  </r>
  <r>
    <x v="23"/>
    <s v="Công ty 22"/>
    <x v="2"/>
    <n v="437364982"/>
    <d v="2024-02-01T00:00:00"/>
    <x v="1"/>
    <x v="0"/>
    <s v="Duyên hải Nam Trung Bộ"/>
    <x v="1"/>
    <x v="0"/>
    <n v="437.364982"/>
  </r>
  <r>
    <x v="27"/>
    <s v="Công ty 29"/>
    <x v="0"/>
    <n v="68094545"/>
    <d v="2024-02-01T00:00:00"/>
    <x v="1"/>
    <x v="0"/>
    <s v="Bắc Trung Bộ"/>
    <x v="1"/>
    <x v="0"/>
    <n v="68.094544999999997"/>
  </r>
  <r>
    <x v="11"/>
    <s v="Công ty 34"/>
    <x v="3"/>
    <n v="49335000"/>
    <d v="2024-02-01T00:00:00"/>
    <x v="1"/>
    <x v="0"/>
    <s v="Đông Nam Bộ"/>
    <x v="1"/>
    <x v="8"/>
    <n v="49.335000000000001"/>
  </r>
  <r>
    <x v="59"/>
    <s v="Công ty 58"/>
    <x v="2"/>
    <n v="487834822"/>
    <d v="2024-02-01T00:00:00"/>
    <x v="1"/>
    <x v="0"/>
    <s v="ĐB Sông Hồng"/>
    <x v="1"/>
    <x v="0"/>
    <n v="487.83482199999997"/>
  </r>
  <r>
    <x v="22"/>
    <s v="Công ty 64"/>
    <x v="2"/>
    <n v="62784000"/>
    <d v="2024-02-01T00:00:00"/>
    <x v="1"/>
    <x v="0"/>
    <s v="Bắc Trung Bộ"/>
    <x v="1"/>
    <x v="1"/>
    <n v="62.783999999999999"/>
  </r>
  <r>
    <x v="6"/>
    <s v="Công ty 66"/>
    <x v="0"/>
    <n v="17945173"/>
    <d v="2024-02-01T00:00:00"/>
    <x v="1"/>
    <x v="0"/>
    <s v="Đông Bắc Bộ"/>
    <x v="1"/>
    <x v="1"/>
    <n v="17.945173"/>
  </r>
  <r>
    <x v="24"/>
    <s v="Công ty 79"/>
    <x v="0"/>
    <n v="1483795500"/>
    <d v="2024-02-01T00:00:00"/>
    <x v="1"/>
    <x v="0"/>
    <s v="ĐB Sông Hồng"/>
    <x v="1"/>
    <x v="1"/>
    <n v="1483.7954999999999"/>
  </r>
  <r>
    <x v="14"/>
    <s v="Công ty 88"/>
    <x v="2"/>
    <n v="36454016"/>
    <d v="2024-02-01T00:00:00"/>
    <x v="1"/>
    <x v="0"/>
    <s v="ĐB Sông Hồng"/>
    <x v="1"/>
    <x v="2"/>
    <n v="36.454016000000003"/>
  </r>
  <r>
    <x v="6"/>
    <s v="Công ty 91"/>
    <x v="2"/>
    <n v="689674426"/>
    <d v="2024-02-01T00:00:00"/>
    <x v="1"/>
    <x v="0"/>
    <s v="Đông Bắc Bộ"/>
    <x v="1"/>
    <x v="4"/>
    <n v="689.67442600000004"/>
  </r>
  <r>
    <x v="0"/>
    <s v="Công ty 27"/>
    <x v="0"/>
    <n v="36363636"/>
    <d v="2024-02-01T00:00:00"/>
    <x v="1"/>
    <x v="0"/>
    <s v="Bắc Trung Bộ"/>
    <x v="1"/>
    <x v="1"/>
    <n v="36.363636"/>
  </r>
  <r>
    <x v="8"/>
    <s v="Công ty 49"/>
    <x v="2"/>
    <n v="22394455"/>
    <d v="2024-02-01T00:00:00"/>
    <x v="1"/>
    <x v="0"/>
    <s v="Đông Nam Bộ"/>
    <x v="1"/>
    <x v="0"/>
    <n v="22.394455000000001"/>
  </r>
  <r>
    <x v="14"/>
    <s v="Công ty 73"/>
    <x v="0"/>
    <n v="15781818"/>
    <d v="2024-02-01T00:00:00"/>
    <x v="1"/>
    <x v="0"/>
    <s v="ĐB Sông Hồng"/>
    <x v="1"/>
    <x v="1"/>
    <n v="15.781817999999999"/>
  </r>
  <r>
    <x v="19"/>
    <s v="Công ty 77"/>
    <x v="0"/>
    <n v="563536182"/>
    <d v="2024-02-01T00:00:00"/>
    <x v="1"/>
    <x v="0"/>
    <s v="Duyên hải Nam Trung Bộ"/>
    <x v="1"/>
    <x v="1"/>
    <n v="563.53618200000005"/>
  </r>
  <r>
    <x v="22"/>
    <s v="Công ty 83"/>
    <x v="2"/>
    <n v="25061818"/>
    <d v="2024-02-01T00:00:00"/>
    <x v="1"/>
    <x v="0"/>
    <s v="Bắc Trung Bộ"/>
    <x v="1"/>
    <x v="2"/>
    <n v="25.061817999999999"/>
  </r>
  <r>
    <x v="0"/>
    <s v="Công ty 85"/>
    <x v="0"/>
    <n v="84316664"/>
    <d v="2024-02-01T00:00:00"/>
    <x v="1"/>
    <x v="0"/>
    <s v="Bắc Trung Bộ"/>
    <x v="1"/>
    <x v="1"/>
    <n v="84.316664000000003"/>
  </r>
  <r>
    <x v="39"/>
    <s v="Công ty 86"/>
    <x v="0"/>
    <n v="53041000"/>
    <d v="2024-02-01T00:00:00"/>
    <x v="1"/>
    <x v="0"/>
    <s v="ĐB Sông Cửu Long"/>
    <x v="1"/>
    <x v="1"/>
    <n v="53.040999999999997"/>
  </r>
  <r>
    <x v="5"/>
    <s v="Công ty 34"/>
    <x v="0"/>
    <n v="118041818"/>
    <d v="2024-02-01T00:00:00"/>
    <x v="1"/>
    <x v="0"/>
    <s v="Đông Nam Bộ"/>
    <x v="1"/>
    <x v="0"/>
    <n v="118.04181800000001"/>
  </r>
  <r>
    <x v="25"/>
    <s v="Công ty 36"/>
    <x v="2"/>
    <n v="23367273"/>
    <d v="2024-02-01T00:00:00"/>
    <x v="1"/>
    <x v="0"/>
    <s v="Tây Nguyên"/>
    <x v="1"/>
    <x v="1"/>
    <n v="23.367273000000001"/>
  </r>
  <r>
    <x v="14"/>
    <s v="Công ty 51"/>
    <x v="1"/>
    <n v="154935000"/>
    <d v="2024-02-01T00:00:00"/>
    <x v="1"/>
    <x v="0"/>
    <s v="ĐB Sông Hồng"/>
    <x v="1"/>
    <x v="2"/>
    <n v="154.935"/>
  </r>
  <r>
    <x v="14"/>
    <s v="Công ty 52"/>
    <x v="1"/>
    <n v="154935000"/>
    <d v="2024-02-01T00:00:00"/>
    <x v="1"/>
    <x v="0"/>
    <s v="ĐB Sông Hồng"/>
    <x v="1"/>
    <x v="2"/>
    <n v="154.935"/>
  </r>
  <r>
    <x v="6"/>
    <s v="Công ty 55"/>
    <x v="1"/>
    <n v="6636364"/>
    <d v="2024-02-01T00:00:00"/>
    <x v="1"/>
    <x v="0"/>
    <s v="Đông Bắc Bộ"/>
    <x v="1"/>
    <x v="2"/>
    <n v="6.6363640000000004"/>
  </r>
  <r>
    <x v="34"/>
    <s v="Công ty 87"/>
    <x v="1"/>
    <n v="21070000"/>
    <d v="2024-02-01T00:00:00"/>
    <x v="1"/>
    <x v="0"/>
    <s v="Tây Bắc Bộ"/>
    <x v="1"/>
    <x v="2"/>
    <n v="21.07"/>
  </r>
  <r>
    <x v="24"/>
    <s v="Công ty 22"/>
    <x v="1"/>
    <n v="95723800"/>
    <d v="2024-02-01T00:00:00"/>
    <x v="1"/>
    <x v="0"/>
    <s v="ĐB Sông Hồng"/>
    <x v="1"/>
    <x v="2"/>
    <n v="95.723799999999997"/>
  </r>
  <r>
    <x v="32"/>
    <s v="Công ty 53"/>
    <x v="4"/>
    <n v="172953265"/>
    <d v="2024-02-01T00:00:00"/>
    <x v="1"/>
    <x v="0"/>
    <s v="ĐB Sông Cửu Long"/>
    <x v="1"/>
    <x v="3"/>
    <n v="172.95326499999999"/>
  </r>
  <r>
    <x v="6"/>
    <s v="Công ty 84"/>
    <x v="0"/>
    <n v="63516913"/>
    <d v="2024-02-01T00:00:00"/>
    <x v="1"/>
    <x v="0"/>
    <s v="Đông Bắc Bộ"/>
    <x v="1"/>
    <x v="1"/>
    <n v="63.516913000000002"/>
  </r>
  <r>
    <x v="0"/>
    <s v="Công ty 8"/>
    <x v="0"/>
    <n v="122505227"/>
    <d v="2024-02-01T00:00:00"/>
    <x v="1"/>
    <x v="0"/>
    <s v="Bắc Trung Bộ"/>
    <x v="1"/>
    <x v="1"/>
    <n v="122.505227"/>
  </r>
  <r>
    <x v="6"/>
    <s v="Công ty 16"/>
    <x v="0"/>
    <n v="121554668"/>
    <d v="2024-02-01T00:00:00"/>
    <x v="1"/>
    <x v="0"/>
    <s v="Đông Bắc Bộ"/>
    <x v="1"/>
    <x v="5"/>
    <n v="121.55466800000001"/>
  </r>
  <r>
    <x v="6"/>
    <s v="Công ty 17"/>
    <x v="2"/>
    <n v="121554668"/>
    <d v="2024-02-01T00:00:00"/>
    <x v="1"/>
    <x v="0"/>
    <s v="Đông Bắc Bộ"/>
    <x v="1"/>
    <x v="5"/>
    <n v="121.55466800000001"/>
  </r>
  <r>
    <x v="20"/>
    <s v="Công ty 30"/>
    <x v="0"/>
    <n v="25220000"/>
    <d v="2024-02-01T00:00:00"/>
    <x v="1"/>
    <x v="0"/>
    <s v="Duyên hải Nam Trung Bộ"/>
    <x v="1"/>
    <x v="1"/>
    <n v="25.22"/>
  </r>
  <r>
    <x v="30"/>
    <s v="Công ty 37"/>
    <x v="1"/>
    <n v="11283423"/>
    <d v="2024-02-01T00:00:00"/>
    <x v="1"/>
    <x v="0"/>
    <s v="ĐB Sông Cửu Long"/>
    <x v="1"/>
    <x v="15"/>
    <n v="11.283423000000001"/>
  </r>
  <r>
    <x v="56"/>
    <s v="Công ty 42"/>
    <x v="1"/>
    <n v="438362726"/>
    <d v="2024-02-01T00:00:00"/>
    <x v="1"/>
    <x v="0"/>
    <s v="ĐB Sông Cửu Long"/>
    <x v="1"/>
    <x v="2"/>
    <n v="438.36272600000001"/>
  </r>
  <r>
    <x v="44"/>
    <s v="Công ty 46"/>
    <x v="2"/>
    <n v="268770911"/>
    <d v="2024-02-01T00:00:00"/>
    <x v="1"/>
    <x v="0"/>
    <s v="Bắc Trung Bộ"/>
    <x v="1"/>
    <x v="4"/>
    <n v="268.77091100000001"/>
  </r>
  <r>
    <x v="51"/>
    <s v="Công ty 50"/>
    <x v="1"/>
    <n v="196229430"/>
    <d v="2024-02-01T00:00:00"/>
    <x v="1"/>
    <x v="0"/>
    <s v="ĐB Sông Hồng"/>
    <x v="1"/>
    <x v="2"/>
    <n v="196.22943000000001"/>
  </r>
  <r>
    <x v="12"/>
    <s v="Công ty 63"/>
    <x v="0"/>
    <n v="24896818"/>
    <d v="2024-02-01T00:00:00"/>
    <x v="1"/>
    <x v="0"/>
    <s v="Tây Bắc Bộ"/>
    <x v="1"/>
    <x v="1"/>
    <n v="24.896818"/>
  </r>
  <r>
    <x v="0"/>
    <s v="Công ty 72"/>
    <x v="1"/>
    <n v="253040000"/>
    <d v="2024-02-01T00:00:00"/>
    <x v="1"/>
    <x v="0"/>
    <s v="Bắc Trung Bộ"/>
    <x v="1"/>
    <x v="12"/>
    <n v="253.04"/>
  </r>
  <r>
    <x v="16"/>
    <s v="Công ty 81"/>
    <x v="1"/>
    <n v="82720000"/>
    <d v="2024-02-01T00:00:00"/>
    <x v="1"/>
    <x v="0"/>
    <s v="ĐB Sông Hồng"/>
    <x v="1"/>
    <x v="4"/>
    <n v="82.72"/>
  </r>
  <r>
    <x v="43"/>
    <s v="Công ty 84"/>
    <x v="0"/>
    <n v="28565102"/>
    <d v="2024-02-01T00:00:00"/>
    <x v="1"/>
    <x v="0"/>
    <s v="Đông Nam Bộ"/>
    <x v="1"/>
    <x v="1"/>
    <n v="28.565102"/>
  </r>
  <r>
    <x v="34"/>
    <s v="Công ty 90"/>
    <x v="1"/>
    <n v="41297563"/>
    <d v="2024-02-01T00:00:00"/>
    <x v="1"/>
    <x v="0"/>
    <s v="Tây Bắc Bộ"/>
    <x v="1"/>
    <x v="13"/>
    <n v="41.297562999999997"/>
  </r>
  <r>
    <x v="33"/>
    <s v="Công ty 4"/>
    <x v="1"/>
    <n v="23069091"/>
    <d v="2024-02-01T00:00:00"/>
    <x v="1"/>
    <x v="0"/>
    <s v="Đông Bắc Bộ"/>
    <x v="1"/>
    <x v="13"/>
    <n v="23.069091"/>
  </r>
  <r>
    <x v="2"/>
    <s v="Công ty 9"/>
    <x v="1"/>
    <n v="112728182"/>
    <d v="2024-02-01T00:00:00"/>
    <x v="1"/>
    <x v="0"/>
    <s v="ĐB Sông Cửu Long"/>
    <x v="1"/>
    <x v="2"/>
    <n v="112.728182"/>
  </r>
  <r>
    <x v="34"/>
    <s v="Công ty 56"/>
    <x v="0"/>
    <n v="28113396"/>
    <d v="2024-02-01T00:00:00"/>
    <x v="1"/>
    <x v="0"/>
    <s v="Tây Bắc Bộ"/>
    <x v="1"/>
    <x v="1"/>
    <n v="28.113396000000002"/>
  </r>
  <r>
    <x v="51"/>
    <s v="Công ty 87"/>
    <x v="1"/>
    <n v="163444300"/>
    <d v="2024-02-01T00:00:00"/>
    <x v="1"/>
    <x v="0"/>
    <s v="ĐB Sông Hồng"/>
    <x v="1"/>
    <x v="2"/>
    <n v="163.4443"/>
  </r>
  <r>
    <x v="37"/>
    <s v="Công ty 90"/>
    <x v="1"/>
    <n v="86655000"/>
    <d v="2024-02-01T00:00:00"/>
    <x v="1"/>
    <x v="0"/>
    <s v="ĐB Sông Cửu Long"/>
    <x v="1"/>
    <x v="2"/>
    <n v="86.655000000000001"/>
  </r>
  <r>
    <x v="54"/>
    <s v="Công ty 97"/>
    <x v="0"/>
    <n v="72920000"/>
    <d v="2024-02-01T00:00:00"/>
    <x v="1"/>
    <x v="0"/>
    <s v="Tây Bắc Bộ"/>
    <x v="1"/>
    <x v="0"/>
    <n v="72.92"/>
  </r>
  <r>
    <x v="43"/>
    <s v="Công ty 2"/>
    <x v="0"/>
    <n v="60480273"/>
    <d v="2024-02-01T00:00:00"/>
    <x v="1"/>
    <x v="0"/>
    <s v="Đông Nam Bộ"/>
    <x v="1"/>
    <x v="0"/>
    <n v="60.480272999999997"/>
  </r>
  <r>
    <x v="38"/>
    <s v="Công ty 13"/>
    <x v="4"/>
    <n v="16363636"/>
    <d v="2024-02-01T00:00:00"/>
    <x v="1"/>
    <x v="0"/>
    <s v="Tây Nguyên"/>
    <x v="1"/>
    <x v="9"/>
    <n v="16.363636"/>
  </r>
  <r>
    <x v="9"/>
    <s v="Công ty 15"/>
    <x v="2"/>
    <n v="37574519"/>
    <d v="2024-02-01T00:00:00"/>
    <x v="1"/>
    <x v="0"/>
    <s v="Duyên hải Nam Trung Bộ"/>
    <x v="1"/>
    <x v="0"/>
    <n v="37.574519000000002"/>
  </r>
  <r>
    <x v="43"/>
    <s v="Công ty 20"/>
    <x v="0"/>
    <n v="56390273"/>
    <d v="2024-02-01T00:00:00"/>
    <x v="1"/>
    <x v="0"/>
    <s v="Đông Nam Bộ"/>
    <x v="1"/>
    <x v="0"/>
    <n v="56.390273000000001"/>
  </r>
  <r>
    <x v="39"/>
    <s v="Công ty 54"/>
    <x v="0"/>
    <n v="31533191"/>
    <d v="2024-02-01T00:00:00"/>
    <x v="1"/>
    <x v="0"/>
    <s v="ĐB Sông Cửu Long"/>
    <x v="1"/>
    <x v="1"/>
    <n v="31.533190999999999"/>
  </r>
  <r>
    <x v="35"/>
    <s v="Công ty 72"/>
    <x v="1"/>
    <n v="133029000"/>
    <d v="2024-02-01T00:00:00"/>
    <x v="1"/>
    <x v="0"/>
    <s v="Đông Bắc Bộ"/>
    <x v="1"/>
    <x v="13"/>
    <n v="133.029"/>
  </r>
  <r>
    <x v="47"/>
    <s v="Công ty 73"/>
    <x v="0"/>
    <n v="31019545"/>
    <d v="2024-02-01T00:00:00"/>
    <x v="1"/>
    <x v="0"/>
    <s v="Đông Bắc Bộ"/>
    <x v="1"/>
    <x v="0"/>
    <n v="31.019545000000001"/>
  </r>
  <r>
    <x v="39"/>
    <s v="Công ty 82"/>
    <x v="1"/>
    <n v="29851364"/>
    <d v="2024-02-01T00:00:00"/>
    <x v="1"/>
    <x v="0"/>
    <s v="ĐB Sông Cửu Long"/>
    <x v="1"/>
    <x v="2"/>
    <n v="29.851364"/>
  </r>
  <r>
    <x v="16"/>
    <s v="Công ty 87"/>
    <x v="0"/>
    <n v="117765455"/>
    <d v="2024-02-01T00:00:00"/>
    <x v="1"/>
    <x v="0"/>
    <s v="ĐB Sông Hồng"/>
    <x v="1"/>
    <x v="1"/>
    <n v="117.765455"/>
  </r>
  <r>
    <x v="11"/>
    <s v="Công ty 3"/>
    <x v="1"/>
    <n v="28373000"/>
    <d v="2024-02-01T00:00:00"/>
    <x v="1"/>
    <x v="0"/>
    <s v="Đông Nam Bộ"/>
    <x v="1"/>
    <x v="13"/>
    <n v="28.373000000000001"/>
  </r>
  <r>
    <x v="8"/>
    <s v="Công ty 15"/>
    <x v="2"/>
    <n v="22394455"/>
    <d v="2024-02-01T00:00:00"/>
    <x v="1"/>
    <x v="0"/>
    <s v="Đông Nam Bộ"/>
    <x v="1"/>
    <x v="0"/>
    <n v="22.394455000000001"/>
  </r>
  <r>
    <x v="34"/>
    <s v="Công ty 34"/>
    <x v="0"/>
    <n v="72547230"/>
    <d v="2024-02-01T00:00:00"/>
    <x v="1"/>
    <x v="0"/>
    <s v="Tây Bắc Bộ"/>
    <x v="1"/>
    <x v="1"/>
    <n v="72.547229999999999"/>
  </r>
  <r>
    <x v="34"/>
    <s v="Công ty 35"/>
    <x v="3"/>
    <n v="56237418"/>
    <d v="2024-02-01T00:00:00"/>
    <x v="1"/>
    <x v="0"/>
    <s v="Tây Bắc Bộ"/>
    <x v="1"/>
    <x v="7"/>
    <n v="56.237417999999998"/>
  </r>
  <r>
    <x v="6"/>
    <s v="Công ty 41"/>
    <x v="1"/>
    <n v="25527273"/>
    <d v="2024-02-01T00:00:00"/>
    <x v="1"/>
    <x v="0"/>
    <s v="Đông Bắc Bộ"/>
    <x v="1"/>
    <x v="11"/>
    <n v="25.527273000000001"/>
  </r>
  <r>
    <x v="6"/>
    <s v="Công ty 57"/>
    <x v="1"/>
    <n v="27258000"/>
    <d v="2024-02-01T00:00:00"/>
    <x v="1"/>
    <x v="0"/>
    <s v="Đông Bắc Bộ"/>
    <x v="1"/>
    <x v="13"/>
    <n v="27.257999999999999"/>
  </r>
  <r>
    <x v="0"/>
    <s v="Công ty 94"/>
    <x v="2"/>
    <n v="432876134"/>
    <d v="2024-02-01T00:00:00"/>
    <x v="1"/>
    <x v="0"/>
    <s v="Bắc Trung Bộ"/>
    <x v="1"/>
    <x v="4"/>
    <n v="432.87613399999998"/>
  </r>
  <r>
    <x v="45"/>
    <s v="Công ty 1"/>
    <x v="0"/>
    <n v="28327000"/>
    <d v="2024-02-01T00:00:00"/>
    <x v="1"/>
    <x v="0"/>
    <s v="ĐB Sông Cửu Long"/>
    <x v="1"/>
    <x v="1"/>
    <n v="28.327000000000002"/>
  </r>
  <r>
    <x v="22"/>
    <s v="Công ty 18"/>
    <x v="2"/>
    <n v="16768182"/>
    <d v="2024-02-01T00:00:00"/>
    <x v="1"/>
    <x v="0"/>
    <s v="Bắc Trung Bộ"/>
    <x v="1"/>
    <x v="0"/>
    <n v="16.768181999999999"/>
  </r>
  <r>
    <x v="30"/>
    <s v="Công ty 24"/>
    <x v="1"/>
    <n v="9800000"/>
    <d v="2024-02-01T00:00:00"/>
    <x v="1"/>
    <x v="0"/>
    <s v="ĐB Sông Cửu Long"/>
    <x v="1"/>
    <x v="13"/>
    <n v="9.8000000000000007"/>
  </r>
  <r>
    <x v="8"/>
    <s v="Công ty 27"/>
    <x v="2"/>
    <n v="135110945"/>
    <d v="2024-02-01T00:00:00"/>
    <x v="1"/>
    <x v="0"/>
    <s v="Đông Nam Bộ"/>
    <x v="1"/>
    <x v="0"/>
    <n v="135.11094499999999"/>
  </r>
  <r>
    <x v="41"/>
    <s v="Công ty 38"/>
    <x v="1"/>
    <n v="71543636"/>
    <d v="2024-02-01T00:00:00"/>
    <x v="1"/>
    <x v="0"/>
    <s v="Đông Bắc Bộ"/>
    <x v="1"/>
    <x v="2"/>
    <n v="71.543636000000006"/>
  </r>
  <r>
    <x v="27"/>
    <s v="Công ty 59"/>
    <x v="3"/>
    <n v="95690909"/>
    <d v="2024-02-01T00:00:00"/>
    <x v="1"/>
    <x v="0"/>
    <s v="Bắc Trung Bộ"/>
    <x v="1"/>
    <x v="8"/>
    <n v="95.690909000000005"/>
  </r>
  <r>
    <x v="42"/>
    <s v="Công ty 84"/>
    <x v="0"/>
    <n v="31820909"/>
    <d v="2024-02-01T00:00:00"/>
    <x v="1"/>
    <x v="0"/>
    <s v="Tây Bắc Bộ"/>
    <x v="1"/>
    <x v="1"/>
    <n v="31.820909"/>
  </r>
  <r>
    <x v="30"/>
    <s v="Công ty 92"/>
    <x v="3"/>
    <n v="41772727"/>
    <d v="2024-02-01T00:00:00"/>
    <x v="1"/>
    <x v="0"/>
    <s v="ĐB Sông Cửu Long"/>
    <x v="1"/>
    <x v="10"/>
    <n v="41.772727000000003"/>
  </r>
  <r>
    <x v="42"/>
    <s v="Công ty 10"/>
    <x v="3"/>
    <n v="64427273"/>
    <d v="2024-02-01T00:00:00"/>
    <x v="1"/>
    <x v="0"/>
    <s v="Tây Bắc Bộ"/>
    <x v="1"/>
    <x v="7"/>
    <n v="64.427273"/>
  </r>
  <r>
    <x v="27"/>
    <s v="Công ty 37"/>
    <x v="1"/>
    <n v="48718182"/>
    <d v="2024-02-01T00:00:00"/>
    <x v="1"/>
    <x v="0"/>
    <s v="Bắc Trung Bộ"/>
    <x v="1"/>
    <x v="13"/>
    <n v="48.718181999999999"/>
  </r>
  <r>
    <x v="42"/>
    <s v="Công ty 63"/>
    <x v="4"/>
    <n v="10690909"/>
    <d v="2024-02-01T00:00:00"/>
    <x v="1"/>
    <x v="0"/>
    <s v="Tây Bắc Bộ"/>
    <x v="1"/>
    <x v="9"/>
    <n v="10.690909"/>
  </r>
  <r>
    <x v="34"/>
    <s v="Công ty 64"/>
    <x v="3"/>
    <n v="15100000"/>
    <d v="2024-02-01T00:00:00"/>
    <x v="1"/>
    <x v="0"/>
    <s v="Tây Bắc Bộ"/>
    <x v="1"/>
    <x v="7"/>
    <n v="15.1"/>
  </r>
  <r>
    <x v="34"/>
    <s v="Công ty 67"/>
    <x v="4"/>
    <n v="71272727"/>
    <d v="2024-02-01T00:00:00"/>
    <x v="1"/>
    <x v="0"/>
    <s v="Tây Bắc Bộ"/>
    <x v="1"/>
    <x v="9"/>
    <n v="71.272727000000003"/>
  </r>
  <r>
    <x v="14"/>
    <s v="Công ty 72"/>
    <x v="1"/>
    <n v="22590000"/>
    <d v="2024-02-01T00:00:00"/>
    <x v="1"/>
    <x v="0"/>
    <s v="ĐB Sông Hồng"/>
    <x v="1"/>
    <x v="2"/>
    <n v="22.59"/>
  </r>
  <r>
    <x v="1"/>
    <s v="Công ty 75"/>
    <x v="0"/>
    <n v="14061863"/>
    <d v="2024-02-01T00:00:00"/>
    <x v="1"/>
    <x v="0"/>
    <s v="Duyên hải Nam Trung Bộ"/>
    <x v="1"/>
    <x v="0"/>
    <n v="14.061863000000001"/>
  </r>
  <r>
    <x v="10"/>
    <s v="Công ty 82"/>
    <x v="2"/>
    <n v="62101165"/>
    <d v="2024-02-01T00:00:00"/>
    <x v="1"/>
    <x v="0"/>
    <s v="Duyên hải Nam Trung Bộ"/>
    <x v="1"/>
    <x v="4"/>
    <n v="62.101165000000002"/>
  </r>
  <r>
    <x v="26"/>
    <s v="Công ty 83"/>
    <x v="2"/>
    <n v="3823086532"/>
    <d v="2024-02-01T00:00:00"/>
    <x v="1"/>
    <x v="0"/>
    <s v="Đông Nam Bộ"/>
    <x v="1"/>
    <x v="2"/>
    <n v="3823.0865319999998"/>
  </r>
  <r>
    <x v="47"/>
    <s v="Công ty 93"/>
    <x v="1"/>
    <n v="127820430"/>
    <d v="2024-02-01T00:00:00"/>
    <x v="1"/>
    <x v="0"/>
    <s v="Đông Bắc Bộ"/>
    <x v="1"/>
    <x v="2"/>
    <n v="127.82043"/>
  </r>
  <r>
    <x v="38"/>
    <s v="Công ty 95"/>
    <x v="1"/>
    <n v="148409091"/>
    <d v="2024-02-01T00:00:00"/>
    <x v="1"/>
    <x v="0"/>
    <s v="Tây Nguyên"/>
    <x v="1"/>
    <x v="2"/>
    <n v="148.40909099999999"/>
  </r>
  <r>
    <x v="47"/>
    <s v="Công ty 95"/>
    <x v="0"/>
    <n v="38300000"/>
    <d v="2024-02-01T00:00:00"/>
    <x v="1"/>
    <x v="0"/>
    <s v="Đông Bắc Bộ"/>
    <x v="1"/>
    <x v="0"/>
    <n v="38.299999999999997"/>
  </r>
  <r>
    <x v="31"/>
    <s v="Doanh nghiệp 10"/>
    <x v="0"/>
    <n v="32701000"/>
    <d v="2024-02-01T00:00:00"/>
    <x v="1"/>
    <x v="0"/>
    <s v="Tây Nguyên"/>
    <x v="1"/>
    <x v="1"/>
    <n v="32.701000000000001"/>
  </r>
  <r>
    <x v="29"/>
    <s v="Doanh nghiệp 13"/>
    <x v="0"/>
    <n v="37034181"/>
    <d v="2024-02-01T00:00:00"/>
    <x v="1"/>
    <x v="0"/>
    <s v="ĐB Sông Cửu Long"/>
    <x v="1"/>
    <x v="1"/>
    <n v="37.034180999999997"/>
  </r>
  <r>
    <x v="19"/>
    <s v="Doanh nghiệp 16"/>
    <x v="1"/>
    <n v="146136364"/>
    <d v="2024-02-01T00:00:00"/>
    <x v="1"/>
    <x v="0"/>
    <s v="Duyên hải Nam Trung Bộ"/>
    <x v="1"/>
    <x v="13"/>
    <n v="146.13636399999999"/>
  </r>
  <r>
    <x v="41"/>
    <s v="Doanh nghiệp 18"/>
    <x v="0"/>
    <n v="12309091"/>
    <d v="2024-02-01T00:00:00"/>
    <x v="1"/>
    <x v="0"/>
    <s v="Đông Bắc Bộ"/>
    <x v="1"/>
    <x v="1"/>
    <n v="12.309091"/>
  </r>
  <r>
    <x v="32"/>
    <s v="Doanh nghiệp 24"/>
    <x v="1"/>
    <n v="36254545"/>
    <d v="2024-02-01T00:00:00"/>
    <x v="1"/>
    <x v="0"/>
    <s v="ĐB Sông Cửu Long"/>
    <x v="1"/>
    <x v="11"/>
    <n v="36.254545"/>
  </r>
  <r>
    <x v="40"/>
    <s v="Doanh nghiệp 5"/>
    <x v="1"/>
    <n v="86347451"/>
    <d v="2024-02-01T00:00:00"/>
    <x v="1"/>
    <x v="0"/>
    <s v="ĐB Sông Cửu Long"/>
    <x v="1"/>
    <x v="2"/>
    <n v="86.347451000000007"/>
  </r>
  <r>
    <x v="33"/>
    <s v="Doanh nghiệp 25"/>
    <x v="2"/>
    <n v="104376364"/>
    <d v="2024-02-01T00:00:00"/>
    <x v="1"/>
    <x v="0"/>
    <s v="Đông Bắc Bộ"/>
    <x v="1"/>
    <x v="5"/>
    <n v="104.376364"/>
  </r>
  <r>
    <x v="9"/>
    <s v="Doanh nghiệp 13"/>
    <x v="2"/>
    <n v="69818182"/>
    <d v="2024-02-01T00:00:00"/>
    <x v="1"/>
    <x v="0"/>
    <s v="Duyên hải Nam Trung Bộ"/>
    <x v="1"/>
    <x v="9"/>
    <n v="69.818181999999993"/>
  </r>
  <r>
    <x v="2"/>
    <s v="Doanh nghiệp 12"/>
    <x v="3"/>
    <n v="123518182"/>
    <d v="2024-02-01T00:00:00"/>
    <x v="1"/>
    <x v="0"/>
    <s v="ĐB Sông Cửu Long"/>
    <x v="1"/>
    <x v="7"/>
    <n v="123.518182"/>
  </r>
  <r>
    <x v="14"/>
    <s v="Doanh nghiệp 23"/>
    <x v="3"/>
    <n v="89500000"/>
    <d v="2024-02-01T00:00:00"/>
    <x v="1"/>
    <x v="0"/>
    <s v="ĐB Sông Hồng"/>
    <x v="1"/>
    <x v="8"/>
    <n v="89.5"/>
  </r>
  <r>
    <x v="2"/>
    <s v="Doanh nghiệp 18"/>
    <x v="0"/>
    <n v="29221360"/>
    <d v="2024-02-01T00:00:00"/>
    <x v="1"/>
    <x v="0"/>
    <s v="ĐB Sông Cửu Long"/>
    <x v="1"/>
    <x v="0"/>
    <n v="29.221360000000001"/>
  </r>
  <r>
    <x v="32"/>
    <s v="Tập đoàn 6"/>
    <x v="0"/>
    <n v="106624618"/>
    <d v="2024-02-01T00:00:00"/>
    <x v="1"/>
    <x v="0"/>
    <s v="ĐB Sông Cửu Long"/>
    <x v="1"/>
    <x v="1"/>
    <n v="106.624618"/>
  </r>
  <r>
    <x v="35"/>
    <s v="Tập đoàn 31"/>
    <x v="1"/>
    <n v="1150000000"/>
    <d v="2024-02-01T00:00:00"/>
    <x v="1"/>
    <x v="0"/>
    <s v="Đông Bắc Bộ"/>
    <x v="1"/>
    <x v="11"/>
    <n v="1150"/>
  </r>
  <r>
    <x v="0"/>
    <s v="Tập đoàn 80"/>
    <x v="2"/>
    <n v="17672727"/>
    <d v="2024-02-01T00:00:00"/>
    <x v="1"/>
    <x v="0"/>
    <s v="Bắc Trung Bộ"/>
    <x v="1"/>
    <x v="13"/>
    <n v="17.672726999999998"/>
  </r>
  <r>
    <x v="6"/>
    <s v="Tập đoàn 83"/>
    <x v="1"/>
    <n v="58810909"/>
    <d v="2024-02-01T00:00:00"/>
    <x v="1"/>
    <x v="0"/>
    <s v="Đông Bắc Bộ"/>
    <x v="1"/>
    <x v="4"/>
    <n v="58.810909000000002"/>
  </r>
  <r>
    <x v="13"/>
    <s v="Tập đoàn 94"/>
    <x v="1"/>
    <n v="42306364"/>
    <d v="2024-02-01T00:00:00"/>
    <x v="1"/>
    <x v="0"/>
    <s v="Tây Bắc Bộ"/>
    <x v="1"/>
    <x v="13"/>
    <n v="42.306364000000002"/>
  </r>
  <r>
    <x v="56"/>
    <s v="BỘ CHỈ HUY BỘ ĐỘI BIÊN PHÒNG TỈNH CÀ MAU"/>
    <x v="2"/>
    <n v="52320182"/>
    <d v="2024-02-01T00:00:00"/>
    <x v="1"/>
    <x v="0"/>
    <s v="ĐB Sông Cửu Long"/>
    <x v="2"/>
    <x v="0"/>
    <n v="52.320182000000003"/>
  </r>
  <r>
    <x v="28"/>
    <s v="CÔNG AN HUYỆN NINH GIANG"/>
    <x v="2"/>
    <n v="41137425"/>
    <d v="2024-02-01T00:00:00"/>
    <x v="1"/>
    <x v="0"/>
    <s v="ĐB Sông Hồng"/>
    <x v="2"/>
    <x v="1"/>
    <n v="41.137425"/>
  </r>
  <r>
    <x v="13"/>
    <s v="CÔNG AN XÃ HỒNG CA"/>
    <x v="0"/>
    <n v="6758182"/>
    <d v="2024-02-01T00:00:00"/>
    <x v="1"/>
    <x v="0"/>
    <s v="Tây Bắc Bộ"/>
    <x v="2"/>
    <x v="1"/>
    <n v="6.7581819999999997"/>
  </r>
  <r>
    <x v="14"/>
    <s v="Cục Công Nghệ Thông Tin - Bộ Công An"/>
    <x v="3"/>
    <n v="75090909"/>
    <d v="2024-02-01T00:00:00"/>
    <x v="1"/>
    <x v="0"/>
    <s v="ĐB Sông Hồng"/>
    <x v="2"/>
    <x v="7"/>
    <n v="75.090908999999996"/>
  </r>
  <r>
    <x v="56"/>
    <s v="ĐOÀN THANH NIÊN XÃ HÒA TÂN"/>
    <x v="1"/>
    <n v="65609091"/>
    <d v="2024-02-01T00:00:00"/>
    <x v="1"/>
    <x v="0"/>
    <s v="ĐB Sông Cửu Long"/>
    <x v="2"/>
    <x v="4"/>
    <n v="65.609091000000006"/>
  </r>
  <r>
    <x v="14"/>
    <s v="Công ty 21"/>
    <x v="0"/>
    <n v="18180000"/>
    <d v="2024-02-01T00:00:00"/>
    <x v="1"/>
    <x v="0"/>
    <s v="ĐB Sông Hồng"/>
    <x v="1"/>
    <x v="0"/>
    <n v="18.18"/>
  </r>
  <r>
    <x v="20"/>
    <s v="PHÒNG GIÁO DỤC &amp; ĐÀO TẠO HUYỆN HÀM TÂN"/>
    <x v="0"/>
    <n v="40090909"/>
    <d v="2024-02-01T00:00:00"/>
    <x v="1"/>
    <x v="0"/>
    <s v="Duyên hải Nam Trung Bộ"/>
    <x v="2"/>
    <x v="5"/>
    <n v="40.090909000000003"/>
  </r>
  <r>
    <x v="15"/>
    <s v="PHÒNG TÀI CHÍNH KẾ HOẠCH"/>
    <x v="2"/>
    <n v="8181818"/>
    <d v="2024-02-01T00:00:00"/>
    <x v="1"/>
    <x v="0"/>
    <s v="Duyên hải Nam Trung Bộ"/>
    <x v="2"/>
    <x v="0"/>
    <n v="8.1818179999999998"/>
  </r>
  <r>
    <x v="20"/>
    <s v="PHÒNG VĂN HOÁ &amp; THÔNG TIN HUYỆN HÀM TÂN"/>
    <x v="1"/>
    <n v="30363636"/>
    <d v="2024-02-01T00:00:00"/>
    <x v="1"/>
    <x v="0"/>
    <s v="Duyên hải Nam Trung Bộ"/>
    <x v="2"/>
    <x v="2"/>
    <n v="30.363636"/>
  </r>
  <r>
    <x v="30"/>
    <s v="TRUNG TÂM TƯ VẤN VÀ KIỂM ĐỊNH XÂY DỰNG AG"/>
    <x v="0"/>
    <n v="18885455"/>
    <d v="2024-02-01T00:00:00"/>
    <x v="1"/>
    <x v="0"/>
    <s v="ĐB Sông Cửu Long"/>
    <x v="2"/>
    <x v="1"/>
    <n v="18.885455"/>
  </r>
  <r>
    <x v="6"/>
    <s v="TRUNG TÂM Y TẾ HUYỆN HẠ HOÀ"/>
    <x v="2"/>
    <n v="63920000"/>
    <d v="2024-02-01T00:00:00"/>
    <x v="1"/>
    <x v="0"/>
    <s v="Đông Bắc Bộ"/>
    <x v="2"/>
    <x v="2"/>
    <n v="63.92"/>
  </r>
  <r>
    <x v="44"/>
    <s v="UBND THỊ TRẤN HÀ TRUNG"/>
    <x v="0"/>
    <n v="36236364"/>
    <d v="2024-02-01T00:00:00"/>
    <x v="1"/>
    <x v="0"/>
    <s v="Bắc Trung Bộ"/>
    <x v="2"/>
    <x v="1"/>
    <n v="36.236364000000002"/>
  </r>
  <r>
    <x v="22"/>
    <s v="UBND THỊ TRẤN PHONG ĐIỀN"/>
    <x v="0"/>
    <n v="79090909"/>
    <d v="2024-02-01T00:00:00"/>
    <x v="1"/>
    <x v="0"/>
    <s v="Bắc Trung Bộ"/>
    <x v="2"/>
    <x v="5"/>
    <n v="79.090908999999996"/>
  </r>
  <r>
    <x v="10"/>
    <s v="UBND XÃ BÌNH CHÁNH"/>
    <x v="4"/>
    <n v="73150000"/>
    <d v="2024-02-01T00:00:00"/>
    <x v="1"/>
    <x v="0"/>
    <s v="Duyên hải Nam Trung Bộ"/>
    <x v="2"/>
    <x v="9"/>
    <n v="73.150000000000006"/>
  </r>
  <r>
    <x v="27"/>
    <s v="UBND XÃ CẨM THÀNH"/>
    <x v="2"/>
    <n v="144327273"/>
    <d v="2024-02-01T00:00:00"/>
    <x v="1"/>
    <x v="0"/>
    <s v="Bắc Trung Bộ"/>
    <x v="2"/>
    <x v="1"/>
    <n v="144.32727299999999"/>
  </r>
  <r>
    <x v="38"/>
    <s v="UBND XÃ CHƯ GU"/>
    <x v="0"/>
    <n v="17350000"/>
    <d v="2024-02-01T00:00:00"/>
    <x v="1"/>
    <x v="0"/>
    <s v="Tây Nguyên"/>
    <x v="2"/>
    <x v="1"/>
    <n v="17.350000000000001"/>
  </r>
  <r>
    <x v="0"/>
    <s v="UBND XÃ DIỄN ĐỒNG"/>
    <x v="0"/>
    <n v="153554545"/>
    <d v="2024-02-01T00:00:00"/>
    <x v="1"/>
    <x v="0"/>
    <s v="Bắc Trung Bộ"/>
    <x v="2"/>
    <x v="1"/>
    <n v="153.55454499999999"/>
  </r>
  <r>
    <x v="22"/>
    <s v="UBND XÃ ĐIỀN LỘC"/>
    <x v="0"/>
    <n v="79090909"/>
    <d v="2024-02-01T00:00:00"/>
    <x v="1"/>
    <x v="0"/>
    <s v="Bắc Trung Bộ"/>
    <x v="2"/>
    <x v="5"/>
    <n v="79.090908999999996"/>
  </r>
  <r>
    <x v="17"/>
    <s v="UBND xã Hòa Thành"/>
    <x v="0"/>
    <n v="30909091"/>
    <d v="2024-02-01T00:00:00"/>
    <x v="1"/>
    <x v="0"/>
    <s v="Duyên hải Nam Trung Bộ"/>
    <x v="2"/>
    <x v="1"/>
    <n v="30.909091"/>
  </r>
  <r>
    <x v="38"/>
    <s v="UBND XÃ IA PUCH"/>
    <x v="0"/>
    <n v="5550000"/>
    <d v="2024-02-01T00:00:00"/>
    <x v="1"/>
    <x v="0"/>
    <s v="Tây Nguyên"/>
    <x v="2"/>
    <x v="0"/>
    <n v="5.55"/>
  </r>
  <r>
    <x v="22"/>
    <s v="UBND XÃ PHONG AN"/>
    <x v="0"/>
    <n v="79090909"/>
    <d v="2024-02-01T00:00:00"/>
    <x v="1"/>
    <x v="0"/>
    <s v="Bắc Trung Bộ"/>
    <x v="2"/>
    <x v="5"/>
    <n v="79.090908999999996"/>
  </r>
  <r>
    <x v="22"/>
    <s v="UBND XÃ PHONG HIỀN"/>
    <x v="0"/>
    <n v="79090909"/>
    <d v="2024-02-01T00:00:00"/>
    <x v="1"/>
    <x v="0"/>
    <s v="Bắc Trung Bộ"/>
    <x v="2"/>
    <x v="5"/>
    <n v="79.090908999999996"/>
  </r>
  <r>
    <x v="13"/>
    <s v="UBND XÃ PÚNG LUÔNG"/>
    <x v="2"/>
    <n v="9318182"/>
    <d v="2024-02-01T00:00:00"/>
    <x v="1"/>
    <x v="0"/>
    <s v="Tây Bắc Bộ"/>
    <x v="2"/>
    <x v="1"/>
    <n v="9.3181820000000002"/>
  </r>
  <r>
    <x v="6"/>
    <s v="UBND XÃ SÔNG LÔ"/>
    <x v="2"/>
    <n v="76941709"/>
    <d v="2024-02-01T00:00:00"/>
    <x v="1"/>
    <x v="0"/>
    <s v="Đông Bắc Bộ"/>
    <x v="2"/>
    <x v="1"/>
    <n v="76.941709000000003"/>
  </r>
  <r>
    <x v="47"/>
    <s v="UBND XÃ TÂN MỸ"/>
    <x v="0"/>
    <n v="42726818"/>
    <d v="2024-02-01T00:00:00"/>
    <x v="1"/>
    <x v="0"/>
    <s v="Đông Bắc Bộ"/>
    <x v="2"/>
    <x v="1"/>
    <n v="42.726818000000002"/>
  </r>
  <r>
    <x v="51"/>
    <s v="UBND xã Trực Khang"/>
    <x v="0"/>
    <n v="63861818"/>
    <d v="2024-02-01T00:00:00"/>
    <x v="1"/>
    <x v="0"/>
    <s v="ĐB Sông Hồng"/>
    <x v="2"/>
    <x v="14"/>
    <n v="63.861818"/>
  </r>
  <r>
    <x v="47"/>
    <s v="Ubnd Xã Trung Trực"/>
    <x v="4"/>
    <n v="15454545"/>
    <d v="2024-02-01T00:00:00"/>
    <x v="1"/>
    <x v="0"/>
    <s v="Đông Bắc Bộ"/>
    <x v="2"/>
    <x v="9"/>
    <n v="15.454545"/>
  </r>
  <r>
    <x v="35"/>
    <s v="UBND XÃ VÂN THỦY"/>
    <x v="0"/>
    <n v="7727273"/>
    <d v="2024-02-01T00:00:00"/>
    <x v="1"/>
    <x v="0"/>
    <s v="Đông Bắc Bộ"/>
    <x v="2"/>
    <x v="10"/>
    <n v="7.7272730000000003"/>
  </r>
  <r>
    <x v="44"/>
    <s v="ủy BAN MẶT TRẬN TỔ QUỐC THỊ TRẤN NGỌC LẶC"/>
    <x v="0"/>
    <n v="300032727"/>
    <d v="2024-02-01T00:00:00"/>
    <x v="1"/>
    <x v="0"/>
    <s v="Bắc Trung Bộ"/>
    <x v="2"/>
    <x v="1"/>
    <n v="300.03272700000002"/>
  </r>
  <r>
    <x v="6"/>
    <s v="Ủy ban nhân dân xã Cao Xá, huyện Lâm Thao"/>
    <x v="0"/>
    <n v="23859182"/>
    <d v="2024-02-01T00:00:00"/>
    <x v="1"/>
    <x v="0"/>
    <s v="Đông Bắc Bộ"/>
    <x v="2"/>
    <x v="1"/>
    <n v="23.859182000000001"/>
  </r>
  <r>
    <x v="43"/>
    <s v="UỶ BAN NHÂN DÂN XÃ TRÀ CỔ"/>
    <x v="4"/>
    <n v="701762487"/>
    <d v="2024-02-01T00:00:00"/>
    <x v="1"/>
    <x v="0"/>
    <s v="Đông Nam Bộ"/>
    <x v="2"/>
    <x v="9"/>
    <n v="701.76248699999996"/>
  </r>
  <r>
    <x v="0"/>
    <s v="VIỆN KIỂM SÁT NHÂN DÂN TỈNH NGHỆ AN"/>
    <x v="1"/>
    <n v="348054545"/>
    <d v="2024-02-01T00:00:00"/>
    <x v="1"/>
    <x v="0"/>
    <s v="Bắc Trung Bộ"/>
    <x v="2"/>
    <x v="2"/>
    <n v="348.05454500000002"/>
  </r>
  <r>
    <x v="22"/>
    <s v="HỌC VIỆN ÂM NHẠC HUẾ"/>
    <x v="2"/>
    <n v="27500000"/>
    <d v="2024-02-01T00:00:00"/>
    <x v="1"/>
    <x v="0"/>
    <s v="Bắc Trung Bộ"/>
    <x v="4"/>
    <x v="2"/>
    <n v="27.5"/>
  </r>
  <r>
    <x v="32"/>
    <s v="TRƯỜNG MẦM NON HOÀ AN"/>
    <x v="2"/>
    <n v="29772727"/>
    <d v="2024-02-01T00:00:00"/>
    <x v="1"/>
    <x v="0"/>
    <s v="ĐB Sông Cửu Long"/>
    <x v="4"/>
    <x v="15"/>
    <n v="29.772727"/>
  </r>
  <r>
    <x v="0"/>
    <s v="TRƯỜNG MẦM NON LÊ MAO"/>
    <x v="0"/>
    <n v="8231818"/>
    <d v="2024-02-01T00:00:00"/>
    <x v="1"/>
    <x v="0"/>
    <s v="Bắc Trung Bộ"/>
    <x v="4"/>
    <x v="0"/>
    <n v="8.2318180000000005"/>
  </r>
  <r>
    <x v="12"/>
    <s v="TRƯỜNG MẦM NON SAO SÁNG"/>
    <x v="0"/>
    <n v="16426000"/>
    <d v="2024-02-01T00:00:00"/>
    <x v="1"/>
    <x v="0"/>
    <s v="Tây Bắc Bộ"/>
    <x v="4"/>
    <x v="1"/>
    <n v="16.425999999999998"/>
  </r>
  <r>
    <x v="33"/>
    <s v="TRƯỜNG MẦM NON TAM HIỆP"/>
    <x v="0"/>
    <n v="25585000"/>
    <d v="2024-02-01T00:00:00"/>
    <x v="1"/>
    <x v="0"/>
    <s v="Đông Bắc Bộ"/>
    <x v="4"/>
    <x v="0"/>
    <n v="25.585000000000001"/>
  </r>
  <r>
    <x v="38"/>
    <s v="TRƯỜNG MẪU GIÁO BÌNH MINH"/>
    <x v="0"/>
    <n v="15032727"/>
    <d v="2024-02-01T00:00:00"/>
    <x v="1"/>
    <x v="0"/>
    <s v="Tây Nguyên"/>
    <x v="4"/>
    <x v="1"/>
    <n v="15.032727"/>
  </r>
  <r>
    <x v="52"/>
    <s v="Trường THCS Đại Phúc"/>
    <x v="2"/>
    <n v="19200000"/>
    <d v="2024-02-01T00:00:00"/>
    <x v="1"/>
    <x v="0"/>
    <s v="ĐB Sông Hồng"/>
    <x v="4"/>
    <x v="0"/>
    <n v="19.2"/>
  </r>
  <r>
    <x v="34"/>
    <s v="Trường THPT Chu Văn Thịnh"/>
    <x v="0"/>
    <n v="68707545"/>
    <d v="2024-02-01T00:00:00"/>
    <x v="1"/>
    <x v="0"/>
    <s v="Tây Bắc Bộ"/>
    <x v="4"/>
    <x v="1"/>
    <n v="68.707544999999996"/>
  </r>
  <r>
    <x v="16"/>
    <s v="TRƯỜNG TIỂU HỌC THANH NGUYÊN"/>
    <x v="0"/>
    <n v="417315455"/>
    <d v="2024-02-01T00:00:00"/>
    <x v="1"/>
    <x v="0"/>
    <s v="ĐB Sông Hồng"/>
    <x v="4"/>
    <x v="5"/>
    <n v="417.31545499999999"/>
  </r>
  <r>
    <x v="33"/>
    <s v="TRƯỜNG TIỂU HỌC THƯỜNG THẮNG"/>
    <x v="0"/>
    <n v="39410000"/>
    <d v="2024-02-01T00:00:00"/>
    <x v="1"/>
    <x v="0"/>
    <s v="Đông Bắc Bộ"/>
    <x v="4"/>
    <x v="0"/>
    <n v="39.409999999999997"/>
  </r>
  <r>
    <x v="6"/>
    <s v="TRƯỜNG TRUNG HỌC CƠ SỞ PHỤ KHÁNH"/>
    <x v="1"/>
    <n v="45450000"/>
    <d v="2024-02-01T00:00:00"/>
    <x v="1"/>
    <x v="0"/>
    <s v="Đông Bắc Bộ"/>
    <x v="4"/>
    <x v="13"/>
    <n v="45.45"/>
  </r>
  <r>
    <x v="32"/>
    <s v="TRƯỜNG TRUNG HỌC CƠ SỞ VÀ TRUNG HỌC PHỔ THÔNG HÒA BÌNH"/>
    <x v="0"/>
    <n v="24050000"/>
    <d v="2024-02-01T00:00:00"/>
    <x v="1"/>
    <x v="0"/>
    <s v="ĐB Sông Cửu Long"/>
    <x v="4"/>
    <x v="0"/>
    <n v="24.05"/>
  </r>
  <r>
    <x v="47"/>
    <s v="Bệnh Viện Phcn Hương Sen"/>
    <x v="0"/>
    <n v="45342909"/>
    <d v="2025-02-01T00:00:00"/>
    <x v="1"/>
    <x v="1"/>
    <s v="Đông Bắc Bộ"/>
    <x v="0"/>
    <x v="1"/>
    <n v="45.342908999999999"/>
  </r>
  <r>
    <x v="57"/>
    <s v="Bệnh Viện Thống Nhất"/>
    <x v="2"/>
    <n v="796363636"/>
    <d v="2025-02-01T00:00:00"/>
    <x v="1"/>
    <x v="1"/>
    <s v="ĐB Sông Cửu Long"/>
    <x v="0"/>
    <x v="0"/>
    <n v="796.36363600000004"/>
  </r>
  <r>
    <x v="24"/>
    <s v="Công ty 3"/>
    <x v="1"/>
    <n v="6760000000"/>
    <d v="2025-02-01T00:00:00"/>
    <x v="1"/>
    <x v="1"/>
    <s v="ĐB Sông Hồng"/>
    <x v="1"/>
    <x v="2"/>
    <n v="6760"/>
  </r>
  <r>
    <x v="5"/>
    <s v="Công ty 21"/>
    <x v="2"/>
    <n v="8836364"/>
    <d v="2025-02-01T00:00:00"/>
    <x v="1"/>
    <x v="1"/>
    <s v="Đông Nam Bộ"/>
    <x v="1"/>
    <x v="3"/>
    <n v="8.8363639999999997"/>
  </r>
  <r>
    <x v="5"/>
    <s v="Công ty 24"/>
    <x v="2"/>
    <n v="8836364"/>
    <d v="2025-02-01T00:00:00"/>
    <x v="1"/>
    <x v="1"/>
    <s v="Đông Nam Bộ"/>
    <x v="1"/>
    <x v="3"/>
    <n v="8.8363639999999997"/>
  </r>
  <r>
    <x v="5"/>
    <s v="Công ty 32"/>
    <x v="2"/>
    <n v="8836364"/>
    <d v="2025-02-01T00:00:00"/>
    <x v="1"/>
    <x v="1"/>
    <s v="Đông Nam Bộ"/>
    <x v="1"/>
    <x v="3"/>
    <n v="8.8363639999999997"/>
  </r>
  <r>
    <x v="14"/>
    <s v="Công ty 45"/>
    <x v="0"/>
    <n v="85400000"/>
    <d v="2025-02-01T00:00:00"/>
    <x v="1"/>
    <x v="1"/>
    <s v="ĐB Sông Hồng"/>
    <x v="1"/>
    <x v="5"/>
    <n v="85.4"/>
  </r>
  <r>
    <x v="59"/>
    <s v="Công ty 40"/>
    <x v="4"/>
    <n v="772826600"/>
    <d v="2025-02-01T00:00:00"/>
    <x v="1"/>
    <x v="1"/>
    <s v="ĐB Sông Hồng"/>
    <x v="1"/>
    <x v="3"/>
    <n v="772.82659999999998"/>
  </r>
  <r>
    <x v="41"/>
    <s v="Công ty 42"/>
    <x v="0"/>
    <n v="15972727"/>
    <d v="2025-02-01T00:00:00"/>
    <x v="1"/>
    <x v="1"/>
    <s v="Đông Bắc Bộ"/>
    <x v="1"/>
    <x v="5"/>
    <n v="15.972727000000001"/>
  </r>
  <r>
    <x v="5"/>
    <s v="Công ty 44"/>
    <x v="2"/>
    <n v="82885091"/>
    <d v="2025-02-01T00:00:00"/>
    <x v="1"/>
    <x v="1"/>
    <s v="Đông Nam Bộ"/>
    <x v="1"/>
    <x v="2"/>
    <n v="82.885091000000003"/>
  </r>
  <r>
    <x v="4"/>
    <s v="Công ty 46"/>
    <x v="1"/>
    <n v="80330255"/>
    <d v="2025-02-01T00:00:00"/>
    <x v="1"/>
    <x v="1"/>
    <s v="Đông Nam Bộ"/>
    <x v="1"/>
    <x v="13"/>
    <n v="80.330254999999994"/>
  </r>
  <r>
    <x v="4"/>
    <s v="Công ty 47"/>
    <x v="1"/>
    <n v="54215200"/>
    <d v="2025-02-01T00:00:00"/>
    <x v="1"/>
    <x v="1"/>
    <s v="Đông Nam Bộ"/>
    <x v="1"/>
    <x v="13"/>
    <n v="54.215200000000003"/>
  </r>
  <r>
    <x v="9"/>
    <s v="Công ty 68"/>
    <x v="0"/>
    <n v="411465486"/>
    <d v="2025-02-01T00:00:00"/>
    <x v="1"/>
    <x v="1"/>
    <s v="Duyên hải Nam Trung Bộ"/>
    <x v="1"/>
    <x v="6"/>
    <n v="411.465486"/>
  </r>
  <r>
    <x v="14"/>
    <s v="Công ty 10"/>
    <x v="0"/>
    <n v="153250000"/>
    <d v="2025-02-01T00:00:00"/>
    <x v="1"/>
    <x v="1"/>
    <s v="ĐB Sông Hồng"/>
    <x v="1"/>
    <x v="5"/>
    <n v="153.25"/>
  </r>
  <r>
    <x v="9"/>
    <s v="Công ty 23"/>
    <x v="0"/>
    <n v="3976364"/>
    <d v="2025-02-01T00:00:00"/>
    <x v="1"/>
    <x v="1"/>
    <s v="Duyên hải Nam Trung Bộ"/>
    <x v="1"/>
    <x v="0"/>
    <n v="3.9763639999999998"/>
  </r>
  <r>
    <x v="59"/>
    <s v="Công ty 28"/>
    <x v="4"/>
    <n v="996658182"/>
    <d v="2025-02-01T00:00:00"/>
    <x v="1"/>
    <x v="1"/>
    <s v="ĐB Sông Hồng"/>
    <x v="1"/>
    <x v="3"/>
    <n v="996.65818200000001"/>
  </r>
  <r>
    <x v="41"/>
    <s v="Công ty 47"/>
    <x v="2"/>
    <n v="39272727"/>
    <d v="2025-02-01T00:00:00"/>
    <x v="1"/>
    <x v="1"/>
    <s v="Đông Bắc Bộ"/>
    <x v="1"/>
    <x v="14"/>
    <n v="39.272727000000003"/>
  </r>
  <r>
    <x v="61"/>
    <s v="Công ty 59"/>
    <x v="4"/>
    <n v="2371408660"/>
    <d v="2025-02-01T00:00:00"/>
    <x v="1"/>
    <x v="1"/>
    <s v="ĐB Sông Hồng"/>
    <x v="1"/>
    <x v="3"/>
    <n v="2371.4086600000001"/>
  </r>
  <r>
    <x v="38"/>
    <s v="Công ty 78"/>
    <x v="4"/>
    <n v="105440020"/>
    <d v="2025-02-01T00:00:00"/>
    <x v="1"/>
    <x v="1"/>
    <s v="Tây Nguyên"/>
    <x v="1"/>
    <x v="3"/>
    <n v="105.44002"/>
  </r>
  <r>
    <x v="44"/>
    <s v="Công ty 11"/>
    <x v="1"/>
    <n v="134818182"/>
    <d v="2025-02-01T00:00:00"/>
    <x v="1"/>
    <x v="1"/>
    <s v="Bắc Trung Bộ"/>
    <x v="1"/>
    <x v="11"/>
    <n v="134.81818200000001"/>
  </r>
  <r>
    <x v="23"/>
    <s v="Công ty 14"/>
    <x v="2"/>
    <n v="632474215"/>
    <d v="2025-02-01T00:00:00"/>
    <x v="1"/>
    <x v="1"/>
    <s v="Duyên hải Nam Trung Bộ"/>
    <x v="1"/>
    <x v="0"/>
    <n v="632.47421499999996"/>
  </r>
  <r>
    <x v="11"/>
    <s v="Công ty 57"/>
    <x v="4"/>
    <n v="8406703678"/>
    <d v="2025-02-01T00:00:00"/>
    <x v="1"/>
    <x v="1"/>
    <s v="Đông Nam Bộ"/>
    <x v="1"/>
    <x v="3"/>
    <n v="8406.7036779999999"/>
  </r>
  <r>
    <x v="26"/>
    <s v="Công ty 87"/>
    <x v="1"/>
    <n v="277272727"/>
    <d v="2025-02-01T00:00:00"/>
    <x v="1"/>
    <x v="1"/>
    <s v="Đông Nam Bộ"/>
    <x v="1"/>
    <x v="4"/>
    <n v="277.27272699999997"/>
  </r>
  <r>
    <x v="28"/>
    <s v="Công ty 21"/>
    <x v="3"/>
    <n v="60327273"/>
    <d v="2025-02-01T00:00:00"/>
    <x v="1"/>
    <x v="1"/>
    <s v="ĐB Sông Hồng"/>
    <x v="1"/>
    <x v="7"/>
    <n v="60.327272999999998"/>
  </r>
  <r>
    <x v="58"/>
    <s v="Công ty 25"/>
    <x v="2"/>
    <n v="95150000"/>
    <d v="2025-02-01T00:00:00"/>
    <x v="1"/>
    <x v="1"/>
    <s v="Tây Nguyên"/>
    <x v="1"/>
    <x v="2"/>
    <n v="95.15"/>
  </r>
  <r>
    <x v="33"/>
    <s v="Công ty 56"/>
    <x v="2"/>
    <n v="34583500"/>
    <d v="2025-02-01T00:00:00"/>
    <x v="1"/>
    <x v="1"/>
    <s v="Đông Bắc Bộ"/>
    <x v="1"/>
    <x v="0"/>
    <n v="34.583500000000001"/>
  </r>
  <r>
    <x v="59"/>
    <s v="Công ty 84"/>
    <x v="2"/>
    <n v="1355435345"/>
    <d v="2025-02-01T00:00:00"/>
    <x v="1"/>
    <x v="1"/>
    <s v="ĐB Sông Hồng"/>
    <x v="1"/>
    <x v="3"/>
    <n v="1355.4353450000001"/>
  </r>
  <r>
    <x v="33"/>
    <s v="Công ty 99"/>
    <x v="5"/>
    <n v="707927468"/>
    <d v="2025-02-01T00:00:00"/>
    <x v="1"/>
    <x v="1"/>
    <s v="Đông Bắc Bộ"/>
    <x v="1"/>
    <x v="4"/>
    <n v="707.92746799999998"/>
  </r>
  <r>
    <x v="10"/>
    <s v="Công ty 45"/>
    <x v="5"/>
    <n v="3164641577"/>
    <d v="2025-02-01T00:00:00"/>
    <x v="1"/>
    <x v="1"/>
    <s v="Duyên hải Nam Trung Bộ"/>
    <x v="1"/>
    <x v="4"/>
    <n v="3164.6415769999999"/>
  </r>
  <r>
    <x v="34"/>
    <s v="Công ty 64"/>
    <x v="1"/>
    <n v="102877409"/>
    <d v="2025-02-01T00:00:00"/>
    <x v="1"/>
    <x v="1"/>
    <s v="Tây Bắc Bộ"/>
    <x v="1"/>
    <x v="13"/>
    <n v="102.877409"/>
  </r>
  <r>
    <x v="20"/>
    <s v="Công ty 20"/>
    <x v="0"/>
    <n v="23976700"/>
    <d v="2025-02-01T00:00:00"/>
    <x v="1"/>
    <x v="1"/>
    <s v="Duyên hải Nam Trung Bộ"/>
    <x v="1"/>
    <x v="1"/>
    <n v="23.976700000000001"/>
  </r>
  <r>
    <x v="62"/>
    <s v="Công ty 77"/>
    <x v="0"/>
    <n v="284185128"/>
    <d v="2025-02-01T00:00:00"/>
    <x v="1"/>
    <x v="1"/>
    <s v="Bắc Trung Bộ"/>
    <x v="1"/>
    <x v="1"/>
    <n v="284.18512800000002"/>
  </r>
  <r>
    <x v="7"/>
    <s v="Công ty 83"/>
    <x v="4"/>
    <n v="294558927"/>
    <d v="2025-02-01T00:00:00"/>
    <x v="1"/>
    <x v="1"/>
    <s v="Bắc Trung Bộ"/>
    <x v="1"/>
    <x v="3"/>
    <n v="294.55892699999998"/>
  </r>
  <r>
    <x v="16"/>
    <s v="Công ty 86"/>
    <x v="4"/>
    <n v="142950091"/>
    <d v="2025-02-01T00:00:00"/>
    <x v="1"/>
    <x v="1"/>
    <s v="ĐB Sông Hồng"/>
    <x v="1"/>
    <x v="3"/>
    <n v="142.95009099999999"/>
  </r>
  <r>
    <x v="42"/>
    <s v="Công ty 98"/>
    <x v="4"/>
    <n v="209756509"/>
    <d v="2025-02-01T00:00:00"/>
    <x v="1"/>
    <x v="1"/>
    <s v="Tây Bắc Bộ"/>
    <x v="1"/>
    <x v="9"/>
    <n v="209.75650899999999"/>
  </r>
  <r>
    <x v="29"/>
    <s v="Công ty 22"/>
    <x v="4"/>
    <n v="783056142"/>
    <d v="2025-02-01T00:00:00"/>
    <x v="1"/>
    <x v="1"/>
    <s v="ĐB Sông Cửu Long"/>
    <x v="1"/>
    <x v="3"/>
    <n v="783.05614200000002"/>
  </r>
  <r>
    <x v="31"/>
    <s v="Công ty 48"/>
    <x v="4"/>
    <n v="81818182"/>
    <d v="2025-02-01T00:00:00"/>
    <x v="1"/>
    <x v="1"/>
    <s v="Tây Nguyên"/>
    <x v="1"/>
    <x v="3"/>
    <n v="81.818181999999993"/>
  </r>
  <r>
    <x v="51"/>
    <s v="Công ty 68"/>
    <x v="4"/>
    <n v="6350000000"/>
    <d v="2025-02-01T00:00:00"/>
    <x v="1"/>
    <x v="1"/>
    <s v="ĐB Sông Hồng"/>
    <x v="1"/>
    <x v="3"/>
    <n v="6350"/>
  </r>
  <r>
    <x v="0"/>
    <s v="Công ty 30"/>
    <x v="0"/>
    <n v="8272727"/>
    <d v="2025-02-01T00:00:00"/>
    <x v="1"/>
    <x v="1"/>
    <s v="Bắc Trung Bộ"/>
    <x v="1"/>
    <x v="1"/>
    <n v="8.2727269999999997"/>
  </r>
  <r>
    <x v="5"/>
    <s v="Công ty 96"/>
    <x v="2"/>
    <n v="7272727"/>
    <d v="2025-02-01T00:00:00"/>
    <x v="1"/>
    <x v="1"/>
    <s v="Đông Nam Bộ"/>
    <x v="1"/>
    <x v="3"/>
    <n v="7.2727269999999997"/>
  </r>
  <r>
    <x v="5"/>
    <s v="Công ty 98"/>
    <x v="2"/>
    <n v="7272727"/>
    <d v="2025-02-01T00:00:00"/>
    <x v="1"/>
    <x v="1"/>
    <s v="Đông Nam Bộ"/>
    <x v="1"/>
    <x v="3"/>
    <n v="7.2727269999999997"/>
  </r>
  <r>
    <x v="5"/>
    <s v="Công ty 99"/>
    <x v="2"/>
    <n v="11143636"/>
    <d v="2025-02-01T00:00:00"/>
    <x v="1"/>
    <x v="1"/>
    <s v="Đông Nam Bộ"/>
    <x v="1"/>
    <x v="3"/>
    <n v="11.143636000000001"/>
  </r>
  <r>
    <x v="50"/>
    <s v="Công ty 16"/>
    <x v="4"/>
    <n v="205294416"/>
    <d v="2025-02-01T00:00:00"/>
    <x v="1"/>
    <x v="1"/>
    <s v="Tây Bắc Bộ"/>
    <x v="1"/>
    <x v="3"/>
    <n v="205.29441600000001"/>
  </r>
  <r>
    <x v="34"/>
    <s v="Công ty 30"/>
    <x v="1"/>
    <n v="52285227"/>
    <d v="2025-02-01T00:00:00"/>
    <x v="1"/>
    <x v="1"/>
    <s v="Tây Bắc Bộ"/>
    <x v="1"/>
    <x v="13"/>
    <n v="52.285226999999999"/>
  </r>
  <r>
    <x v="34"/>
    <s v="Công ty 31"/>
    <x v="1"/>
    <n v="65232045"/>
    <d v="2025-02-01T00:00:00"/>
    <x v="1"/>
    <x v="1"/>
    <s v="Tây Bắc Bộ"/>
    <x v="1"/>
    <x v="13"/>
    <n v="65.232044999999999"/>
  </r>
  <r>
    <x v="33"/>
    <s v="Công ty 59"/>
    <x v="4"/>
    <n v="470000000"/>
    <d v="2025-02-01T00:00:00"/>
    <x v="1"/>
    <x v="1"/>
    <s v="Đông Bắc Bộ"/>
    <x v="1"/>
    <x v="3"/>
    <n v="470"/>
  </r>
  <r>
    <x v="58"/>
    <s v="Công ty 79"/>
    <x v="4"/>
    <n v="257245673"/>
    <d v="2025-02-01T00:00:00"/>
    <x v="1"/>
    <x v="1"/>
    <s v="Tây Nguyên"/>
    <x v="1"/>
    <x v="3"/>
    <n v="257.24567300000001"/>
  </r>
  <r>
    <x v="0"/>
    <s v="Công ty 34"/>
    <x v="4"/>
    <n v="88165986"/>
    <d v="2025-02-01T00:00:00"/>
    <x v="1"/>
    <x v="1"/>
    <s v="Bắc Trung Bộ"/>
    <x v="1"/>
    <x v="3"/>
    <n v="88.165986000000004"/>
  </r>
  <r>
    <x v="12"/>
    <s v="Công ty 65"/>
    <x v="0"/>
    <n v="8720000"/>
    <d v="2025-02-01T00:00:00"/>
    <x v="1"/>
    <x v="1"/>
    <s v="Tây Bắc Bộ"/>
    <x v="1"/>
    <x v="1"/>
    <n v="8.7200000000000006"/>
  </r>
  <r>
    <x v="29"/>
    <s v="Công ty 70"/>
    <x v="4"/>
    <n v="40480000"/>
    <d v="2025-02-01T00:00:00"/>
    <x v="1"/>
    <x v="1"/>
    <s v="ĐB Sông Cửu Long"/>
    <x v="1"/>
    <x v="3"/>
    <n v="40.479999999999997"/>
  </r>
  <r>
    <x v="45"/>
    <s v="Công ty 78"/>
    <x v="4"/>
    <n v="86896364"/>
    <d v="2025-02-01T00:00:00"/>
    <x v="1"/>
    <x v="1"/>
    <s v="ĐB Sông Cửu Long"/>
    <x v="1"/>
    <x v="3"/>
    <n v="86.896364000000005"/>
  </r>
  <r>
    <x v="6"/>
    <s v="Công ty 1"/>
    <x v="1"/>
    <n v="304545455"/>
    <d v="2025-02-01T00:00:00"/>
    <x v="1"/>
    <x v="1"/>
    <s v="Đông Bắc Bộ"/>
    <x v="1"/>
    <x v="2"/>
    <n v="304.545455"/>
  </r>
  <r>
    <x v="18"/>
    <s v="Công ty 6"/>
    <x v="0"/>
    <n v="19363636"/>
    <d v="2025-02-01T00:00:00"/>
    <x v="1"/>
    <x v="1"/>
    <s v="Tây Nguyên"/>
    <x v="1"/>
    <x v="0"/>
    <n v="19.363636"/>
  </r>
  <r>
    <x v="45"/>
    <s v="Công ty 47"/>
    <x v="0"/>
    <n v="29790000"/>
    <d v="2025-02-01T00:00:00"/>
    <x v="1"/>
    <x v="1"/>
    <s v="ĐB Sông Cửu Long"/>
    <x v="1"/>
    <x v="1"/>
    <n v="29.79"/>
  </r>
  <r>
    <x v="59"/>
    <s v="Công ty 78"/>
    <x v="0"/>
    <n v="24350818"/>
    <d v="2025-02-01T00:00:00"/>
    <x v="1"/>
    <x v="1"/>
    <s v="ĐB Sông Hồng"/>
    <x v="1"/>
    <x v="1"/>
    <n v="24.350818"/>
  </r>
  <r>
    <x v="17"/>
    <s v="Công ty 91"/>
    <x v="0"/>
    <n v="59849091"/>
    <d v="2025-02-01T00:00:00"/>
    <x v="1"/>
    <x v="1"/>
    <s v="Duyên hải Nam Trung Bộ"/>
    <x v="1"/>
    <x v="0"/>
    <n v="59.849091000000001"/>
  </r>
  <r>
    <x v="48"/>
    <s v="Công ty 85"/>
    <x v="4"/>
    <n v="15661493372"/>
    <d v="2025-02-01T00:00:00"/>
    <x v="1"/>
    <x v="1"/>
    <s v="Đông Bắc Bộ"/>
    <x v="1"/>
    <x v="3"/>
    <n v="15661.493372000001"/>
  </r>
  <r>
    <x v="15"/>
    <s v="Công ty 86"/>
    <x v="4"/>
    <n v="195134182"/>
    <d v="2025-02-01T00:00:00"/>
    <x v="1"/>
    <x v="1"/>
    <s v="Duyên hải Nam Trung Bộ"/>
    <x v="1"/>
    <x v="3"/>
    <n v="195.13418200000001"/>
  </r>
  <r>
    <x v="38"/>
    <s v="Công ty 94"/>
    <x v="4"/>
    <n v="263006625"/>
    <d v="2025-02-01T00:00:00"/>
    <x v="1"/>
    <x v="1"/>
    <s v="Tây Nguyên"/>
    <x v="1"/>
    <x v="3"/>
    <n v="263.00662499999999"/>
  </r>
  <r>
    <x v="14"/>
    <s v="Công ty 94"/>
    <x v="0"/>
    <n v="153450000"/>
    <d v="2025-02-01T00:00:00"/>
    <x v="1"/>
    <x v="1"/>
    <s v="ĐB Sông Hồng"/>
    <x v="1"/>
    <x v="14"/>
    <n v="153.44999999999999"/>
  </r>
  <r>
    <x v="38"/>
    <s v="Công ty 94"/>
    <x v="4"/>
    <n v="1509442015"/>
    <d v="2025-02-01T00:00:00"/>
    <x v="1"/>
    <x v="1"/>
    <s v="Tây Nguyên"/>
    <x v="1"/>
    <x v="3"/>
    <n v="1509.4420150000001"/>
  </r>
  <r>
    <x v="50"/>
    <s v="Công ty 99"/>
    <x v="1"/>
    <n v="818181818"/>
    <d v="2025-02-01T00:00:00"/>
    <x v="1"/>
    <x v="1"/>
    <s v="Tây Bắc Bộ"/>
    <x v="1"/>
    <x v="11"/>
    <n v="818.18181800000002"/>
  </r>
  <r>
    <x v="15"/>
    <s v="Doanh nghiệp 27"/>
    <x v="4"/>
    <n v="337019091"/>
    <d v="2025-02-01T00:00:00"/>
    <x v="1"/>
    <x v="1"/>
    <s v="Duyên hải Nam Trung Bộ"/>
    <x v="1"/>
    <x v="3"/>
    <n v="337.019091"/>
  </r>
  <r>
    <x v="30"/>
    <s v="Doanh nghiệp 6"/>
    <x v="4"/>
    <n v="826813775"/>
    <d v="2025-02-01T00:00:00"/>
    <x v="1"/>
    <x v="1"/>
    <s v="ĐB Sông Cửu Long"/>
    <x v="1"/>
    <x v="3"/>
    <n v="826.81377499999996"/>
  </r>
  <r>
    <x v="38"/>
    <s v="Doanh nghiệp 15"/>
    <x v="4"/>
    <n v="99300000"/>
    <d v="2025-02-01T00:00:00"/>
    <x v="1"/>
    <x v="1"/>
    <s v="Tây Nguyên"/>
    <x v="1"/>
    <x v="3"/>
    <n v="99.3"/>
  </r>
  <r>
    <x v="26"/>
    <s v="Doanh nghiệp 8"/>
    <x v="1"/>
    <n v="733807509"/>
    <d v="2025-02-01T00:00:00"/>
    <x v="1"/>
    <x v="1"/>
    <s v="Đông Nam Bộ"/>
    <x v="1"/>
    <x v="2"/>
    <n v="733.80750899999998"/>
  </r>
  <r>
    <x v="44"/>
    <s v="Doanh nghiệp 9"/>
    <x v="0"/>
    <n v="218138655"/>
    <d v="2025-02-01T00:00:00"/>
    <x v="1"/>
    <x v="1"/>
    <s v="Bắc Trung Bộ"/>
    <x v="1"/>
    <x v="1"/>
    <n v="218.138655"/>
  </r>
  <r>
    <x v="2"/>
    <s v="Doanh nghiệp 16"/>
    <x v="0"/>
    <n v="148691818"/>
    <d v="2025-02-01T00:00:00"/>
    <x v="1"/>
    <x v="1"/>
    <s v="ĐB Sông Cửu Long"/>
    <x v="1"/>
    <x v="5"/>
    <n v="148.69181800000001"/>
  </r>
  <r>
    <x v="14"/>
    <s v="Doanh nghiệp 26"/>
    <x v="2"/>
    <n v="45099818"/>
    <d v="2025-02-01T00:00:00"/>
    <x v="1"/>
    <x v="1"/>
    <s v="ĐB Sông Hồng"/>
    <x v="1"/>
    <x v="13"/>
    <n v="45.099817999999999"/>
  </r>
  <r>
    <x v="14"/>
    <s v="Doanh nghiệp 27"/>
    <x v="2"/>
    <n v="45192109"/>
    <d v="2025-02-01T00:00:00"/>
    <x v="1"/>
    <x v="1"/>
    <s v="ĐB Sông Hồng"/>
    <x v="1"/>
    <x v="13"/>
    <n v="45.192109000000002"/>
  </r>
  <r>
    <x v="14"/>
    <s v="Doanh nghiệp 28"/>
    <x v="2"/>
    <n v="45249055"/>
    <d v="2025-02-01T00:00:00"/>
    <x v="1"/>
    <x v="1"/>
    <s v="ĐB Sông Hồng"/>
    <x v="1"/>
    <x v="13"/>
    <n v="45.249054999999998"/>
  </r>
  <r>
    <x v="38"/>
    <s v="Doanh nghiệp 15"/>
    <x v="4"/>
    <n v="15190000"/>
    <d v="2025-02-01T00:00:00"/>
    <x v="1"/>
    <x v="1"/>
    <s v="Tây Nguyên"/>
    <x v="1"/>
    <x v="9"/>
    <n v="15.19"/>
  </r>
  <r>
    <x v="0"/>
    <s v="Doanh nghiệp 22"/>
    <x v="3"/>
    <n v="45445455"/>
    <d v="2025-02-01T00:00:00"/>
    <x v="1"/>
    <x v="1"/>
    <s v="Bắc Trung Bộ"/>
    <x v="1"/>
    <x v="10"/>
    <n v="45.445455000000003"/>
  </r>
  <r>
    <x v="60"/>
    <s v="Tập đoàn 13"/>
    <x v="0"/>
    <n v="1046419056"/>
    <d v="2025-02-01T00:00:00"/>
    <x v="1"/>
    <x v="1"/>
    <s v="Đông Bắc Bộ"/>
    <x v="1"/>
    <x v="0"/>
    <n v="1046.419056"/>
  </r>
  <r>
    <x v="0"/>
    <s v="Tập đoàn 78"/>
    <x v="2"/>
    <n v="17672727"/>
    <d v="2025-02-01T00:00:00"/>
    <x v="1"/>
    <x v="1"/>
    <s v="Bắc Trung Bộ"/>
    <x v="1"/>
    <x v="13"/>
    <n v="17.672726999999998"/>
  </r>
  <r>
    <x v="3"/>
    <s v="Tập đoàn 91"/>
    <x v="0"/>
    <n v="29441500"/>
    <d v="2025-02-01T00:00:00"/>
    <x v="1"/>
    <x v="1"/>
    <s v="ĐB Sông Cửu Long"/>
    <x v="1"/>
    <x v="14"/>
    <n v="29.441500000000001"/>
  </r>
  <r>
    <x v="47"/>
    <s v="Tập đoàn 93"/>
    <x v="5"/>
    <n v="2000000000"/>
    <d v="2025-02-01T00:00:00"/>
    <x v="1"/>
    <x v="1"/>
    <s v="Đông Bắc Bộ"/>
    <x v="1"/>
    <x v="4"/>
    <n v="2000"/>
  </r>
  <r>
    <x v="13"/>
    <s v="Tập đoàn 91"/>
    <x v="0"/>
    <n v="17494545"/>
    <d v="2025-02-01T00:00:00"/>
    <x v="1"/>
    <x v="1"/>
    <s v="Tây Bắc Bộ"/>
    <x v="1"/>
    <x v="1"/>
    <n v="17.494544999999999"/>
  </r>
  <r>
    <x v="14"/>
    <s v="Tập đoàn 93"/>
    <x v="0"/>
    <n v="2362581200"/>
    <d v="2025-02-01T00:00:00"/>
    <x v="1"/>
    <x v="1"/>
    <s v="ĐB Sông Hồng"/>
    <x v="1"/>
    <x v="0"/>
    <n v="2362.5812000000001"/>
  </r>
  <r>
    <x v="53"/>
    <s v="Tập đoàn 91"/>
    <x v="0"/>
    <n v="298079091"/>
    <d v="2025-02-01T00:00:00"/>
    <x v="1"/>
    <x v="1"/>
    <s v="Đông Bắc Bộ"/>
    <x v="1"/>
    <x v="5"/>
    <n v="298.07909100000001"/>
  </r>
  <r>
    <x v="47"/>
    <s v="Tập đoàn 93"/>
    <x v="2"/>
    <n v="1546033636"/>
    <d v="2025-02-01T00:00:00"/>
    <x v="1"/>
    <x v="1"/>
    <s v="Đông Bắc Bộ"/>
    <x v="1"/>
    <x v="0"/>
    <n v="1546.0336359999999"/>
  </r>
  <r>
    <x v="55"/>
    <s v="Tập đoàn 94"/>
    <x v="3"/>
    <n v="4360219091"/>
    <d v="2025-02-01T00:00:00"/>
    <x v="1"/>
    <x v="1"/>
    <s v="ĐB Sông Hồng"/>
    <x v="1"/>
    <x v="18"/>
    <n v="4360.2190909999999"/>
  </r>
  <r>
    <x v="43"/>
    <s v="Tập đoàn 94"/>
    <x v="2"/>
    <n v="214116063"/>
    <d v="2025-02-01T00:00:00"/>
    <x v="1"/>
    <x v="1"/>
    <s v="Đông Nam Bộ"/>
    <x v="1"/>
    <x v="0"/>
    <n v="214.116063"/>
  </r>
  <r>
    <x v="43"/>
    <s v="Tập đoàn 91"/>
    <x v="2"/>
    <n v="373468518"/>
    <d v="2025-02-01T00:00:00"/>
    <x v="1"/>
    <x v="1"/>
    <s v="Đông Nam Bộ"/>
    <x v="1"/>
    <x v="0"/>
    <n v="373.46851800000002"/>
  </r>
  <r>
    <x v="53"/>
    <s v="Tập đoàn 93"/>
    <x v="4"/>
    <n v="16225455"/>
    <d v="2025-02-01T00:00:00"/>
    <x v="1"/>
    <x v="1"/>
    <s v="Đông Bắc Bộ"/>
    <x v="1"/>
    <x v="9"/>
    <n v="16.225455"/>
  </r>
  <r>
    <x v="18"/>
    <s v="Bộ Chỉ Huy Bộ Đội Biên Phòng Tỉnh Đăk Nông"/>
    <x v="1"/>
    <n v="1043636364"/>
    <d v="2025-02-01T00:00:00"/>
    <x v="1"/>
    <x v="1"/>
    <s v="Tây Nguyên"/>
    <x v="2"/>
    <x v="12"/>
    <n v="1043.636364"/>
  </r>
  <r>
    <x v="32"/>
    <s v="Bộ Chỉ Huy Quân Sự Tỉnh Đồng Tháp"/>
    <x v="0"/>
    <n v="45000000"/>
    <d v="2025-02-01T00:00:00"/>
    <x v="1"/>
    <x v="1"/>
    <s v="ĐB Sông Cửu Long"/>
    <x v="2"/>
    <x v="0"/>
    <n v="45"/>
  </r>
  <r>
    <x v="32"/>
    <s v="Bộ Chỉ Huy Quân Sự Tỉnh Đồng Tháp"/>
    <x v="0"/>
    <n v="31060000"/>
    <d v="2025-02-01T00:00:00"/>
    <x v="1"/>
    <x v="1"/>
    <s v="ĐB Sông Cửu Long"/>
    <x v="2"/>
    <x v="14"/>
    <n v="31.06"/>
  </r>
  <r>
    <x v="60"/>
    <s v="Công ty 36"/>
    <x v="5"/>
    <n v="1061457289"/>
    <d v="2025-02-01T00:00:00"/>
    <x v="1"/>
    <x v="1"/>
    <s v="Đông Bắc Bộ"/>
    <x v="1"/>
    <x v="4"/>
    <n v="1061.4572889999999"/>
  </r>
  <r>
    <x v="42"/>
    <s v="Công ty 93"/>
    <x v="4"/>
    <n v="107954545"/>
    <d v="2025-02-01T00:00:00"/>
    <x v="1"/>
    <x v="1"/>
    <s v="Tây Bắc Bộ"/>
    <x v="1"/>
    <x v="9"/>
    <n v="107.954545"/>
  </r>
  <r>
    <x v="42"/>
    <s v="Công ty 94"/>
    <x v="4"/>
    <n v="131818182"/>
    <d v="2025-02-01T00:00:00"/>
    <x v="1"/>
    <x v="1"/>
    <s v="Tây Bắc Bộ"/>
    <x v="1"/>
    <x v="9"/>
    <n v="131.81818200000001"/>
  </r>
  <r>
    <x v="42"/>
    <s v="Công ty 95"/>
    <x v="4"/>
    <n v="68952727"/>
    <d v="2025-02-01T00:00:00"/>
    <x v="1"/>
    <x v="1"/>
    <s v="Tây Bắc Bộ"/>
    <x v="1"/>
    <x v="9"/>
    <n v="68.952726999999996"/>
  </r>
  <r>
    <x v="29"/>
    <s v="Công An Huyện Gò Công Đông"/>
    <x v="0"/>
    <n v="44995000"/>
    <d v="2025-02-01T00:00:00"/>
    <x v="1"/>
    <x v="1"/>
    <s v="ĐB Sông Cửu Long"/>
    <x v="2"/>
    <x v="1"/>
    <n v="44.994999999999997"/>
  </r>
  <r>
    <x v="36"/>
    <s v="Công An Huyện Kim Sơn"/>
    <x v="0"/>
    <n v="484600909"/>
    <d v="2025-02-01T00:00:00"/>
    <x v="1"/>
    <x v="1"/>
    <s v="ĐB Sông Hồng"/>
    <x v="2"/>
    <x v="1"/>
    <n v="484.600909"/>
  </r>
  <r>
    <x v="60"/>
    <s v="CÔNG AN TỈNH LÀO CAI"/>
    <x v="1"/>
    <n v="1714723636"/>
    <d v="2025-02-01T00:00:00"/>
    <x v="1"/>
    <x v="1"/>
    <s v="Đông Bắc Bộ"/>
    <x v="2"/>
    <x v="11"/>
    <n v="1714.7236359999999"/>
  </r>
  <r>
    <x v="44"/>
    <s v="CÔNG AN TỈNH THANH HOÁ"/>
    <x v="0"/>
    <n v="87609091"/>
    <d v="2025-02-01T00:00:00"/>
    <x v="1"/>
    <x v="1"/>
    <s v="Bắc Trung Bộ"/>
    <x v="2"/>
    <x v="5"/>
    <n v="87.609091000000006"/>
  </r>
  <r>
    <x v="44"/>
    <s v="CÔNG AN TỈNH THANH HOÁ"/>
    <x v="0"/>
    <n v="90468182"/>
    <d v="2025-02-01T00:00:00"/>
    <x v="1"/>
    <x v="1"/>
    <s v="Bắc Trung Bộ"/>
    <x v="2"/>
    <x v="1"/>
    <n v="90.468181999999999"/>
  </r>
  <r>
    <x v="44"/>
    <s v="CÔNG AN TỈNH THANH HOÁ"/>
    <x v="0"/>
    <n v="90122727"/>
    <d v="2025-02-01T00:00:00"/>
    <x v="1"/>
    <x v="1"/>
    <s v="Bắc Trung Bộ"/>
    <x v="2"/>
    <x v="1"/>
    <n v="90.122726999999998"/>
  </r>
  <r>
    <x v="39"/>
    <s v="Công An Tỉnh Vĩnh Long"/>
    <x v="0"/>
    <n v="36192727"/>
    <d v="2025-02-01T00:00:00"/>
    <x v="1"/>
    <x v="1"/>
    <s v="ĐB Sông Cửu Long"/>
    <x v="2"/>
    <x v="1"/>
    <n v="36.192726999999998"/>
  </r>
  <r>
    <x v="31"/>
    <s v="Phòng Kinh Tế Và Hạ Tầng Huyện Eahleo"/>
    <x v="0"/>
    <n v="35516727"/>
    <d v="2025-02-01T00:00:00"/>
    <x v="1"/>
    <x v="1"/>
    <s v="Tây Nguyên"/>
    <x v="2"/>
    <x v="0"/>
    <n v="35.516727000000003"/>
  </r>
  <r>
    <x v="28"/>
    <s v="Quỹ Tín Dụng Nhân Dân Thanh Tùng"/>
    <x v="4"/>
    <n v="236121582"/>
    <d v="2025-02-01T00:00:00"/>
    <x v="1"/>
    <x v="1"/>
    <s v="ĐB Sông Hồng"/>
    <x v="2"/>
    <x v="3"/>
    <n v="236.12158199999999"/>
  </r>
  <r>
    <x v="41"/>
    <s v="UBND THỊ TRẤN BẢO LẠC"/>
    <x v="0"/>
    <n v="6806364"/>
    <d v="2025-02-01T00:00:00"/>
    <x v="1"/>
    <x v="1"/>
    <s v="Đông Bắc Bộ"/>
    <x v="2"/>
    <x v="5"/>
    <n v="6.8063640000000003"/>
  </r>
  <r>
    <x v="33"/>
    <s v="Ubnd Thị Trấn Cao Thượng"/>
    <x v="0"/>
    <n v="33100000"/>
    <d v="2025-02-01T00:00:00"/>
    <x v="1"/>
    <x v="1"/>
    <s v="Đông Bắc Bộ"/>
    <x v="2"/>
    <x v="0"/>
    <n v="33.1"/>
  </r>
  <r>
    <x v="41"/>
    <s v="UBND xã Bảo Toàn"/>
    <x v="3"/>
    <n v="42980909"/>
    <d v="2025-02-01T00:00:00"/>
    <x v="1"/>
    <x v="1"/>
    <s v="Đông Bắc Bộ"/>
    <x v="2"/>
    <x v="1"/>
    <n v="42.980908999999997"/>
  </r>
  <r>
    <x v="0"/>
    <s v="Ubnd Xã Châu Hoàn"/>
    <x v="3"/>
    <n v="45445455"/>
    <d v="2025-02-01T00:00:00"/>
    <x v="1"/>
    <x v="1"/>
    <s v="Bắc Trung Bộ"/>
    <x v="2"/>
    <x v="10"/>
    <n v="45.445455000000003"/>
  </r>
  <r>
    <x v="0"/>
    <s v="Ubnd Xã Châu Lộc"/>
    <x v="0"/>
    <n v="90818182"/>
    <d v="2025-02-01T00:00:00"/>
    <x v="1"/>
    <x v="1"/>
    <s v="Bắc Trung Bộ"/>
    <x v="2"/>
    <x v="5"/>
    <n v="90.818181999999993"/>
  </r>
  <r>
    <x v="0"/>
    <s v="Ubnd Xã Châu Nga"/>
    <x v="3"/>
    <n v="45445455"/>
    <d v="2025-02-01T00:00:00"/>
    <x v="1"/>
    <x v="1"/>
    <s v="Bắc Trung Bộ"/>
    <x v="2"/>
    <x v="10"/>
    <n v="45.445455000000003"/>
  </r>
  <r>
    <x v="0"/>
    <s v="Ubnd Xã Châu Thắng"/>
    <x v="3"/>
    <n v="45445455"/>
    <d v="2025-02-01T00:00:00"/>
    <x v="1"/>
    <x v="1"/>
    <s v="Bắc Trung Bộ"/>
    <x v="2"/>
    <x v="10"/>
    <n v="45.445455000000003"/>
  </r>
  <r>
    <x v="0"/>
    <s v="Ubnd Xã Châu Thuận"/>
    <x v="3"/>
    <n v="45445455"/>
    <d v="2025-02-01T00:00:00"/>
    <x v="1"/>
    <x v="1"/>
    <s v="Bắc Trung Bộ"/>
    <x v="2"/>
    <x v="10"/>
    <n v="45.445455000000003"/>
  </r>
  <r>
    <x v="0"/>
    <s v="Ubnd Xã Châu Thuận"/>
    <x v="3"/>
    <n v="45445455"/>
    <d v="2025-02-01T00:00:00"/>
    <x v="1"/>
    <x v="1"/>
    <s v="Bắc Trung Bộ"/>
    <x v="2"/>
    <x v="10"/>
    <n v="45.445455000000003"/>
  </r>
  <r>
    <x v="0"/>
    <s v="Ubnd Xã Châu Tiến"/>
    <x v="3"/>
    <n v="45445455"/>
    <d v="2025-02-01T00:00:00"/>
    <x v="1"/>
    <x v="1"/>
    <s v="Bắc Trung Bộ"/>
    <x v="2"/>
    <x v="10"/>
    <n v="45.445455000000003"/>
  </r>
  <r>
    <x v="41"/>
    <s v="UBND XÃ CÔ BA"/>
    <x v="3"/>
    <n v="38700000"/>
    <d v="2025-02-01T00:00:00"/>
    <x v="1"/>
    <x v="1"/>
    <s v="Đông Bắc Bộ"/>
    <x v="2"/>
    <x v="7"/>
    <n v="38.700000000000003"/>
  </r>
  <r>
    <x v="54"/>
    <s v="UBND XÃ CỐC LY"/>
    <x v="3"/>
    <n v="247520653"/>
    <d v="2025-02-01T00:00:00"/>
    <x v="1"/>
    <x v="1"/>
    <s v="Tây Bắc Bộ"/>
    <x v="2"/>
    <x v="13"/>
    <n v="247.52065300000001"/>
  </r>
  <r>
    <x v="41"/>
    <s v="UBND XÃ CỐC PÀNG"/>
    <x v="3"/>
    <n v="41863636"/>
    <d v="2025-02-01T00:00:00"/>
    <x v="1"/>
    <x v="1"/>
    <s v="Đông Bắc Bộ"/>
    <x v="2"/>
    <x v="7"/>
    <n v="41.863636"/>
  </r>
  <r>
    <x v="0"/>
    <s v="Ubnd Xã Diên Lãm"/>
    <x v="3"/>
    <n v="45445455"/>
    <d v="2025-02-01T00:00:00"/>
    <x v="1"/>
    <x v="1"/>
    <s v="Bắc Trung Bộ"/>
    <x v="2"/>
    <x v="10"/>
    <n v="45.445455000000003"/>
  </r>
  <r>
    <x v="41"/>
    <s v="Ubnd Xã Đức Quang"/>
    <x v="4"/>
    <n v="40909091"/>
    <d v="2025-02-01T00:00:00"/>
    <x v="1"/>
    <x v="1"/>
    <s v="Đông Bắc Bộ"/>
    <x v="2"/>
    <x v="9"/>
    <n v="40.909090999999997"/>
  </r>
  <r>
    <x v="41"/>
    <s v="Ubnd Xã Đức Quang"/>
    <x v="4"/>
    <n v="22727273"/>
    <d v="2025-02-01T00:00:00"/>
    <x v="1"/>
    <x v="1"/>
    <s v="Đông Bắc Bộ"/>
    <x v="2"/>
    <x v="9"/>
    <n v="22.727273"/>
  </r>
  <r>
    <x v="27"/>
    <s v="Ubnd Xã Hòa Hải"/>
    <x v="3"/>
    <n v="71545455"/>
    <d v="2025-02-01T00:00:00"/>
    <x v="1"/>
    <x v="1"/>
    <s v="Bắc Trung Bộ"/>
    <x v="2"/>
    <x v="7"/>
    <n v="71.545455000000004"/>
  </r>
  <r>
    <x v="41"/>
    <s v="UBND XÃ HỒNG AN"/>
    <x v="3"/>
    <n v="40763636"/>
    <d v="2025-02-01T00:00:00"/>
    <x v="1"/>
    <x v="1"/>
    <s v="Đông Bắc Bộ"/>
    <x v="2"/>
    <x v="7"/>
    <n v="40.763635999999998"/>
  </r>
  <r>
    <x v="41"/>
    <s v="UBND XÃ HỒNG TRỊ"/>
    <x v="3"/>
    <n v="41988182"/>
    <d v="2025-02-01T00:00:00"/>
    <x v="1"/>
    <x v="1"/>
    <s v="Đông Bắc Bộ"/>
    <x v="2"/>
    <x v="7"/>
    <n v="41.988182000000002"/>
  </r>
  <r>
    <x v="41"/>
    <s v="UBND XÃ HƯNG ĐẠO"/>
    <x v="3"/>
    <n v="41863636"/>
    <d v="2025-02-01T00:00:00"/>
    <x v="1"/>
    <x v="1"/>
    <s v="Đông Bắc Bộ"/>
    <x v="2"/>
    <x v="7"/>
    <n v="41.863636"/>
  </r>
  <r>
    <x v="41"/>
    <s v="UBND XÃ HƯNG THỊNH"/>
    <x v="0"/>
    <n v="13256364"/>
    <d v="2025-02-01T00:00:00"/>
    <x v="1"/>
    <x v="1"/>
    <s v="Đông Bắc Bộ"/>
    <x v="2"/>
    <x v="1"/>
    <n v="13.256364"/>
  </r>
  <r>
    <x v="41"/>
    <s v="UBND XÃ HUY GIÁP"/>
    <x v="0"/>
    <n v="13256364"/>
    <d v="2025-02-01T00:00:00"/>
    <x v="1"/>
    <x v="1"/>
    <s v="Đông Bắc Bộ"/>
    <x v="2"/>
    <x v="1"/>
    <n v="13.256364"/>
  </r>
  <r>
    <x v="41"/>
    <s v="UBND XÃ KHÁNH XUÂN"/>
    <x v="0"/>
    <n v="12388182"/>
    <d v="2025-02-01T00:00:00"/>
    <x v="1"/>
    <x v="1"/>
    <s v="Đông Bắc Bộ"/>
    <x v="2"/>
    <x v="5"/>
    <n v="12.388182"/>
  </r>
  <r>
    <x v="41"/>
    <s v="UBND XÃ KIM CÚC"/>
    <x v="0"/>
    <n v="13380909"/>
    <d v="2025-02-01T00:00:00"/>
    <x v="1"/>
    <x v="1"/>
    <s v="Đông Bắc Bộ"/>
    <x v="2"/>
    <x v="1"/>
    <n v="13.380909000000001"/>
  </r>
  <r>
    <x v="0"/>
    <s v="Ubnd Xã Liên Hợp"/>
    <x v="0"/>
    <n v="90818182"/>
    <d v="2025-02-01T00:00:00"/>
    <x v="1"/>
    <x v="1"/>
    <s v="Bắc Trung Bộ"/>
    <x v="2"/>
    <x v="5"/>
    <n v="90.818181999999993"/>
  </r>
  <r>
    <x v="33"/>
    <s v="Ubnd Xã Mão Điền"/>
    <x v="3"/>
    <n v="324654545"/>
    <d v="2025-02-01T00:00:00"/>
    <x v="1"/>
    <x v="1"/>
    <s v="Đông Bắc Bộ"/>
    <x v="2"/>
    <x v="7"/>
    <n v="324.65454499999998"/>
  </r>
  <r>
    <x v="41"/>
    <s v="UBND XÃ PHAN THANH"/>
    <x v="3"/>
    <n v="40888182"/>
    <d v="2025-02-01T00:00:00"/>
    <x v="1"/>
    <x v="1"/>
    <s v="Đông Bắc Bộ"/>
    <x v="2"/>
    <x v="7"/>
    <n v="40.888182"/>
  </r>
  <r>
    <x v="41"/>
    <s v="UBND xã Sơn Lộ"/>
    <x v="3"/>
    <n v="41988182"/>
    <d v="2025-02-01T00:00:00"/>
    <x v="1"/>
    <x v="1"/>
    <s v="Đông Bắc Bộ"/>
    <x v="2"/>
    <x v="7"/>
    <n v="41.988182000000002"/>
  </r>
  <r>
    <x v="41"/>
    <s v="UBND XÃ THƯỢNG HÀ"/>
    <x v="3"/>
    <n v="40888182"/>
    <d v="2025-02-01T00:00:00"/>
    <x v="1"/>
    <x v="1"/>
    <s v="Đông Bắc Bộ"/>
    <x v="2"/>
    <x v="7"/>
    <n v="40.888182"/>
  </r>
  <r>
    <x v="1"/>
    <s v="ỦY BAN NHÂN DÂN PHƯỜNG BỒNG SƠN"/>
    <x v="2"/>
    <n v="23890909"/>
    <d v="2025-02-01T00:00:00"/>
    <x v="1"/>
    <x v="1"/>
    <s v="Duyên hải Nam Trung Bộ"/>
    <x v="2"/>
    <x v="0"/>
    <n v="23.890909000000001"/>
  </r>
  <r>
    <x v="51"/>
    <s v="Ủy Ban Nhân Dân Xã Bạch Long"/>
    <x v="3"/>
    <n v="205000000"/>
    <d v="2025-02-01T00:00:00"/>
    <x v="1"/>
    <x v="1"/>
    <s v="ĐB Sông Hồng"/>
    <x v="2"/>
    <x v="7"/>
    <n v="205"/>
  </r>
  <r>
    <x v="0"/>
    <s v="UỶ BAN NHÂN DÂN XÃ CHÂU HỘI"/>
    <x v="3"/>
    <n v="45445455"/>
    <d v="2025-02-01T00:00:00"/>
    <x v="1"/>
    <x v="1"/>
    <s v="Bắc Trung Bộ"/>
    <x v="2"/>
    <x v="10"/>
    <n v="45.445455000000003"/>
  </r>
  <r>
    <x v="41"/>
    <s v="Ủy Ban Nhân Dân Xã Đình Phùng"/>
    <x v="0"/>
    <n v="6806364"/>
    <d v="2025-02-01T00:00:00"/>
    <x v="1"/>
    <x v="1"/>
    <s v="Đông Bắc Bộ"/>
    <x v="2"/>
    <x v="5"/>
    <n v="6.8063640000000003"/>
  </r>
  <r>
    <x v="25"/>
    <s v="Uỷ Ban Nhân Dân Xã Xuân Thọ"/>
    <x v="1"/>
    <n v="315681818"/>
    <d v="2025-02-01T00:00:00"/>
    <x v="1"/>
    <x v="1"/>
    <s v="Tây Nguyên"/>
    <x v="2"/>
    <x v="4"/>
    <n v="315.68181800000002"/>
  </r>
  <r>
    <x v="41"/>
    <s v="Ủy Ban Nhân Dân Xã Xuân Trường"/>
    <x v="3"/>
    <n v="41756364"/>
    <d v="2025-02-01T00:00:00"/>
    <x v="1"/>
    <x v="1"/>
    <s v="Đông Bắc Bộ"/>
    <x v="4"/>
    <x v="1"/>
    <n v="41.756363999999998"/>
  </r>
  <r>
    <x v="18"/>
    <s v="Trường Thcs Nguyễn Trãi"/>
    <x v="3"/>
    <n v="25480000"/>
    <d v="2025-02-01T00:00:00"/>
    <x v="1"/>
    <x v="1"/>
    <s v="Tây Nguyên"/>
    <x v="4"/>
    <x v="7"/>
    <n v="25.48"/>
  </r>
  <r>
    <x v="29"/>
    <s v="TRƯỜNG TIỂU HỌC B AN HỮU"/>
    <x v="0"/>
    <n v="8700175"/>
    <d v="2025-02-01T00:00:00"/>
    <x v="1"/>
    <x v="1"/>
    <s v="ĐB Sông Cửu Long"/>
    <x v="4"/>
    <x v="1"/>
    <n v="8.7001749999999998"/>
  </r>
  <r>
    <x v="25"/>
    <s v="TRƯỜNG TIỂU HỌC HÒA NAM"/>
    <x v="0"/>
    <n v="44846364"/>
    <d v="2025-02-01T00:00:00"/>
    <x v="1"/>
    <x v="1"/>
    <s v="Tây Nguyên"/>
    <x v="4"/>
    <x v="1"/>
    <n v="44.846364000000001"/>
  </r>
  <r>
    <x v="40"/>
    <s v="Trường Trung Cấp Pali-khmer"/>
    <x v="0"/>
    <n v="36682727"/>
    <d v="2025-02-01T00:00:00"/>
    <x v="1"/>
    <x v="1"/>
    <s v="ĐB Sông Cửu Long"/>
    <x v="4"/>
    <x v="0"/>
    <n v="36.682727"/>
  </r>
  <r>
    <x v="28"/>
    <s v="Trường Trung Học Cơ Sở Thanh Quang"/>
    <x v="0"/>
    <n v="30154545"/>
    <d v="2025-02-01T00:00:00"/>
    <x v="1"/>
    <x v="1"/>
    <s v="ĐB Sông Hồng"/>
    <x v="4"/>
    <x v="5"/>
    <n v="30.154544999999999"/>
  </r>
  <r>
    <x v="9"/>
    <s v="BỆNH VIỆN PHỤC HỒI CHỨC NĂNG THÀNH PHỐ ĐÀ NẴNG"/>
    <x v="2"/>
    <n v="8190909"/>
    <d v="2024-03-01T00:00:00"/>
    <x v="2"/>
    <x v="0"/>
    <s v="Duyên hải Nam Trung Bộ"/>
    <x v="0"/>
    <x v="13"/>
    <n v="8.1909089999999996"/>
  </r>
  <r>
    <x v="5"/>
    <s v="Công ty 95"/>
    <x v="2"/>
    <n v="38087405"/>
    <d v="2024-03-01T00:00:00"/>
    <x v="2"/>
    <x v="0"/>
    <s v="Đông Nam Bộ"/>
    <x v="1"/>
    <x v="3"/>
    <n v="38.087404999999997"/>
  </r>
  <r>
    <x v="5"/>
    <s v="Công ty 96"/>
    <x v="2"/>
    <n v="38087405"/>
    <d v="2024-03-01T00:00:00"/>
    <x v="2"/>
    <x v="0"/>
    <s v="Đông Nam Bộ"/>
    <x v="1"/>
    <x v="9"/>
    <n v="38.087404999999997"/>
  </r>
  <r>
    <x v="62"/>
    <s v="Công ty 16"/>
    <x v="4"/>
    <n v="212207430"/>
    <d v="2024-03-01T00:00:00"/>
    <x v="2"/>
    <x v="0"/>
    <s v="Bắc Trung Bộ"/>
    <x v="1"/>
    <x v="3"/>
    <n v="212.20742999999999"/>
  </r>
  <r>
    <x v="33"/>
    <s v="Công ty 40"/>
    <x v="0"/>
    <n v="222824000"/>
    <d v="2024-03-01T00:00:00"/>
    <x v="2"/>
    <x v="0"/>
    <s v="Đông Bắc Bộ"/>
    <x v="1"/>
    <x v="1"/>
    <n v="222.82400000000001"/>
  </r>
  <r>
    <x v="33"/>
    <s v="Công ty 41"/>
    <x v="0"/>
    <n v="163074000"/>
    <d v="2024-03-01T00:00:00"/>
    <x v="2"/>
    <x v="0"/>
    <s v="Đông Bắc Bộ"/>
    <x v="1"/>
    <x v="1"/>
    <n v="163.07400000000001"/>
  </r>
  <r>
    <x v="11"/>
    <s v="Công ty 43"/>
    <x v="2"/>
    <n v="25727564"/>
    <d v="2024-03-01T00:00:00"/>
    <x v="2"/>
    <x v="0"/>
    <s v="Đông Nam Bộ"/>
    <x v="1"/>
    <x v="3"/>
    <n v="25.727564000000001"/>
  </r>
  <r>
    <x v="22"/>
    <s v="Công ty 65"/>
    <x v="0"/>
    <n v="16555636"/>
    <d v="2024-03-01T00:00:00"/>
    <x v="2"/>
    <x v="0"/>
    <s v="Bắc Trung Bộ"/>
    <x v="1"/>
    <x v="1"/>
    <n v="16.555636"/>
  </r>
  <r>
    <x v="23"/>
    <s v="Công ty 4"/>
    <x v="2"/>
    <n v="44476364"/>
    <d v="2024-03-01T00:00:00"/>
    <x v="2"/>
    <x v="0"/>
    <s v="Duyên hải Nam Trung Bộ"/>
    <x v="1"/>
    <x v="1"/>
    <n v="44.476363999999997"/>
  </r>
  <r>
    <x v="5"/>
    <s v="Công ty 28"/>
    <x v="2"/>
    <n v="38087405"/>
    <d v="2024-03-01T00:00:00"/>
    <x v="2"/>
    <x v="0"/>
    <s v="Đông Nam Bộ"/>
    <x v="1"/>
    <x v="3"/>
    <n v="38.087404999999997"/>
  </r>
  <r>
    <x v="5"/>
    <s v="Công ty 29"/>
    <x v="2"/>
    <n v="38087405"/>
    <d v="2024-03-01T00:00:00"/>
    <x v="2"/>
    <x v="0"/>
    <s v="Đông Nam Bộ"/>
    <x v="1"/>
    <x v="3"/>
    <n v="38.087404999999997"/>
  </r>
  <r>
    <x v="6"/>
    <s v="Công ty 72"/>
    <x v="2"/>
    <n v="40319139"/>
    <d v="2024-03-01T00:00:00"/>
    <x v="2"/>
    <x v="0"/>
    <s v="Đông Bắc Bộ"/>
    <x v="1"/>
    <x v="4"/>
    <n v="40.319139"/>
  </r>
  <r>
    <x v="13"/>
    <s v="Công ty 28"/>
    <x v="0"/>
    <n v="53990000"/>
    <d v="2024-03-01T00:00:00"/>
    <x v="2"/>
    <x v="0"/>
    <s v="Tây Bắc Bộ"/>
    <x v="1"/>
    <x v="1"/>
    <n v="53.99"/>
  </r>
  <r>
    <x v="9"/>
    <s v="Công ty 42"/>
    <x v="4"/>
    <n v="5469545455"/>
    <d v="2024-03-01T00:00:00"/>
    <x v="2"/>
    <x v="0"/>
    <s v="Duyên hải Nam Trung Bộ"/>
    <x v="1"/>
    <x v="3"/>
    <n v="5469.5454550000004"/>
  </r>
  <r>
    <x v="14"/>
    <s v="Công ty 53"/>
    <x v="1"/>
    <n v="121890000"/>
    <d v="2024-03-01T00:00:00"/>
    <x v="2"/>
    <x v="0"/>
    <s v="ĐB Sông Hồng"/>
    <x v="1"/>
    <x v="13"/>
    <n v="121.89"/>
  </r>
  <r>
    <x v="16"/>
    <s v="Công ty 64"/>
    <x v="0"/>
    <n v="410909091"/>
    <d v="2024-03-01T00:00:00"/>
    <x v="2"/>
    <x v="0"/>
    <s v="ĐB Sông Hồng"/>
    <x v="1"/>
    <x v="1"/>
    <n v="410.90909099999999"/>
  </r>
  <r>
    <x v="0"/>
    <s v="Công ty 85"/>
    <x v="0"/>
    <n v="103166301"/>
    <d v="2024-03-01T00:00:00"/>
    <x v="2"/>
    <x v="0"/>
    <s v="Bắc Trung Bộ"/>
    <x v="1"/>
    <x v="1"/>
    <n v="103.166301"/>
  </r>
  <r>
    <x v="14"/>
    <s v="Công ty 86"/>
    <x v="4"/>
    <n v="166363636"/>
    <d v="2024-03-01T00:00:00"/>
    <x v="2"/>
    <x v="0"/>
    <s v="ĐB Sông Hồng"/>
    <x v="1"/>
    <x v="3"/>
    <n v="166.36363600000001"/>
  </r>
  <r>
    <x v="36"/>
    <s v="Công ty 92"/>
    <x v="0"/>
    <n v="11425636"/>
    <d v="2024-03-01T00:00:00"/>
    <x v="2"/>
    <x v="0"/>
    <s v="ĐB Sông Hồng"/>
    <x v="1"/>
    <x v="0"/>
    <n v="11.425636000000001"/>
  </r>
  <r>
    <x v="24"/>
    <s v="Công ty 23"/>
    <x v="0"/>
    <n v="30520000"/>
    <d v="2024-03-01T00:00:00"/>
    <x v="2"/>
    <x v="0"/>
    <s v="ĐB Sông Hồng"/>
    <x v="1"/>
    <x v="1"/>
    <n v="30.52"/>
  </r>
  <r>
    <x v="30"/>
    <s v="Công ty 25"/>
    <x v="0"/>
    <n v="37228182"/>
    <d v="2024-03-01T00:00:00"/>
    <x v="2"/>
    <x v="0"/>
    <s v="ĐB Sông Cửu Long"/>
    <x v="1"/>
    <x v="1"/>
    <n v="37.228181999999997"/>
  </r>
  <r>
    <x v="13"/>
    <s v="Công ty 62"/>
    <x v="0"/>
    <n v="32848182"/>
    <d v="2024-03-01T00:00:00"/>
    <x v="2"/>
    <x v="0"/>
    <s v="Tây Bắc Bộ"/>
    <x v="1"/>
    <x v="1"/>
    <n v="32.848182000000001"/>
  </r>
  <r>
    <x v="29"/>
    <s v="Công ty 7"/>
    <x v="4"/>
    <n v="136950000"/>
    <d v="2024-03-01T00:00:00"/>
    <x v="2"/>
    <x v="0"/>
    <s v="ĐB Sông Cửu Long"/>
    <x v="1"/>
    <x v="9"/>
    <n v="136.94999999999999"/>
  </r>
  <r>
    <x v="0"/>
    <s v="Công ty 9"/>
    <x v="0"/>
    <n v="38753874"/>
    <d v="2024-03-01T00:00:00"/>
    <x v="2"/>
    <x v="0"/>
    <s v="Bắc Trung Bộ"/>
    <x v="1"/>
    <x v="1"/>
    <n v="38.753874000000003"/>
  </r>
  <r>
    <x v="0"/>
    <s v="Công ty 10"/>
    <x v="0"/>
    <n v="122725117"/>
    <d v="2024-03-01T00:00:00"/>
    <x v="2"/>
    <x v="0"/>
    <s v="Bắc Trung Bộ"/>
    <x v="1"/>
    <x v="1"/>
    <n v="122.725117"/>
  </r>
  <r>
    <x v="0"/>
    <s v="Công ty 11"/>
    <x v="0"/>
    <n v="106071282"/>
    <d v="2024-03-01T00:00:00"/>
    <x v="2"/>
    <x v="0"/>
    <s v="Bắc Trung Bộ"/>
    <x v="1"/>
    <x v="1"/>
    <n v="106.071282"/>
  </r>
  <r>
    <x v="20"/>
    <s v="Công ty 19"/>
    <x v="0"/>
    <n v="31640000"/>
    <d v="2024-03-01T00:00:00"/>
    <x v="2"/>
    <x v="0"/>
    <s v="Duyên hải Nam Trung Bộ"/>
    <x v="1"/>
    <x v="1"/>
    <n v="31.64"/>
  </r>
  <r>
    <x v="5"/>
    <s v="Công ty 52"/>
    <x v="2"/>
    <n v="38087405"/>
    <d v="2024-03-01T00:00:00"/>
    <x v="2"/>
    <x v="0"/>
    <s v="Đông Nam Bộ"/>
    <x v="1"/>
    <x v="3"/>
    <n v="38.087404999999997"/>
  </r>
  <r>
    <x v="5"/>
    <s v="Công ty 53"/>
    <x v="2"/>
    <n v="38087405"/>
    <d v="2024-03-01T00:00:00"/>
    <x v="2"/>
    <x v="0"/>
    <s v="Đông Nam Bộ"/>
    <x v="1"/>
    <x v="3"/>
    <n v="38.087404999999997"/>
  </r>
  <r>
    <x v="21"/>
    <s v="Công ty 66"/>
    <x v="0"/>
    <n v="71610000"/>
    <d v="2024-03-01T00:00:00"/>
    <x v="2"/>
    <x v="0"/>
    <s v="Đông Bắc Bộ"/>
    <x v="1"/>
    <x v="1"/>
    <n v="71.61"/>
  </r>
  <r>
    <x v="0"/>
    <s v="Công ty 73"/>
    <x v="1"/>
    <n v="482618182"/>
    <d v="2024-03-01T00:00:00"/>
    <x v="2"/>
    <x v="0"/>
    <s v="Bắc Trung Bộ"/>
    <x v="1"/>
    <x v="12"/>
    <n v="482.61818199999999"/>
  </r>
  <r>
    <x v="27"/>
    <s v="Công ty 87"/>
    <x v="2"/>
    <n v="15231818"/>
    <d v="2024-03-01T00:00:00"/>
    <x v="2"/>
    <x v="0"/>
    <s v="Bắc Trung Bộ"/>
    <x v="1"/>
    <x v="1"/>
    <n v="15.231818000000001"/>
  </r>
  <r>
    <x v="34"/>
    <s v="Công ty 91"/>
    <x v="1"/>
    <n v="48665527"/>
    <d v="2024-03-01T00:00:00"/>
    <x v="2"/>
    <x v="0"/>
    <s v="Tây Bắc Bộ"/>
    <x v="1"/>
    <x v="13"/>
    <n v="48.665526999999997"/>
  </r>
  <r>
    <x v="22"/>
    <s v="Công ty 3"/>
    <x v="1"/>
    <n v="24994545"/>
    <d v="2024-03-01T00:00:00"/>
    <x v="2"/>
    <x v="0"/>
    <s v="Bắc Trung Bộ"/>
    <x v="1"/>
    <x v="2"/>
    <n v="24.994544999999999"/>
  </r>
  <r>
    <x v="5"/>
    <s v="Công ty 64"/>
    <x v="0"/>
    <n v="77093363"/>
    <d v="2024-03-01T00:00:00"/>
    <x v="2"/>
    <x v="0"/>
    <s v="Đông Nam Bộ"/>
    <x v="1"/>
    <x v="1"/>
    <n v="77.093362999999997"/>
  </r>
  <r>
    <x v="38"/>
    <s v="Công ty 92"/>
    <x v="4"/>
    <n v="106096364"/>
    <d v="2024-03-01T00:00:00"/>
    <x v="2"/>
    <x v="0"/>
    <s v="Tây Nguyên"/>
    <x v="1"/>
    <x v="9"/>
    <n v="106.09636399999999"/>
  </r>
  <r>
    <x v="30"/>
    <s v="Công ty 4"/>
    <x v="4"/>
    <n v="76818182"/>
    <d v="2024-03-01T00:00:00"/>
    <x v="2"/>
    <x v="0"/>
    <s v="ĐB Sông Cửu Long"/>
    <x v="1"/>
    <x v="9"/>
    <n v="76.818181999999993"/>
  </r>
  <r>
    <x v="30"/>
    <s v="Công ty 43"/>
    <x v="1"/>
    <n v="19818182"/>
    <d v="2024-03-01T00:00:00"/>
    <x v="2"/>
    <x v="0"/>
    <s v="ĐB Sông Cửu Long"/>
    <x v="1"/>
    <x v="2"/>
    <n v="19.818182"/>
  </r>
  <r>
    <x v="43"/>
    <s v="Công ty 50"/>
    <x v="0"/>
    <n v="928168691"/>
    <d v="2024-03-01T00:00:00"/>
    <x v="2"/>
    <x v="0"/>
    <s v="Đông Nam Bộ"/>
    <x v="1"/>
    <x v="1"/>
    <n v="928.16869099999997"/>
  </r>
  <r>
    <x v="39"/>
    <s v="Công ty 55"/>
    <x v="0"/>
    <n v="51632727"/>
    <d v="2024-03-01T00:00:00"/>
    <x v="2"/>
    <x v="0"/>
    <s v="ĐB Sông Cửu Long"/>
    <x v="1"/>
    <x v="1"/>
    <n v="51.632727000000003"/>
  </r>
  <r>
    <x v="39"/>
    <s v="Công ty 83"/>
    <x v="1"/>
    <n v="38636364"/>
    <d v="2024-03-01T00:00:00"/>
    <x v="2"/>
    <x v="0"/>
    <s v="ĐB Sông Cửu Long"/>
    <x v="1"/>
    <x v="2"/>
    <n v="38.636364"/>
  </r>
  <r>
    <x v="5"/>
    <s v="Công ty 2"/>
    <x v="2"/>
    <n v="38087405"/>
    <d v="2024-03-01T00:00:00"/>
    <x v="2"/>
    <x v="0"/>
    <s v="Đông Nam Bộ"/>
    <x v="1"/>
    <x v="9"/>
    <n v="38.087404999999997"/>
  </r>
  <r>
    <x v="36"/>
    <s v="Công ty 7"/>
    <x v="0"/>
    <n v="43698244"/>
    <d v="2024-03-01T00:00:00"/>
    <x v="2"/>
    <x v="0"/>
    <s v="ĐB Sông Hồng"/>
    <x v="1"/>
    <x v="1"/>
    <n v="43.698244000000003"/>
  </r>
  <r>
    <x v="29"/>
    <s v="Công ty 11"/>
    <x v="1"/>
    <n v="156186935"/>
    <d v="2024-03-01T00:00:00"/>
    <x v="2"/>
    <x v="0"/>
    <s v="ĐB Sông Cửu Long"/>
    <x v="1"/>
    <x v="10"/>
    <n v="156.18693500000001"/>
  </r>
  <r>
    <x v="29"/>
    <s v="Công ty 12"/>
    <x v="1"/>
    <n v="455214965"/>
    <d v="2024-03-01T00:00:00"/>
    <x v="2"/>
    <x v="0"/>
    <s v="ĐB Sông Cửu Long"/>
    <x v="1"/>
    <x v="2"/>
    <n v="455.21496500000001"/>
  </r>
  <r>
    <x v="29"/>
    <s v="Công ty 13"/>
    <x v="2"/>
    <n v="15909091"/>
    <d v="2024-03-01T00:00:00"/>
    <x v="2"/>
    <x v="0"/>
    <s v="ĐB Sông Cửu Long"/>
    <x v="1"/>
    <x v="2"/>
    <n v="15.909091"/>
  </r>
  <r>
    <x v="42"/>
    <s v="Công ty 63"/>
    <x v="1"/>
    <n v="49990909"/>
    <d v="2024-03-01T00:00:00"/>
    <x v="2"/>
    <x v="0"/>
    <s v="Tây Bắc Bộ"/>
    <x v="1"/>
    <x v="13"/>
    <n v="49.990909000000002"/>
  </r>
  <r>
    <x v="30"/>
    <s v="Công ty 81"/>
    <x v="1"/>
    <n v="11114182"/>
    <d v="2024-03-01T00:00:00"/>
    <x v="2"/>
    <x v="0"/>
    <s v="ĐB Sông Cửu Long"/>
    <x v="1"/>
    <x v="15"/>
    <n v="11.114182"/>
  </r>
  <r>
    <x v="5"/>
    <s v="Công ty 83"/>
    <x v="0"/>
    <n v="238372727"/>
    <d v="2024-03-01T00:00:00"/>
    <x v="2"/>
    <x v="0"/>
    <s v="Đông Nam Bộ"/>
    <x v="1"/>
    <x v="1"/>
    <n v="238.372727"/>
  </r>
  <r>
    <x v="26"/>
    <s v="Công ty 8"/>
    <x v="4"/>
    <n v="46148250"/>
    <d v="2024-03-01T00:00:00"/>
    <x v="2"/>
    <x v="0"/>
    <s v="Đông Nam Bộ"/>
    <x v="1"/>
    <x v="3"/>
    <n v="46.148249999999997"/>
  </r>
  <r>
    <x v="8"/>
    <s v="Công ty 28"/>
    <x v="2"/>
    <n v="219035782"/>
    <d v="2024-03-01T00:00:00"/>
    <x v="2"/>
    <x v="0"/>
    <s v="Đông Nam Bộ"/>
    <x v="1"/>
    <x v="0"/>
    <n v="219.03578200000001"/>
  </r>
  <r>
    <x v="41"/>
    <s v="Công ty 39"/>
    <x v="0"/>
    <n v="18090909"/>
    <d v="2024-03-01T00:00:00"/>
    <x v="2"/>
    <x v="0"/>
    <s v="Đông Bắc Bộ"/>
    <x v="1"/>
    <x v="1"/>
    <n v="18.090909"/>
  </r>
  <r>
    <x v="15"/>
    <s v="Công ty 57"/>
    <x v="4"/>
    <n v="1739784958"/>
    <d v="2024-03-01T00:00:00"/>
    <x v="2"/>
    <x v="0"/>
    <s v="Duyên hải Nam Trung Bộ"/>
    <x v="1"/>
    <x v="3"/>
    <n v="1739.784958"/>
  </r>
  <r>
    <x v="27"/>
    <s v="Công ty 60"/>
    <x v="1"/>
    <n v="18213223"/>
    <d v="2024-03-01T00:00:00"/>
    <x v="2"/>
    <x v="0"/>
    <s v="Bắc Trung Bộ"/>
    <x v="1"/>
    <x v="13"/>
    <n v="18.213222999999999"/>
  </r>
  <r>
    <x v="0"/>
    <s v="Công ty 73"/>
    <x v="0"/>
    <n v="39398455"/>
    <d v="2024-03-01T00:00:00"/>
    <x v="2"/>
    <x v="0"/>
    <s v="Bắc Trung Bộ"/>
    <x v="1"/>
    <x v="5"/>
    <n v="39.398454999999998"/>
  </r>
  <r>
    <x v="0"/>
    <s v="Công ty 74"/>
    <x v="0"/>
    <n v="18150909"/>
    <d v="2024-03-01T00:00:00"/>
    <x v="2"/>
    <x v="0"/>
    <s v="Bắc Trung Bộ"/>
    <x v="1"/>
    <x v="5"/>
    <n v="18.150908999999999"/>
  </r>
  <r>
    <x v="42"/>
    <s v="Công ty 85"/>
    <x v="0"/>
    <n v="35375636"/>
    <d v="2024-03-01T00:00:00"/>
    <x v="2"/>
    <x v="0"/>
    <s v="Tây Bắc Bộ"/>
    <x v="1"/>
    <x v="1"/>
    <n v="35.375636"/>
  </r>
  <r>
    <x v="38"/>
    <s v="Công ty 97"/>
    <x v="2"/>
    <n v="51827273"/>
    <d v="2024-03-01T00:00:00"/>
    <x v="2"/>
    <x v="0"/>
    <s v="Tây Nguyên"/>
    <x v="1"/>
    <x v="0"/>
    <n v="51.827272999999998"/>
  </r>
  <r>
    <x v="59"/>
    <s v="Công ty 3"/>
    <x v="2"/>
    <n v="233977273"/>
    <d v="2024-03-01T00:00:00"/>
    <x v="2"/>
    <x v="0"/>
    <s v="ĐB Sông Hồng"/>
    <x v="1"/>
    <x v="1"/>
    <n v="233.977273"/>
  </r>
  <r>
    <x v="59"/>
    <s v="Công ty 11"/>
    <x v="0"/>
    <n v="922835000"/>
    <d v="2024-03-01T00:00:00"/>
    <x v="2"/>
    <x v="0"/>
    <s v="ĐB Sông Hồng"/>
    <x v="1"/>
    <x v="1"/>
    <n v="922.83500000000004"/>
  </r>
  <r>
    <x v="57"/>
    <s v="Công ty 13"/>
    <x v="1"/>
    <n v="55909091"/>
    <d v="2024-03-01T00:00:00"/>
    <x v="2"/>
    <x v="0"/>
    <s v="ĐB Sông Cửu Long"/>
    <x v="1"/>
    <x v="2"/>
    <n v="55.909090999999997"/>
  </r>
  <r>
    <x v="1"/>
    <s v="Công ty 34"/>
    <x v="4"/>
    <n v="597635455"/>
    <d v="2024-03-01T00:00:00"/>
    <x v="2"/>
    <x v="0"/>
    <s v="Duyên hải Nam Trung Bộ"/>
    <x v="1"/>
    <x v="3"/>
    <n v="597.63545499999998"/>
  </r>
  <r>
    <x v="27"/>
    <s v="Công ty 38"/>
    <x v="0"/>
    <n v="19546000"/>
    <d v="2024-03-01T00:00:00"/>
    <x v="2"/>
    <x v="0"/>
    <s v="Bắc Trung Bộ"/>
    <x v="1"/>
    <x v="1"/>
    <n v="19.545999999999999"/>
  </r>
  <r>
    <x v="34"/>
    <s v="Công ty 65"/>
    <x v="1"/>
    <n v="49505818"/>
    <d v="2024-03-01T00:00:00"/>
    <x v="2"/>
    <x v="0"/>
    <s v="Tây Bắc Bộ"/>
    <x v="1"/>
    <x v="13"/>
    <n v="49.505817999999998"/>
  </r>
  <r>
    <x v="32"/>
    <s v="Công ty 85"/>
    <x v="1"/>
    <n v="30909091"/>
    <d v="2024-03-01T00:00:00"/>
    <x v="2"/>
    <x v="0"/>
    <s v="ĐB Sông Cửu Long"/>
    <x v="1"/>
    <x v="11"/>
    <n v="30.909091"/>
  </r>
  <r>
    <x v="47"/>
    <s v="Công ty 96"/>
    <x v="0"/>
    <n v="472853120"/>
    <d v="2024-03-01T00:00:00"/>
    <x v="2"/>
    <x v="0"/>
    <s v="Đông Bắc Bộ"/>
    <x v="1"/>
    <x v="0"/>
    <n v="472.85311999999999"/>
  </r>
  <r>
    <x v="39"/>
    <s v="Công ty 84"/>
    <x v="0"/>
    <n v="309479494"/>
    <d v="2024-03-01T00:00:00"/>
    <x v="2"/>
    <x v="0"/>
    <s v="ĐB Sông Cửu Long"/>
    <x v="1"/>
    <x v="1"/>
    <n v="309.47949399999999"/>
  </r>
  <r>
    <x v="49"/>
    <s v="Doanh nghiệp 7"/>
    <x v="0"/>
    <n v="30573182"/>
    <d v="2024-03-01T00:00:00"/>
    <x v="2"/>
    <x v="0"/>
    <s v="ĐB Sông Cửu Long"/>
    <x v="1"/>
    <x v="1"/>
    <n v="30.573181999999999"/>
  </r>
  <r>
    <x v="14"/>
    <s v="Doanh nghiệp 13"/>
    <x v="0"/>
    <n v="26181790"/>
    <d v="2024-03-01T00:00:00"/>
    <x v="2"/>
    <x v="0"/>
    <s v="ĐB Sông Hồng"/>
    <x v="1"/>
    <x v="1"/>
    <n v="26.181789999999999"/>
  </r>
  <r>
    <x v="21"/>
    <s v="Doanh nghiệp 14"/>
    <x v="2"/>
    <n v="14641818"/>
    <d v="2024-03-01T00:00:00"/>
    <x v="2"/>
    <x v="0"/>
    <s v="Đông Bắc Bộ"/>
    <x v="1"/>
    <x v="1"/>
    <n v="14.641818000000001"/>
  </r>
  <r>
    <x v="24"/>
    <s v="Doanh nghiệp 2"/>
    <x v="0"/>
    <n v="67272727"/>
    <d v="2024-03-01T00:00:00"/>
    <x v="2"/>
    <x v="0"/>
    <s v="ĐB Sông Hồng"/>
    <x v="1"/>
    <x v="1"/>
    <n v="67.272727000000003"/>
  </r>
  <r>
    <x v="14"/>
    <s v="Doanh nghiệp 29"/>
    <x v="0"/>
    <n v="147677180"/>
    <d v="2024-03-01T00:00:00"/>
    <x v="2"/>
    <x v="0"/>
    <s v="ĐB Sông Hồng"/>
    <x v="1"/>
    <x v="1"/>
    <n v="147.67717999999999"/>
  </r>
  <r>
    <x v="2"/>
    <s v="Doanh nghiệp 13"/>
    <x v="3"/>
    <n v="106109064"/>
    <d v="2024-03-01T00:00:00"/>
    <x v="2"/>
    <x v="0"/>
    <s v="ĐB Sông Cửu Long"/>
    <x v="1"/>
    <x v="7"/>
    <n v="106.109064"/>
  </r>
  <r>
    <x v="53"/>
    <s v="Doanh nghiệp 24"/>
    <x v="1"/>
    <n v="4227273"/>
    <d v="2024-03-01T00:00:00"/>
    <x v="2"/>
    <x v="0"/>
    <s v="Đông Bắc Bộ"/>
    <x v="1"/>
    <x v="13"/>
    <n v="4.2272730000000003"/>
  </r>
  <r>
    <x v="45"/>
    <s v="Doanh nghiệp 1"/>
    <x v="0"/>
    <n v="25580000"/>
    <d v="2024-03-01T00:00:00"/>
    <x v="2"/>
    <x v="0"/>
    <s v="ĐB Sông Cửu Long"/>
    <x v="1"/>
    <x v="5"/>
    <n v="25.58"/>
  </r>
  <r>
    <x v="45"/>
    <s v="Doanh nghiệp 2"/>
    <x v="2"/>
    <n v="24012327"/>
    <d v="2024-03-01T00:00:00"/>
    <x v="2"/>
    <x v="0"/>
    <s v="ĐB Sông Cửu Long"/>
    <x v="1"/>
    <x v="5"/>
    <n v="24.012326999999999"/>
  </r>
  <r>
    <x v="48"/>
    <s v="Doanh nghiệp 8"/>
    <x v="0"/>
    <n v="179774100"/>
    <d v="2024-03-01T00:00:00"/>
    <x v="2"/>
    <x v="0"/>
    <s v="Đông Bắc Bộ"/>
    <x v="1"/>
    <x v="5"/>
    <n v="179.7741"/>
  </r>
  <r>
    <x v="2"/>
    <s v="Doanh nghiệp 19"/>
    <x v="0"/>
    <n v="51065364"/>
    <d v="2024-03-01T00:00:00"/>
    <x v="2"/>
    <x v="0"/>
    <s v="ĐB Sông Cửu Long"/>
    <x v="1"/>
    <x v="1"/>
    <n v="51.065364000000002"/>
  </r>
  <r>
    <x v="2"/>
    <s v="Doanh nghiệp 20"/>
    <x v="0"/>
    <n v="1887324789"/>
    <d v="2024-03-01T00:00:00"/>
    <x v="2"/>
    <x v="0"/>
    <s v="ĐB Sông Cửu Long"/>
    <x v="1"/>
    <x v="1"/>
    <n v="1887.324789"/>
  </r>
  <r>
    <x v="38"/>
    <s v="Tập đoàn 7"/>
    <x v="3"/>
    <n v="102018900"/>
    <d v="2024-03-01T00:00:00"/>
    <x v="2"/>
    <x v="0"/>
    <s v="Tây Nguyên"/>
    <x v="1"/>
    <x v="7"/>
    <n v="102.0189"/>
  </r>
  <r>
    <x v="35"/>
    <s v="Tập đoàn 29"/>
    <x v="0"/>
    <n v="39609364"/>
    <d v="2024-03-01T00:00:00"/>
    <x v="2"/>
    <x v="0"/>
    <s v="Đông Bắc Bộ"/>
    <x v="1"/>
    <x v="1"/>
    <n v="39.609363999999999"/>
  </r>
  <r>
    <x v="51"/>
    <s v="Tập đoàn 38"/>
    <x v="0"/>
    <n v="56852720"/>
    <d v="2024-03-01T00:00:00"/>
    <x v="2"/>
    <x v="0"/>
    <s v="ĐB Sông Hồng"/>
    <x v="1"/>
    <x v="16"/>
    <n v="56.852719999999998"/>
  </r>
  <r>
    <x v="0"/>
    <s v="Tập đoàn 59"/>
    <x v="2"/>
    <n v="20500364"/>
    <d v="2024-03-01T00:00:00"/>
    <x v="2"/>
    <x v="0"/>
    <s v="Bắc Trung Bộ"/>
    <x v="1"/>
    <x v="13"/>
    <n v="20.500364000000001"/>
  </r>
  <r>
    <x v="7"/>
    <s v="Tập đoàn 86"/>
    <x v="0"/>
    <n v="2547774000"/>
    <d v="2024-03-01T00:00:00"/>
    <x v="2"/>
    <x v="0"/>
    <s v="Bắc Trung Bộ"/>
    <x v="1"/>
    <x v="1"/>
    <n v="2547.7739999999999"/>
  </r>
  <r>
    <x v="21"/>
    <s v="Tập đoàn 90"/>
    <x v="1"/>
    <n v="8137309"/>
    <d v="2024-03-01T00:00:00"/>
    <x v="2"/>
    <x v="0"/>
    <s v="Đông Bắc Bộ"/>
    <x v="1"/>
    <x v="13"/>
    <n v="8.1373090000000001"/>
  </r>
  <r>
    <x v="22"/>
    <s v="Tập đoàn 83"/>
    <x v="2"/>
    <n v="29239036"/>
    <d v="2024-03-01T00:00:00"/>
    <x v="2"/>
    <x v="0"/>
    <s v="Bắc Trung Bộ"/>
    <x v="1"/>
    <x v="0"/>
    <n v="29.239035999999999"/>
  </r>
  <r>
    <x v="31"/>
    <s v="Tập đoàn 91"/>
    <x v="0"/>
    <n v="15600000"/>
    <d v="2024-03-01T00:00:00"/>
    <x v="2"/>
    <x v="0"/>
    <s v="Tây Nguyên"/>
    <x v="1"/>
    <x v="5"/>
    <n v="15.6"/>
  </r>
  <r>
    <x v="31"/>
    <s v="Tập đoàn 92"/>
    <x v="3"/>
    <n v="9000000"/>
    <d v="2024-03-01T00:00:00"/>
    <x v="2"/>
    <x v="0"/>
    <s v="Tây Nguyên"/>
    <x v="1"/>
    <x v="7"/>
    <n v="9"/>
  </r>
  <r>
    <x v="22"/>
    <s v="Tập đoàn 93"/>
    <x v="4"/>
    <n v="90000000"/>
    <d v="2024-03-01T00:00:00"/>
    <x v="2"/>
    <x v="0"/>
    <s v="Bắc Trung Bộ"/>
    <x v="1"/>
    <x v="9"/>
    <n v="90"/>
  </r>
  <r>
    <x v="13"/>
    <s v="Tập đoàn 93"/>
    <x v="1"/>
    <n v="22909091"/>
    <d v="2024-03-01T00:00:00"/>
    <x v="2"/>
    <x v="0"/>
    <s v="Tây Bắc Bộ"/>
    <x v="1"/>
    <x v="2"/>
    <n v="22.909091"/>
  </r>
  <r>
    <x v="27"/>
    <s v="Tập đoàn 92"/>
    <x v="0"/>
    <n v="44181818"/>
    <d v="2024-03-01T00:00:00"/>
    <x v="2"/>
    <x v="0"/>
    <s v="Bắc Trung Bộ"/>
    <x v="1"/>
    <x v="1"/>
    <n v="44.181818"/>
  </r>
  <r>
    <x v="40"/>
    <s v="Tập đoàn 93"/>
    <x v="0"/>
    <n v="13129091"/>
    <d v="2024-03-01T00:00:00"/>
    <x v="2"/>
    <x v="0"/>
    <s v="ĐB Sông Cửu Long"/>
    <x v="1"/>
    <x v="1"/>
    <n v="13.129091000000001"/>
  </r>
  <r>
    <x v="42"/>
    <s v="Công ty 48"/>
    <x v="4"/>
    <n v="156545455"/>
    <d v="2024-03-01T00:00:00"/>
    <x v="2"/>
    <x v="0"/>
    <s v="Tây Bắc Bộ"/>
    <x v="1"/>
    <x v="9"/>
    <n v="156.545455"/>
  </r>
  <r>
    <x v="42"/>
    <s v="Công ty 49"/>
    <x v="4"/>
    <n v="34090909"/>
    <d v="2024-03-01T00:00:00"/>
    <x v="2"/>
    <x v="0"/>
    <s v="Tây Bắc Bộ"/>
    <x v="1"/>
    <x v="9"/>
    <n v="34.090909000000003"/>
  </r>
  <r>
    <x v="42"/>
    <s v="Công ty 50"/>
    <x v="4"/>
    <n v="238636364"/>
    <d v="2024-03-01T00:00:00"/>
    <x v="2"/>
    <x v="0"/>
    <s v="Tây Bắc Bộ"/>
    <x v="1"/>
    <x v="9"/>
    <n v="238.63636399999999"/>
  </r>
  <r>
    <x v="49"/>
    <s v="Công An Tỉnh Bến Tre"/>
    <x v="0"/>
    <n v="510636364"/>
    <d v="2024-03-01T00:00:00"/>
    <x v="2"/>
    <x v="0"/>
    <s v="ĐB Sông Cửu Long"/>
    <x v="2"/>
    <x v="5"/>
    <n v="510.63636400000001"/>
  </r>
  <r>
    <x v="22"/>
    <s v="Công ty 21"/>
    <x v="2"/>
    <n v="39072727"/>
    <d v="2024-03-01T00:00:00"/>
    <x v="2"/>
    <x v="0"/>
    <s v="Bắc Trung Bộ"/>
    <x v="1"/>
    <x v="0"/>
    <n v="39.072727"/>
  </r>
  <r>
    <x v="0"/>
    <s v="LIÊN ĐOÀN ĐỊA CHẤT BẮC TRUNG BỘ"/>
    <x v="0"/>
    <n v="21993636"/>
    <d v="2024-03-01T00:00:00"/>
    <x v="2"/>
    <x v="0"/>
    <s v="Bắc Trung Bộ"/>
    <x v="2"/>
    <x v="0"/>
    <n v="21.993635999999999"/>
  </r>
  <r>
    <x v="20"/>
    <s v="PHÒNG NỘI VỤ HUYỆN HÀM TÂN"/>
    <x v="1"/>
    <n v="69363636"/>
    <d v="2024-03-01T00:00:00"/>
    <x v="2"/>
    <x v="0"/>
    <s v="Duyên hải Nam Trung Bộ"/>
    <x v="2"/>
    <x v="2"/>
    <n v="69.363636"/>
  </r>
  <r>
    <x v="20"/>
    <s v="PHÒNG NÔNG NGHIỆP &amp; PT NÔNG THÔN HUYỆN HÀM TÂN"/>
    <x v="1"/>
    <n v="59818182"/>
    <d v="2024-03-01T00:00:00"/>
    <x v="2"/>
    <x v="0"/>
    <s v="Duyên hải Nam Trung Bộ"/>
    <x v="2"/>
    <x v="2"/>
    <n v="59.818182"/>
  </r>
  <r>
    <x v="41"/>
    <s v="PHÒNG VĂN HOÁ THÔNG TIN HUYỆN HÀ QUẢNG"/>
    <x v="3"/>
    <n v="945518182"/>
    <d v="2024-03-01T00:00:00"/>
    <x v="2"/>
    <x v="0"/>
    <s v="Đông Bắc Bộ"/>
    <x v="2"/>
    <x v="18"/>
    <n v="945.51818200000002"/>
  </r>
  <r>
    <x v="38"/>
    <s v="Thôn An Điền Bắc"/>
    <x v="4"/>
    <n v="8181818"/>
    <d v="2024-03-01T00:00:00"/>
    <x v="2"/>
    <x v="0"/>
    <s v="Tây Nguyên"/>
    <x v="2"/>
    <x v="9"/>
    <n v="8.1818179999999998"/>
  </r>
  <r>
    <x v="29"/>
    <s v="TRUNG TÂM Y TẾ CHÂU THÀNH"/>
    <x v="0"/>
    <n v="12334545"/>
    <d v="2024-03-01T00:00:00"/>
    <x v="2"/>
    <x v="0"/>
    <s v="ĐB Sông Cửu Long"/>
    <x v="2"/>
    <x v="5"/>
    <n v="12.334545"/>
  </r>
  <r>
    <x v="0"/>
    <s v="TRUNG TÂM Y TẾ HUYỆN HƯNG NGUYÊN"/>
    <x v="0"/>
    <n v="12970455"/>
    <d v="2024-03-01T00:00:00"/>
    <x v="2"/>
    <x v="0"/>
    <s v="Bắc Trung Bộ"/>
    <x v="2"/>
    <x v="0"/>
    <n v="12.970454999999999"/>
  </r>
  <r>
    <x v="32"/>
    <s v="Trung Tâm Y Tế Huyện Tân Hồng"/>
    <x v="2"/>
    <n v="42194545"/>
    <d v="2024-03-01T00:00:00"/>
    <x v="2"/>
    <x v="0"/>
    <s v="ĐB Sông Cửu Long"/>
    <x v="2"/>
    <x v="2"/>
    <n v="42.194544999999998"/>
  </r>
  <r>
    <x v="6"/>
    <s v="Trung Tâm Y Tế Huyện Thanh Sơn"/>
    <x v="2"/>
    <n v="17869091"/>
    <d v="2024-03-01T00:00:00"/>
    <x v="2"/>
    <x v="0"/>
    <s v="Đông Bắc Bộ"/>
    <x v="2"/>
    <x v="2"/>
    <n v="17.869091000000001"/>
  </r>
  <r>
    <x v="6"/>
    <s v="Trung Tâm Y Tế Huyện Thanh Sơn"/>
    <x v="2"/>
    <n v="23269091"/>
    <d v="2024-03-01T00:00:00"/>
    <x v="2"/>
    <x v="0"/>
    <s v="Đông Bắc Bộ"/>
    <x v="2"/>
    <x v="2"/>
    <n v="23.269091"/>
  </r>
  <r>
    <x v="27"/>
    <s v="UBND PHƯỜNG NGUYỄN DU"/>
    <x v="1"/>
    <n v="123181818"/>
    <d v="2024-03-01T00:00:00"/>
    <x v="2"/>
    <x v="0"/>
    <s v="Bắc Trung Bộ"/>
    <x v="2"/>
    <x v="2"/>
    <n v="123.18181800000001"/>
  </r>
  <r>
    <x v="0"/>
    <s v="UBND XÃ DIỄN KIM"/>
    <x v="0"/>
    <n v="190852727"/>
    <d v="2024-03-01T00:00:00"/>
    <x v="2"/>
    <x v="0"/>
    <s v="Bắc Trung Bộ"/>
    <x v="2"/>
    <x v="1"/>
    <n v="190.85272699999999"/>
  </r>
  <r>
    <x v="44"/>
    <s v="Ubnd Xã Ngọc Trạo"/>
    <x v="3"/>
    <n v="36233800"/>
    <d v="2024-03-01T00:00:00"/>
    <x v="2"/>
    <x v="0"/>
    <s v="Bắc Trung Bộ"/>
    <x v="2"/>
    <x v="18"/>
    <n v="36.233800000000002"/>
  </r>
  <r>
    <x v="44"/>
    <s v="Ubnd Xã Thành Thọ"/>
    <x v="3"/>
    <n v="44023873"/>
    <d v="2024-03-01T00:00:00"/>
    <x v="2"/>
    <x v="0"/>
    <s v="Bắc Trung Bộ"/>
    <x v="2"/>
    <x v="18"/>
    <n v="44.023873000000002"/>
  </r>
  <r>
    <x v="44"/>
    <s v="UBND XÃ THÀNH TIẾN"/>
    <x v="3"/>
    <n v="45436364"/>
    <d v="2024-03-01T00:00:00"/>
    <x v="2"/>
    <x v="0"/>
    <s v="Bắc Trung Bộ"/>
    <x v="2"/>
    <x v="18"/>
    <n v="45.436363999999998"/>
  </r>
  <r>
    <x v="30"/>
    <s v="UBND XÃ VĨNH BÌNH"/>
    <x v="1"/>
    <n v="37600000"/>
    <d v="2024-03-01T00:00:00"/>
    <x v="2"/>
    <x v="0"/>
    <s v="ĐB Sông Cửu Long"/>
    <x v="2"/>
    <x v="2"/>
    <n v="37.6"/>
  </r>
  <r>
    <x v="44"/>
    <s v="ỦY BAN MẶT TRẬN TỔ QUỐC VIỆT NAM XÃ MINH TIẾN"/>
    <x v="0"/>
    <n v="67163636"/>
    <d v="2024-03-01T00:00:00"/>
    <x v="2"/>
    <x v="0"/>
    <s v="Bắc Trung Bộ"/>
    <x v="2"/>
    <x v="1"/>
    <n v="67.163635999999997"/>
  </r>
  <r>
    <x v="1"/>
    <s v="ỦY BAN NHÂN DÂN PHƯỜNG BỒNG SƠN"/>
    <x v="0"/>
    <n v="287364545"/>
    <d v="2024-03-01T00:00:00"/>
    <x v="2"/>
    <x v="0"/>
    <s v="Duyên hải Nam Trung Bộ"/>
    <x v="2"/>
    <x v="1"/>
    <n v="287.36454500000002"/>
  </r>
  <r>
    <x v="18"/>
    <s v="UỶ BAN NHÂN DÂN XÃ ĐĂK SÔR"/>
    <x v="4"/>
    <n v="162654545"/>
    <d v="2024-03-01T00:00:00"/>
    <x v="2"/>
    <x v="0"/>
    <s v="Tây Nguyên"/>
    <x v="2"/>
    <x v="9"/>
    <n v="162.65454500000001"/>
  </r>
  <r>
    <x v="6"/>
    <s v="Ủy Ban Nhân Dân Xã Kiệt Sơn"/>
    <x v="0"/>
    <n v="11499091"/>
    <d v="2024-03-01T00:00:00"/>
    <x v="2"/>
    <x v="0"/>
    <s v="Đông Bắc Bộ"/>
    <x v="2"/>
    <x v="1"/>
    <n v="11.499091"/>
  </r>
  <r>
    <x v="13"/>
    <s v="Ủy Ban Nhân Dân Xã Liễu Đô"/>
    <x v="2"/>
    <n v="29036364"/>
    <d v="2024-03-01T00:00:00"/>
    <x v="2"/>
    <x v="0"/>
    <s v="Tây Bắc Bộ"/>
    <x v="2"/>
    <x v="1"/>
    <n v="29.036363999999999"/>
  </r>
  <r>
    <x v="22"/>
    <s v="HỌC VIỆN ÂM NHẠC HUẾ"/>
    <x v="2"/>
    <n v="13454545"/>
    <d v="2024-03-01T00:00:00"/>
    <x v="2"/>
    <x v="0"/>
    <s v="Bắc Trung Bộ"/>
    <x v="4"/>
    <x v="2"/>
    <n v="13.454545"/>
  </r>
  <r>
    <x v="6"/>
    <s v="TRƯỜNG CAO ĐẲNG Y TẾ PHÚ THỌ"/>
    <x v="0"/>
    <n v="90802727"/>
    <d v="2024-03-01T00:00:00"/>
    <x v="2"/>
    <x v="0"/>
    <s v="Đông Bắc Bộ"/>
    <x v="4"/>
    <x v="0"/>
    <n v="90.802727000000004"/>
  </r>
  <r>
    <x v="0"/>
    <s v="TRƯỜNG MẦM NON ĐÔNG VĨNH"/>
    <x v="0"/>
    <n v="21792182"/>
    <d v="2024-03-01T00:00:00"/>
    <x v="2"/>
    <x v="0"/>
    <s v="Bắc Trung Bộ"/>
    <x v="4"/>
    <x v="0"/>
    <n v="21.792182"/>
  </r>
  <r>
    <x v="32"/>
    <s v="TRƯỜNG MẦM NON PHÚ CƯỜNG"/>
    <x v="2"/>
    <n v="11500000"/>
    <d v="2024-03-01T00:00:00"/>
    <x v="2"/>
    <x v="0"/>
    <s v="ĐB Sông Cửu Long"/>
    <x v="4"/>
    <x v="11"/>
    <n v="11.5"/>
  </r>
  <r>
    <x v="35"/>
    <s v="TRƯỜNG MẦM NON XÃ SƠN HÀ"/>
    <x v="0"/>
    <n v="4468000"/>
    <d v="2024-03-01T00:00:00"/>
    <x v="2"/>
    <x v="0"/>
    <s v="Đông Bắc Bộ"/>
    <x v="4"/>
    <x v="0"/>
    <n v="4.468"/>
  </r>
  <r>
    <x v="14"/>
    <s v="Trường Thcs Mai Đình"/>
    <x v="0"/>
    <n v="371900000"/>
    <d v="2024-03-01T00:00:00"/>
    <x v="2"/>
    <x v="0"/>
    <s v="ĐB Sông Hồng"/>
    <x v="4"/>
    <x v="5"/>
    <n v="371.9"/>
  </r>
  <r>
    <x v="45"/>
    <s v="TRƯỜNG THCS VÀ THPT TRẦN ĐỀ"/>
    <x v="0"/>
    <n v="26604400"/>
    <d v="2024-03-01T00:00:00"/>
    <x v="2"/>
    <x v="0"/>
    <s v="ĐB Sông Cửu Long"/>
    <x v="4"/>
    <x v="1"/>
    <n v="26.604399999999998"/>
  </r>
  <r>
    <x v="49"/>
    <s v="TRƯỜNG THPT NGUYỄN THỊ ĐỊNH"/>
    <x v="0"/>
    <n v="9090909"/>
    <d v="2024-03-01T00:00:00"/>
    <x v="2"/>
    <x v="0"/>
    <s v="ĐB Sông Cửu Long"/>
    <x v="4"/>
    <x v="0"/>
    <n v="9.0909089999999999"/>
  </r>
  <r>
    <x v="49"/>
    <s v="TRƯỜNG THPT PHAN LIÊM"/>
    <x v="0"/>
    <n v="36727273"/>
    <d v="2024-03-01T00:00:00"/>
    <x v="2"/>
    <x v="0"/>
    <s v="ĐB Sông Cửu Long"/>
    <x v="4"/>
    <x v="0"/>
    <n v="36.727272999999997"/>
  </r>
  <r>
    <x v="49"/>
    <s v="Trường THPT Phan Văn Trị"/>
    <x v="0"/>
    <n v="18181818"/>
    <d v="2024-03-01T00:00:00"/>
    <x v="2"/>
    <x v="0"/>
    <s v="ĐB Sông Cửu Long"/>
    <x v="4"/>
    <x v="0"/>
    <n v="18.181818"/>
  </r>
  <r>
    <x v="49"/>
    <s v="Trường THPT Phan Văn Trị"/>
    <x v="0"/>
    <n v="23627273"/>
    <d v="2024-03-01T00:00:00"/>
    <x v="2"/>
    <x v="0"/>
    <s v="ĐB Sông Cửu Long"/>
    <x v="4"/>
    <x v="0"/>
    <n v="23.627272999999999"/>
  </r>
  <r>
    <x v="15"/>
    <s v="TRƯỜNG THPT TRẦN QUÝ CÁP"/>
    <x v="0"/>
    <n v="9545455"/>
    <d v="2024-03-01T00:00:00"/>
    <x v="2"/>
    <x v="0"/>
    <s v="Duyên hải Nam Trung Bộ"/>
    <x v="4"/>
    <x v="0"/>
    <n v="9.5454550000000005"/>
  </r>
  <r>
    <x v="49"/>
    <s v="Trường Tiểu Học Bình Phú"/>
    <x v="0"/>
    <n v="7457500"/>
    <d v="2024-03-01T00:00:00"/>
    <x v="2"/>
    <x v="0"/>
    <s v="ĐB Sông Cửu Long"/>
    <x v="4"/>
    <x v="0"/>
    <n v="7.4574999999999996"/>
  </r>
  <r>
    <x v="49"/>
    <s v="Trường Tiểu Học Bình Phú"/>
    <x v="2"/>
    <n v="7457500"/>
    <d v="2024-03-01T00:00:00"/>
    <x v="2"/>
    <x v="0"/>
    <s v="ĐB Sông Cửu Long"/>
    <x v="4"/>
    <x v="0"/>
    <n v="7.4574999999999996"/>
  </r>
  <r>
    <x v="1"/>
    <s v="TRƯỜNG TIỂU HỌC BÌNH TÂN"/>
    <x v="2"/>
    <n v="17445455"/>
    <d v="2024-03-01T00:00:00"/>
    <x v="2"/>
    <x v="0"/>
    <s v="Duyên hải Nam Trung Bộ"/>
    <x v="4"/>
    <x v="0"/>
    <n v="17.445454999999999"/>
  </r>
  <r>
    <x v="6"/>
    <s v="Trường Tiểu Học Minh Tiến"/>
    <x v="0"/>
    <n v="20600000"/>
    <d v="2024-03-01T00:00:00"/>
    <x v="2"/>
    <x v="0"/>
    <s v="Đông Bắc Bộ"/>
    <x v="4"/>
    <x v="5"/>
    <n v="20.6"/>
  </r>
  <r>
    <x v="36"/>
    <s v="TRƯỜNG TIỂU HỌC THANH BÌNH"/>
    <x v="0"/>
    <n v="32181364"/>
    <d v="2024-03-01T00:00:00"/>
    <x v="2"/>
    <x v="0"/>
    <s v="ĐB Sông Hồng"/>
    <x v="4"/>
    <x v="0"/>
    <n v="32.181364000000002"/>
  </r>
  <r>
    <x v="0"/>
    <s v="TRƯỜNG TIỂU HỌC TRƯỜNG THI"/>
    <x v="0"/>
    <n v="52363636"/>
    <d v="2024-03-01T00:00:00"/>
    <x v="2"/>
    <x v="0"/>
    <s v="Bắc Trung Bộ"/>
    <x v="4"/>
    <x v="5"/>
    <n v="52.363636"/>
  </r>
  <r>
    <x v="38"/>
    <s v="TRƯỜNG TIỂU HỌC VÀ THCS SƠ PAI"/>
    <x v="1"/>
    <n v="44231405"/>
    <d v="2024-03-01T00:00:00"/>
    <x v="2"/>
    <x v="0"/>
    <s v="Tây Nguyên"/>
    <x v="4"/>
    <x v="13"/>
    <n v="44.231405000000002"/>
  </r>
  <r>
    <x v="32"/>
    <s v="TRƯỜNG TRUNG HỌC CƠ SỞ LONG KHÁNH A"/>
    <x v="0"/>
    <n v="23790000"/>
    <d v="2024-03-01T00:00:00"/>
    <x v="2"/>
    <x v="0"/>
    <s v="ĐB Sông Cửu Long"/>
    <x v="4"/>
    <x v="0"/>
    <n v="23.79"/>
  </r>
  <r>
    <x v="32"/>
    <s v="TRƯỜNG TRUNG HỌC CƠ SỞ LONG KHÁNH A"/>
    <x v="2"/>
    <n v="32727273"/>
    <d v="2024-03-01T00:00:00"/>
    <x v="2"/>
    <x v="0"/>
    <s v="ĐB Sông Cửu Long"/>
    <x v="4"/>
    <x v="15"/>
    <n v="32.727272999999997"/>
  </r>
  <r>
    <x v="33"/>
    <s v="TRƯỜNG TRUNG HỌC CƠ SỞ QUẢNG MINH"/>
    <x v="0"/>
    <n v="40956800"/>
    <d v="2024-03-01T00:00:00"/>
    <x v="2"/>
    <x v="0"/>
    <s v="Đông Bắc Bộ"/>
    <x v="4"/>
    <x v="0"/>
    <n v="40.956800000000001"/>
  </r>
  <r>
    <x v="6"/>
    <s v="TRƯỜNG TRUNG HỌC CƠ SỞ TỨ MỸ"/>
    <x v="2"/>
    <n v="20741518"/>
    <d v="2024-03-01T00:00:00"/>
    <x v="2"/>
    <x v="0"/>
    <s v="Đông Bắc Bộ"/>
    <x v="4"/>
    <x v="4"/>
    <n v="20.741517999999999"/>
  </r>
  <r>
    <x v="34"/>
    <s v="TRƯỜNG TRUNG HỌC PHỔ THÔNG TÂN LANG"/>
    <x v="0"/>
    <n v="42301000"/>
    <d v="2024-03-01T00:00:00"/>
    <x v="2"/>
    <x v="0"/>
    <s v="Tây Bắc Bộ"/>
    <x v="4"/>
    <x v="1"/>
    <n v="42.301000000000002"/>
  </r>
  <r>
    <x v="34"/>
    <s v="TRƯỜNG TRUNG HỌC PHỔ THÔNG YÊN CHÂU"/>
    <x v="0"/>
    <n v="43535091"/>
    <d v="2024-03-01T00:00:00"/>
    <x v="2"/>
    <x v="0"/>
    <s v="Tây Bắc Bộ"/>
    <x v="4"/>
    <x v="1"/>
    <n v="43.535091000000001"/>
  </r>
  <r>
    <x v="24"/>
    <s v="Công ty 4"/>
    <x v="1"/>
    <n v="4539296000"/>
    <d v="2025-03-01T00:00:00"/>
    <x v="2"/>
    <x v="1"/>
    <s v="ĐB Sông Hồng"/>
    <x v="1"/>
    <x v="4"/>
    <n v="4539.2960000000003"/>
  </r>
  <r>
    <x v="35"/>
    <s v="Công ty 30"/>
    <x v="2"/>
    <n v="197714873"/>
    <d v="2025-03-01T00:00:00"/>
    <x v="2"/>
    <x v="1"/>
    <s v="Đông Bắc Bộ"/>
    <x v="1"/>
    <x v="1"/>
    <n v="197.71487300000001"/>
  </r>
  <r>
    <x v="0"/>
    <s v="Công ty 36"/>
    <x v="2"/>
    <n v="171229091"/>
    <d v="2025-03-01T00:00:00"/>
    <x v="2"/>
    <x v="1"/>
    <s v="Bắc Trung Bộ"/>
    <x v="1"/>
    <x v="3"/>
    <n v="171.22909100000001"/>
  </r>
  <r>
    <x v="19"/>
    <s v="Công ty 12"/>
    <x v="1"/>
    <n v="97218182"/>
    <d v="2025-03-01T00:00:00"/>
    <x v="2"/>
    <x v="1"/>
    <s v="Duyên hải Nam Trung Bộ"/>
    <x v="1"/>
    <x v="10"/>
    <n v="97.218181999999999"/>
  </r>
  <r>
    <x v="9"/>
    <s v="Công ty 24"/>
    <x v="2"/>
    <n v="3976364"/>
    <d v="2025-03-01T00:00:00"/>
    <x v="2"/>
    <x v="1"/>
    <s v="Duyên hải Nam Trung Bộ"/>
    <x v="1"/>
    <x v="1"/>
    <n v="3.9763639999999998"/>
  </r>
  <r>
    <x v="25"/>
    <s v="Công ty 56"/>
    <x v="2"/>
    <n v="35820000"/>
    <d v="2025-03-01T00:00:00"/>
    <x v="2"/>
    <x v="1"/>
    <s v="Tây Nguyên"/>
    <x v="1"/>
    <x v="0"/>
    <n v="35.82"/>
  </r>
  <r>
    <x v="26"/>
    <s v="Công ty 71"/>
    <x v="1"/>
    <n v="537334000"/>
    <d v="2025-03-01T00:00:00"/>
    <x v="2"/>
    <x v="1"/>
    <s v="Đông Nam Bộ"/>
    <x v="1"/>
    <x v="4"/>
    <n v="537.33399999999995"/>
  </r>
  <r>
    <x v="47"/>
    <s v="Công ty 93"/>
    <x v="2"/>
    <n v="405157273"/>
    <d v="2025-03-01T00:00:00"/>
    <x v="2"/>
    <x v="1"/>
    <s v="Đông Bắc Bộ"/>
    <x v="1"/>
    <x v="2"/>
    <n v="405.15727299999998"/>
  </r>
  <r>
    <x v="44"/>
    <s v="Công ty 12"/>
    <x v="1"/>
    <n v="180872727"/>
    <d v="2025-03-01T00:00:00"/>
    <x v="2"/>
    <x v="1"/>
    <s v="Bắc Trung Bộ"/>
    <x v="1"/>
    <x v="11"/>
    <n v="180.872727"/>
  </r>
  <r>
    <x v="41"/>
    <s v="Công ty 36"/>
    <x v="2"/>
    <n v="50454545"/>
    <d v="2025-03-01T00:00:00"/>
    <x v="2"/>
    <x v="1"/>
    <s v="Đông Bắc Bộ"/>
    <x v="1"/>
    <x v="13"/>
    <n v="50.454545000000003"/>
  </r>
  <r>
    <x v="21"/>
    <s v="Công ty 7"/>
    <x v="1"/>
    <n v="106043636"/>
    <d v="2025-03-01T00:00:00"/>
    <x v="2"/>
    <x v="1"/>
    <s v="Đông Bắc Bộ"/>
    <x v="1"/>
    <x v="2"/>
    <n v="106.04363600000001"/>
  </r>
  <r>
    <x v="28"/>
    <s v="Công ty 22"/>
    <x v="0"/>
    <n v="54309091"/>
    <d v="2025-03-01T00:00:00"/>
    <x v="2"/>
    <x v="1"/>
    <s v="ĐB Sông Hồng"/>
    <x v="1"/>
    <x v="1"/>
    <n v="54.309091000000002"/>
  </r>
  <r>
    <x v="58"/>
    <s v="Công ty 26"/>
    <x v="0"/>
    <n v="38470000"/>
    <d v="2025-03-01T00:00:00"/>
    <x v="2"/>
    <x v="1"/>
    <s v="Tây Nguyên"/>
    <x v="1"/>
    <x v="1"/>
    <n v="38.47"/>
  </r>
  <r>
    <x v="33"/>
    <s v="Công ty 75"/>
    <x v="4"/>
    <n v="185354545"/>
    <d v="2025-03-01T00:00:00"/>
    <x v="2"/>
    <x v="1"/>
    <s v="Đông Bắc Bộ"/>
    <x v="1"/>
    <x v="3"/>
    <n v="185.354545"/>
  </r>
  <r>
    <x v="38"/>
    <s v="Công ty 82"/>
    <x v="0"/>
    <n v="28650000"/>
    <d v="2025-03-01T00:00:00"/>
    <x v="2"/>
    <x v="1"/>
    <s v="Tây Nguyên"/>
    <x v="1"/>
    <x v="5"/>
    <n v="28.65"/>
  </r>
  <r>
    <x v="38"/>
    <s v="Công ty 83"/>
    <x v="0"/>
    <n v="167802000"/>
    <d v="2025-03-01T00:00:00"/>
    <x v="2"/>
    <x v="1"/>
    <s v="Tây Nguyên"/>
    <x v="1"/>
    <x v="1"/>
    <n v="167.80199999999999"/>
  </r>
  <r>
    <x v="40"/>
    <s v="Công ty 49"/>
    <x v="2"/>
    <n v="9185455"/>
    <d v="2025-03-01T00:00:00"/>
    <x v="2"/>
    <x v="1"/>
    <s v="ĐB Sông Cửu Long"/>
    <x v="1"/>
    <x v="2"/>
    <n v="9.1854549999999993"/>
  </r>
  <r>
    <x v="19"/>
    <s v="Công ty 51"/>
    <x v="4"/>
    <n v="327272727"/>
    <d v="2025-03-01T00:00:00"/>
    <x v="2"/>
    <x v="1"/>
    <s v="Duyên hải Nam Trung Bộ"/>
    <x v="1"/>
    <x v="3"/>
    <n v="327.27272699999997"/>
  </r>
  <r>
    <x v="4"/>
    <s v="Công ty 52"/>
    <x v="4"/>
    <n v="548239291"/>
    <d v="2025-03-01T00:00:00"/>
    <x v="2"/>
    <x v="1"/>
    <s v="Đông Nam Bộ"/>
    <x v="1"/>
    <x v="3"/>
    <n v="548.23929099999998"/>
  </r>
  <r>
    <x v="0"/>
    <s v="Công ty 61"/>
    <x v="4"/>
    <n v="140726212"/>
    <d v="2025-03-01T00:00:00"/>
    <x v="2"/>
    <x v="1"/>
    <s v="Bắc Trung Bộ"/>
    <x v="1"/>
    <x v="3"/>
    <n v="140.726212"/>
  </r>
  <r>
    <x v="28"/>
    <s v="Công ty 68"/>
    <x v="4"/>
    <n v="324528305"/>
    <d v="2025-03-01T00:00:00"/>
    <x v="2"/>
    <x v="1"/>
    <s v="ĐB Sông Hồng"/>
    <x v="1"/>
    <x v="3"/>
    <n v="324.52830499999999"/>
  </r>
  <r>
    <x v="0"/>
    <s v="Công ty 80"/>
    <x v="4"/>
    <n v="1675937909"/>
    <d v="2025-03-01T00:00:00"/>
    <x v="2"/>
    <x v="1"/>
    <s v="Bắc Trung Bộ"/>
    <x v="1"/>
    <x v="3"/>
    <n v="1675.937909"/>
  </r>
  <r>
    <x v="46"/>
    <s v="Công ty 68"/>
    <x v="2"/>
    <n v="9272727"/>
    <d v="2025-03-01T00:00:00"/>
    <x v="2"/>
    <x v="1"/>
    <s v="ĐB Sông Cửu Long"/>
    <x v="1"/>
    <x v="3"/>
    <n v="9.2727269999999997"/>
  </r>
  <r>
    <x v="46"/>
    <s v="Công ty 69"/>
    <x v="2"/>
    <n v="17772727"/>
    <d v="2025-03-01T00:00:00"/>
    <x v="2"/>
    <x v="1"/>
    <s v="ĐB Sông Cửu Long"/>
    <x v="1"/>
    <x v="3"/>
    <n v="17.772727"/>
  </r>
  <r>
    <x v="28"/>
    <s v="Công ty 99"/>
    <x v="1"/>
    <n v="36869091"/>
    <d v="2025-03-01T00:00:00"/>
    <x v="2"/>
    <x v="1"/>
    <s v="ĐB Sông Hồng"/>
    <x v="1"/>
    <x v="2"/>
    <n v="36.869090999999997"/>
  </r>
  <r>
    <x v="38"/>
    <s v="Công ty 6"/>
    <x v="4"/>
    <n v="338132582"/>
    <d v="2025-03-01T00:00:00"/>
    <x v="2"/>
    <x v="1"/>
    <s v="Tây Nguyên"/>
    <x v="1"/>
    <x v="3"/>
    <n v="338.13258200000001"/>
  </r>
  <r>
    <x v="14"/>
    <s v="Công ty 10"/>
    <x v="2"/>
    <n v="173082764"/>
    <d v="2025-03-01T00:00:00"/>
    <x v="2"/>
    <x v="1"/>
    <s v="ĐB Sông Hồng"/>
    <x v="1"/>
    <x v="13"/>
    <n v="173.082764"/>
  </r>
  <r>
    <x v="14"/>
    <s v="Công ty 11"/>
    <x v="2"/>
    <n v="174486764"/>
    <d v="2025-03-01T00:00:00"/>
    <x v="2"/>
    <x v="1"/>
    <s v="ĐB Sông Hồng"/>
    <x v="1"/>
    <x v="13"/>
    <n v="174.48676399999999"/>
  </r>
  <r>
    <x v="14"/>
    <s v="Công ty 28"/>
    <x v="2"/>
    <n v="12174545"/>
    <d v="2025-03-01T00:00:00"/>
    <x v="2"/>
    <x v="1"/>
    <s v="ĐB Sông Hồng"/>
    <x v="1"/>
    <x v="3"/>
    <n v="12.174545"/>
  </r>
  <r>
    <x v="19"/>
    <s v="Công ty 29"/>
    <x v="2"/>
    <n v="4969155"/>
    <d v="2025-03-01T00:00:00"/>
    <x v="2"/>
    <x v="1"/>
    <s v="Duyên hải Nam Trung Bộ"/>
    <x v="1"/>
    <x v="15"/>
    <n v="4.9691549999999998"/>
  </r>
  <r>
    <x v="38"/>
    <s v="Công ty 61"/>
    <x v="1"/>
    <n v="72181818"/>
    <d v="2025-03-01T00:00:00"/>
    <x v="2"/>
    <x v="1"/>
    <s v="Tây Nguyên"/>
    <x v="1"/>
    <x v="11"/>
    <n v="72.181818000000007"/>
  </r>
  <r>
    <x v="10"/>
    <s v="Công ty 62"/>
    <x v="1"/>
    <n v="679855166"/>
    <d v="2025-03-01T00:00:00"/>
    <x v="2"/>
    <x v="1"/>
    <s v="Duyên hải Nam Trung Bộ"/>
    <x v="1"/>
    <x v="11"/>
    <n v="679.85516600000005"/>
  </r>
  <r>
    <x v="19"/>
    <s v="Công ty 71"/>
    <x v="4"/>
    <n v="172727273"/>
    <d v="2025-03-01T00:00:00"/>
    <x v="2"/>
    <x v="1"/>
    <s v="Duyên hải Nam Trung Bộ"/>
    <x v="1"/>
    <x v="3"/>
    <n v="172.727273"/>
  </r>
  <r>
    <x v="0"/>
    <s v="Công ty 86"/>
    <x v="0"/>
    <n v="44466507"/>
    <d v="2025-03-01T00:00:00"/>
    <x v="2"/>
    <x v="1"/>
    <s v="Bắc Trung Bộ"/>
    <x v="1"/>
    <x v="5"/>
    <n v="44.466507"/>
  </r>
  <r>
    <x v="38"/>
    <s v="Công ty 99"/>
    <x v="4"/>
    <n v="589440909"/>
    <d v="2025-03-01T00:00:00"/>
    <x v="2"/>
    <x v="1"/>
    <s v="Tây Nguyên"/>
    <x v="1"/>
    <x v="3"/>
    <n v="589.44090900000003"/>
  </r>
  <r>
    <x v="4"/>
    <s v="Công ty 90"/>
    <x v="1"/>
    <n v="612000000"/>
    <d v="2025-03-01T00:00:00"/>
    <x v="2"/>
    <x v="1"/>
    <s v="Đông Nam Bộ"/>
    <x v="1"/>
    <x v="2"/>
    <n v="612"/>
  </r>
  <r>
    <x v="5"/>
    <s v="Công ty 94"/>
    <x v="2"/>
    <n v="7272727"/>
    <d v="2025-03-01T00:00:00"/>
    <x v="2"/>
    <x v="1"/>
    <s v="Đông Nam Bộ"/>
    <x v="1"/>
    <x v="3"/>
    <n v="7.2727269999999997"/>
  </r>
  <r>
    <x v="3"/>
    <s v="Công ty 4"/>
    <x v="0"/>
    <n v="11826445"/>
    <d v="2025-03-01T00:00:00"/>
    <x v="2"/>
    <x v="1"/>
    <s v="ĐB Sông Cửu Long"/>
    <x v="1"/>
    <x v="1"/>
    <n v="11.826445"/>
  </r>
  <r>
    <x v="58"/>
    <s v="Công ty 80"/>
    <x v="4"/>
    <n v="222727273"/>
    <d v="2025-03-01T00:00:00"/>
    <x v="2"/>
    <x v="1"/>
    <s v="Tây Nguyên"/>
    <x v="1"/>
    <x v="3"/>
    <n v="222.727273"/>
  </r>
  <r>
    <x v="8"/>
    <s v="Công ty 12"/>
    <x v="0"/>
    <n v="461414487"/>
    <d v="2025-03-01T00:00:00"/>
    <x v="2"/>
    <x v="1"/>
    <s v="Đông Nam Bộ"/>
    <x v="1"/>
    <x v="0"/>
    <n v="461.41448700000001"/>
  </r>
  <r>
    <x v="20"/>
    <s v="Công ty 17"/>
    <x v="0"/>
    <n v="677214800"/>
    <d v="2025-03-01T00:00:00"/>
    <x v="2"/>
    <x v="1"/>
    <s v="Duyên hải Nam Trung Bộ"/>
    <x v="1"/>
    <x v="5"/>
    <n v="677.21479999999997"/>
  </r>
  <r>
    <x v="0"/>
    <s v="Công ty 49"/>
    <x v="4"/>
    <n v="64238182"/>
    <d v="2025-03-01T00:00:00"/>
    <x v="2"/>
    <x v="1"/>
    <s v="Bắc Trung Bộ"/>
    <x v="1"/>
    <x v="3"/>
    <n v="64.238181999999995"/>
  </r>
  <r>
    <x v="5"/>
    <s v="Công ty 98"/>
    <x v="0"/>
    <n v="88534818"/>
    <d v="2025-03-01T00:00:00"/>
    <x v="2"/>
    <x v="1"/>
    <s v="Đông Nam Bộ"/>
    <x v="1"/>
    <x v="0"/>
    <n v="88.534818000000001"/>
  </r>
  <r>
    <x v="34"/>
    <s v="Công ty 8"/>
    <x v="1"/>
    <n v="102863636"/>
    <d v="2025-03-01T00:00:00"/>
    <x v="2"/>
    <x v="1"/>
    <s v="Tây Bắc Bộ"/>
    <x v="1"/>
    <x v="7"/>
    <n v="102.863636"/>
  </r>
  <r>
    <x v="0"/>
    <s v="Công ty 88"/>
    <x v="2"/>
    <n v="694196475"/>
    <d v="2025-03-01T00:00:00"/>
    <x v="2"/>
    <x v="1"/>
    <s v="Bắc Trung Bộ"/>
    <x v="1"/>
    <x v="0"/>
    <n v="694.19647499999996"/>
  </r>
  <r>
    <x v="0"/>
    <s v="Công ty 90"/>
    <x v="4"/>
    <n v="38730000"/>
    <d v="2025-03-01T00:00:00"/>
    <x v="2"/>
    <x v="1"/>
    <s v="Bắc Trung Bộ"/>
    <x v="1"/>
    <x v="3"/>
    <n v="38.729999999999997"/>
  </r>
  <r>
    <x v="20"/>
    <s v="Công ty 92"/>
    <x v="0"/>
    <n v="215397273"/>
    <d v="2025-03-01T00:00:00"/>
    <x v="2"/>
    <x v="1"/>
    <s v="Duyên hải Nam Trung Bộ"/>
    <x v="1"/>
    <x v="1"/>
    <n v="215.39727300000001"/>
  </r>
  <r>
    <x v="19"/>
    <s v="Công ty 97"/>
    <x v="4"/>
    <n v="118181818"/>
    <d v="2025-03-01T00:00:00"/>
    <x v="2"/>
    <x v="1"/>
    <s v="Duyên hải Nam Trung Bộ"/>
    <x v="1"/>
    <x v="3"/>
    <n v="118.18181800000001"/>
  </r>
  <r>
    <x v="14"/>
    <s v="Công ty 99"/>
    <x v="0"/>
    <n v="107862370"/>
    <d v="2025-03-01T00:00:00"/>
    <x v="2"/>
    <x v="1"/>
    <s v="ĐB Sông Hồng"/>
    <x v="1"/>
    <x v="1"/>
    <n v="107.86237"/>
  </r>
  <r>
    <x v="46"/>
    <s v="Công ty 92"/>
    <x v="4"/>
    <n v="213636364"/>
    <d v="2025-03-01T00:00:00"/>
    <x v="2"/>
    <x v="1"/>
    <s v="ĐB Sông Cửu Long"/>
    <x v="1"/>
    <x v="3"/>
    <n v="213.63636399999999"/>
  </r>
  <r>
    <x v="46"/>
    <s v="Công ty 83"/>
    <x v="4"/>
    <n v="56818182"/>
    <d v="2025-03-01T00:00:00"/>
    <x v="2"/>
    <x v="1"/>
    <s v="ĐB Sông Cửu Long"/>
    <x v="1"/>
    <x v="3"/>
    <n v="56.818182"/>
  </r>
  <r>
    <x v="4"/>
    <s v="Công ty 89"/>
    <x v="2"/>
    <n v="38522834"/>
    <d v="2025-03-01T00:00:00"/>
    <x v="2"/>
    <x v="1"/>
    <s v="Đông Nam Bộ"/>
    <x v="1"/>
    <x v="13"/>
    <n v="38.522834000000003"/>
  </r>
  <r>
    <x v="34"/>
    <s v="Công ty 91"/>
    <x v="3"/>
    <n v="103454545"/>
    <d v="2025-03-01T00:00:00"/>
    <x v="2"/>
    <x v="1"/>
    <s v="Tây Bắc Bộ"/>
    <x v="1"/>
    <x v="7"/>
    <n v="103.454545"/>
  </r>
  <r>
    <x v="2"/>
    <s v="Công ty 92"/>
    <x v="0"/>
    <n v="164340909"/>
    <d v="2025-03-01T00:00:00"/>
    <x v="2"/>
    <x v="1"/>
    <s v="ĐB Sông Cửu Long"/>
    <x v="1"/>
    <x v="16"/>
    <n v="164.34090900000001"/>
  </r>
  <r>
    <x v="14"/>
    <s v="Công ty 98"/>
    <x v="0"/>
    <n v="204600000"/>
    <d v="2025-03-01T00:00:00"/>
    <x v="2"/>
    <x v="1"/>
    <s v="ĐB Sông Hồng"/>
    <x v="1"/>
    <x v="5"/>
    <n v="204.6"/>
  </r>
  <r>
    <x v="28"/>
    <s v="Công ty 98"/>
    <x v="4"/>
    <n v="58672727"/>
    <d v="2025-03-01T00:00:00"/>
    <x v="2"/>
    <x v="1"/>
    <s v="ĐB Sông Hồng"/>
    <x v="1"/>
    <x v="3"/>
    <n v="58.672727000000002"/>
  </r>
  <r>
    <x v="26"/>
    <s v="Doanh nghiệp 10"/>
    <x v="1"/>
    <n v="92016000"/>
    <d v="2025-03-01T00:00:00"/>
    <x v="2"/>
    <x v="1"/>
    <s v="Đông Nam Bộ"/>
    <x v="1"/>
    <x v="2"/>
    <n v="92.016000000000005"/>
  </r>
  <r>
    <x v="56"/>
    <s v="Doanh nghiệp 29"/>
    <x v="1"/>
    <n v="26638909"/>
    <d v="2025-03-01T00:00:00"/>
    <x v="2"/>
    <x v="1"/>
    <s v="ĐB Sông Cửu Long"/>
    <x v="1"/>
    <x v="2"/>
    <n v="26.638909000000002"/>
  </r>
  <r>
    <x v="14"/>
    <s v="Doanh nghiệp 30"/>
    <x v="2"/>
    <n v="181783636"/>
    <d v="2025-03-01T00:00:00"/>
    <x v="2"/>
    <x v="1"/>
    <s v="ĐB Sông Hồng"/>
    <x v="1"/>
    <x v="13"/>
    <n v="181.783636"/>
  </r>
  <r>
    <x v="14"/>
    <s v="Doanh nghiệp 31"/>
    <x v="2"/>
    <n v="44819018"/>
    <d v="2025-03-01T00:00:00"/>
    <x v="2"/>
    <x v="1"/>
    <s v="ĐB Sông Hồng"/>
    <x v="1"/>
    <x v="13"/>
    <n v="44.819018"/>
  </r>
  <r>
    <x v="61"/>
    <s v="Doanh nghiệp 18"/>
    <x v="3"/>
    <n v="146300967"/>
    <d v="2025-03-01T00:00:00"/>
    <x v="2"/>
    <x v="1"/>
    <s v="ĐB Sông Hồng"/>
    <x v="1"/>
    <x v="7"/>
    <n v="146.30096700000001"/>
  </r>
  <r>
    <x v="2"/>
    <s v="Doanh nghiệp 27"/>
    <x v="0"/>
    <n v="49446273"/>
    <d v="2025-03-01T00:00:00"/>
    <x v="2"/>
    <x v="1"/>
    <s v="ĐB Sông Cửu Long"/>
    <x v="1"/>
    <x v="0"/>
    <n v="49.446272999999998"/>
  </r>
  <r>
    <x v="46"/>
    <s v="Tập đoàn 21"/>
    <x v="1"/>
    <n v="7818182"/>
    <d v="2025-03-01T00:00:00"/>
    <x v="2"/>
    <x v="1"/>
    <s v="ĐB Sông Cửu Long"/>
    <x v="1"/>
    <x v="2"/>
    <n v="7.8181820000000002"/>
  </r>
  <r>
    <x v="0"/>
    <s v="Tập đoàn 79"/>
    <x v="2"/>
    <n v="19440000"/>
    <d v="2025-03-01T00:00:00"/>
    <x v="2"/>
    <x v="1"/>
    <s v="Bắc Trung Bộ"/>
    <x v="1"/>
    <x v="13"/>
    <n v="19.440000000000001"/>
  </r>
  <r>
    <x v="13"/>
    <s v="Tập đoàn 91"/>
    <x v="4"/>
    <n v="90909091"/>
    <d v="2025-03-01T00:00:00"/>
    <x v="2"/>
    <x v="1"/>
    <s v="Tây Bắc Bộ"/>
    <x v="1"/>
    <x v="9"/>
    <n v="90.909091000000004"/>
  </r>
  <r>
    <x v="53"/>
    <s v="Tập đoàn 93"/>
    <x v="4"/>
    <n v="11345455"/>
    <d v="2025-03-01T00:00:00"/>
    <x v="2"/>
    <x v="1"/>
    <s v="Đông Bắc Bộ"/>
    <x v="1"/>
    <x v="9"/>
    <n v="11.345454999999999"/>
  </r>
  <r>
    <x v="44"/>
    <s v="CÔNG AN TỈNH THANH HOÁ"/>
    <x v="0"/>
    <n v="204519091"/>
    <d v="2025-03-01T00:00:00"/>
    <x v="2"/>
    <x v="1"/>
    <s v="Bắc Trung Bộ"/>
    <x v="2"/>
    <x v="5"/>
    <n v="204.519091"/>
  </r>
  <r>
    <x v="48"/>
    <s v="Đoàn Thanh Niên Xã Nam Hòa"/>
    <x v="4"/>
    <n v="22727273"/>
    <d v="2025-03-01T00:00:00"/>
    <x v="2"/>
    <x v="1"/>
    <s v="Đông Bắc Bộ"/>
    <x v="2"/>
    <x v="9"/>
    <n v="22.727273"/>
  </r>
  <r>
    <x v="53"/>
    <s v="ĐOÀN TNCS HỒ CHÍ MINH TỈNH BẮC KẠN"/>
    <x v="4"/>
    <n v="40227273"/>
    <d v="2025-03-01T00:00:00"/>
    <x v="2"/>
    <x v="1"/>
    <s v="Đông Bắc Bộ"/>
    <x v="2"/>
    <x v="9"/>
    <n v="40.227272999999997"/>
  </r>
  <r>
    <x v="53"/>
    <s v="ĐOÀN TNCS HỒ CHÍ MINH TỈNH BẮC KẠN"/>
    <x v="4"/>
    <n v="40227273"/>
    <d v="2025-03-01T00:00:00"/>
    <x v="2"/>
    <x v="1"/>
    <s v="Đông Bắc Bộ"/>
    <x v="2"/>
    <x v="9"/>
    <n v="40.227272999999997"/>
  </r>
  <r>
    <x v="35"/>
    <s v="Ngân hàng chính sách xã hội tỉnh Lạng Sơn"/>
    <x v="0"/>
    <n v="1928000"/>
    <d v="2025-03-01T00:00:00"/>
    <x v="2"/>
    <x v="1"/>
    <s v="Đông Bắc Bộ"/>
    <x v="3"/>
    <x v="1"/>
    <n v="1.9279999999999999"/>
  </r>
  <r>
    <x v="35"/>
    <s v="Phòng Giao Dịch Ngân Hàng Chính Sách Xã Hội Huyện Đình Lập"/>
    <x v="0"/>
    <n v="3856000"/>
    <d v="2025-03-01T00:00:00"/>
    <x v="2"/>
    <x v="1"/>
    <s v="Đông Bắc Bộ"/>
    <x v="3"/>
    <x v="1"/>
    <n v="3.8559999999999999"/>
  </r>
  <r>
    <x v="8"/>
    <s v="Quân Khu7"/>
    <x v="0"/>
    <n v="428063636"/>
    <d v="2025-03-01T00:00:00"/>
    <x v="2"/>
    <x v="1"/>
    <s v="Đông Nam Bộ"/>
    <x v="2"/>
    <x v="0"/>
    <n v="428.06363599999997"/>
  </r>
  <r>
    <x v="33"/>
    <s v="Trung Tâm Giáo Dục Nghề Nghiệp- Giáo Dục Thường Xuyên Huyện Tân Yên"/>
    <x v="0"/>
    <n v="44650000"/>
    <d v="2025-03-01T00:00:00"/>
    <x v="2"/>
    <x v="1"/>
    <s v="Đông Bắc Bộ"/>
    <x v="2"/>
    <x v="0"/>
    <n v="44.65"/>
  </r>
  <r>
    <x v="41"/>
    <s v="Trung Tâm Văn Hoá Và Truyền Thông Huyện Nguyên Bình"/>
    <x v="0"/>
    <n v="263163636"/>
    <d v="2025-03-01T00:00:00"/>
    <x v="2"/>
    <x v="1"/>
    <s v="Đông Bắc Bộ"/>
    <x v="2"/>
    <x v="5"/>
    <n v="263.163636"/>
  </r>
  <r>
    <x v="41"/>
    <s v="UBND THỊ TRẤN BẢO LẠC"/>
    <x v="3"/>
    <n v="35181818"/>
    <d v="2025-03-01T00:00:00"/>
    <x v="2"/>
    <x v="1"/>
    <s v="Đông Bắc Bộ"/>
    <x v="2"/>
    <x v="7"/>
    <n v="35.181818"/>
  </r>
  <r>
    <x v="0"/>
    <s v="Ubnd Thị Trấn Tân Lạc"/>
    <x v="3"/>
    <n v="45445455"/>
    <d v="2025-03-01T00:00:00"/>
    <x v="2"/>
    <x v="1"/>
    <s v="Bắc Trung Bộ"/>
    <x v="2"/>
    <x v="7"/>
    <n v="45.445455000000003"/>
  </r>
  <r>
    <x v="41"/>
    <s v="UBND xã Bảo Toàn"/>
    <x v="0"/>
    <n v="5581818"/>
    <d v="2025-03-01T00:00:00"/>
    <x v="2"/>
    <x v="1"/>
    <s v="Đông Bắc Bộ"/>
    <x v="2"/>
    <x v="5"/>
    <n v="5.5818180000000002"/>
  </r>
  <r>
    <x v="0"/>
    <s v="Ubnd Xã Châu Bính"/>
    <x v="3"/>
    <n v="45445455"/>
    <d v="2025-03-01T00:00:00"/>
    <x v="2"/>
    <x v="1"/>
    <s v="Bắc Trung Bộ"/>
    <x v="2"/>
    <x v="7"/>
    <n v="45.445455000000003"/>
  </r>
  <r>
    <x v="0"/>
    <s v="Ubnd Xã Châu Bình"/>
    <x v="1"/>
    <n v="45445455"/>
    <d v="2025-03-01T00:00:00"/>
    <x v="2"/>
    <x v="1"/>
    <s v="Bắc Trung Bộ"/>
    <x v="2"/>
    <x v="10"/>
    <n v="45.445455000000003"/>
  </r>
  <r>
    <x v="41"/>
    <s v="UBND XÃ CÔ BA"/>
    <x v="0"/>
    <n v="18990909"/>
    <d v="2025-03-01T00:00:00"/>
    <x v="2"/>
    <x v="1"/>
    <s v="Đông Bắc Bộ"/>
    <x v="2"/>
    <x v="5"/>
    <n v="18.990908999999998"/>
  </r>
  <r>
    <x v="41"/>
    <s v="UBND XÃ CỐC PÀNG"/>
    <x v="0"/>
    <n v="6574545"/>
    <d v="2025-03-01T00:00:00"/>
    <x v="2"/>
    <x v="1"/>
    <s v="Đông Bắc Bộ"/>
    <x v="2"/>
    <x v="5"/>
    <n v="6.5745449999999996"/>
  </r>
  <r>
    <x v="41"/>
    <s v="UBND XÃ CỐC PÀNG"/>
    <x v="0"/>
    <n v="42331818"/>
    <d v="2025-03-01T00:00:00"/>
    <x v="2"/>
    <x v="1"/>
    <s v="Đông Bắc Bộ"/>
    <x v="2"/>
    <x v="5"/>
    <n v="42.331817999999998"/>
  </r>
  <r>
    <x v="47"/>
    <s v="Ubnd Xã Đồng Quý"/>
    <x v="4"/>
    <n v="90872727"/>
    <d v="2025-03-01T00:00:00"/>
    <x v="2"/>
    <x v="1"/>
    <s v="Đông Bắc Bộ"/>
    <x v="2"/>
    <x v="9"/>
    <n v="90.872726999999998"/>
  </r>
  <r>
    <x v="41"/>
    <s v="Ubnd Xã Đức Quang"/>
    <x v="4"/>
    <n v="22727273"/>
    <d v="2025-03-01T00:00:00"/>
    <x v="2"/>
    <x v="1"/>
    <s v="Đông Bắc Bộ"/>
    <x v="2"/>
    <x v="9"/>
    <n v="22.727273"/>
  </r>
  <r>
    <x v="41"/>
    <s v="UBND XÃ HƯNG ĐẠO"/>
    <x v="0"/>
    <n v="11818182"/>
    <d v="2025-03-01T00:00:00"/>
    <x v="2"/>
    <x v="1"/>
    <s v="Đông Bắc Bộ"/>
    <x v="2"/>
    <x v="5"/>
    <n v="11.818182"/>
  </r>
  <r>
    <x v="41"/>
    <s v="UBND XÃ HƯNG ĐẠO"/>
    <x v="0"/>
    <n v="37145455"/>
    <d v="2025-03-01T00:00:00"/>
    <x v="2"/>
    <x v="1"/>
    <s v="Đông Bắc Bộ"/>
    <x v="2"/>
    <x v="5"/>
    <n v="37.145454999999998"/>
  </r>
  <r>
    <x v="41"/>
    <s v="UBND XÃ PHAN THANH"/>
    <x v="0"/>
    <n v="13354545"/>
    <d v="2025-03-01T00:00:00"/>
    <x v="2"/>
    <x v="1"/>
    <s v="Đông Bắc Bộ"/>
    <x v="2"/>
    <x v="5"/>
    <n v="13.354545"/>
  </r>
  <r>
    <x v="47"/>
    <s v="Ubnd Xã Quyết Thắng"/>
    <x v="4"/>
    <n v="90872727"/>
    <d v="2025-03-01T00:00:00"/>
    <x v="2"/>
    <x v="1"/>
    <s v="Đông Bắc Bộ"/>
    <x v="2"/>
    <x v="9"/>
    <n v="90.872726999999998"/>
  </r>
  <r>
    <x v="41"/>
    <s v="UBND xã Sơn Lộ"/>
    <x v="0"/>
    <n v="6574545"/>
    <d v="2025-03-01T00:00:00"/>
    <x v="2"/>
    <x v="1"/>
    <s v="Đông Bắc Bộ"/>
    <x v="2"/>
    <x v="5"/>
    <n v="6.5745449999999996"/>
  </r>
  <r>
    <x v="41"/>
    <s v="Ủy Ban Nhân Dân Xã Chí Thảo"/>
    <x v="4"/>
    <n v="22727273"/>
    <d v="2025-03-01T00:00:00"/>
    <x v="2"/>
    <x v="1"/>
    <s v="Đông Bắc Bộ"/>
    <x v="2"/>
    <x v="9"/>
    <n v="22.727273"/>
  </r>
  <r>
    <x v="41"/>
    <s v="Ủy Ban Nhân Dân Xã Đình Phùng"/>
    <x v="0"/>
    <n v="40063636"/>
    <d v="2025-03-01T00:00:00"/>
    <x v="2"/>
    <x v="1"/>
    <s v="Đông Bắc Bộ"/>
    <x v="2"/>
    <x v="5"/>
    <n v="40.063636000000002"/>
  </r>
  <r>
    <x v="41"/>
    <s v="Ủy Ban Nhân Dân Xã Đình Phùng"/>
    <x v="0"/>
    <n v="26909091"/>
    <d v="2025-03-01T00:00:00"/>
    <x v="2"/>
    <x v="1"/>
    <s v="Đông Bắc Bộ"/>
    <x v="2"/>
    <x v="5"/>
    <n v="26.909091"/>
  </r>
  <r>
    <x v="41"/>
    <s v="Ủy Ban Nhân Dân Xã Hạnh Phúc"/>
    <x v="4"/>
    <n v="22727273"/>
    <d v="2025-03-01T00:00:00"/>
    <x v="2"/>
    <x v="1"/>
    <s v="Đông Bắc Bộ"/>
    <x v="2"/>
    <x v="9"/>
    <n v="22.727273"/>
  </r>
  <r>
    <x v="47"/>
    <s v="ỦY BAN NHÂN DÂN XÃ LANG QUÁN"/>
    <x v="4"/>
    <n v="223309091"/>
    <d v="2025-03-01T00:00:00"/>
    <x v="2"/>
    <x v="1"/>
    <s v="Đông Bắc Bộ"/>
    <x v="2"/>
    <x v="9"/>
    <n v="223.309091"/>
  </r>
  <r>
    <x v="41"/>
    <s v="Ủy Ban Nhân Dân Xã Ngọc Động"/>
    <x v="4"/>
    <n v="12000000"/>
    <d v="2025-03-01T00:00:00"/>
    <x v="2"/>
    <x v="1"/>
    <s v="Đông Bắc Bộ"/>
    <x v="2"/>
    <x v="9"/>
    <n v="12"/>
  </r>
  <r>
    <x v="47"/>
    <s v="Ủy Ban Nhân Dân Xã Tân Thanh"/>
    <x v="4"/>
    <n v="90872727"/>
    <d v="2025-03-01T00:00:00"/>
    <x v="2"/>
    <x v="1"/>
    <s v="Đông Bắc Bộ"/>
    <x v="2"/>
    <x v="9"/>
    <n v="90.872726999999998"/>
  </r>
  <r>
    <x v="12"/>
    <s v="ỦY BAN NHÂN DÂN XÃ TRUNG ĐỒNG"/>
    <x v="4"/>
    <n v="176681818"/>
    <d v="2025-03-01T00:00:00"/>
    <x v="2"/>
    <x v="1"/>
    <s v="Tây Bắc Bộ"/>
    <x v="2"/>
    <x v="9"/>
    <n v="176.68181799999999"/>
  </r>
  <r>
    <x v="47"/>
    <s v="Ủy Ban Nhân Dân Xã Trường Sinh"/>
    <x v="4"/>
    <n v="90872727"/>
    <d v="2025-03-01T00:00:00"/>
    <x v="2"/>
    <x v="1"/>
    <s v="Đông Bắc Bộ"/>
    <x v="4"/>
    <x v="9"/>
    <n v="90.872726999999998"/>
  </r>
  <r>
    <x v="41"/>
    <s v="Ủy Ban Nhân Dân Xã Xuân Trường"/>
    <x v="0"/>
    <n v="11288182"/>
    <d v="2025-03-01T00:00:00"/>
    <x v="2"/>
    <x v="1"/>
    <s v="Đông Bắc Bộ"/>
    <x v="4"/>
    <x v="5"/>
    <n v="11.288182000000001"/>
  </r>
  <r>
    <x v="38"/>
    <s v="Trung Tâm Giáo Dục Môi Trường Và Dịch Vụ Môi Trường Rừng"/>
    <x v="0"/>
    <n v="337172727"/>
    <d v="2025-03-01T00:00:00"/>
    <x v="2"/>
    <x v="1"/>
    <s v="Tây Nguyên"/>
    <x v="4"/>
    <x v="5"/>
    <n v="337.17272700000001"/>
  </r>
  <r>
    <x v="33"/>
    <s v="TRƯỜNG TIỂU HỌC QUANG MINH"/>
    <x v="0"/>
    <n v="32950000"/>
    <d v="2025-03-01T00:00:00"/>
    <x v="2"/>
    <x v="1"/>
    <s v="Đông Bắc Bộ"/>
    <x v="4"/>
    <x v="0"/>
    <n v="32.950000000000003"/>
  </r>
  <r>
    <x v="9"/>
    <s v="TRƯỜNG TIỂU HỌC, TRUNG HỌC CƠ SỞ VÀ TRUNG HỌC PHỔ THÔNG ANH QUỐC"/>
    <x v="2"/>
    <n v="27172727"/>
    <d v="2025-03-01T00:00:00"/>
    <x v="2"/>
    <x v="1"/>
    <s v="Duyên hải Nam Trung Bộ"/>
    <x v="4"/>
    <x v="2"/>
    <n v="27.172726999999998"/>
  </r>
  <r>
    <x v="9"/>
    <s v="BỆNH VIỆN ĐÀ NẴNG"/>
    <x v="1"/>
    <n v="117205182"/>
    <d v="2024-04-01T00:00:00"/>
    <x v="3"/>
    <x v="0"/>
    <s v="Duyên hải Nam Trung Bộ"/>
    <x v="0"/>
    <x v="4"/>
    <n v="117.20518199999999"/>
  </r>
  <r>
    <x v="32"/>
    <s v="Bệnh Viện Y Học Cổ Truyền Đồng Tháp"/>
    <x v="2"/>
    <n v="17454545"/>
    <d v="2024-04-01T00:00:00"/>
    <x v="3"/>
    <x v="0"/>
    <s v="ĐB Sông Cửu Long"/>
    <x v="0"/>
    <x v="2"/>
    <n v="17.454545"/>
  </r>
  <r>
    <x v="0"/>
    <s v="Bệnh Viện Y Học Cổ Truyền Nghệ An"/>
    <x v="1"/>
    <n v="44090909"/>
    <d v="2024-04-01T00:00:00"/>
    <x v="3"/>
    <x v="0"/>
    <s v="Bắc Trung Bộ"/>
    <x v="0"/>
    <x v="2"/>
    <n v="44.090909000000003"/>
  </r>
  <r>
    <x v="0"/>
    <s v="Bệnh Viện Y Học Cổ Truyền Nghệ An"/>
    <x v="2"/>
    <n v="44090909"/>
    <d v="2024-04-01T00:00:00"/>
    <x v="3"/>
    <x v="0"/>
    <s v="Bắc Trung Bộ"/>
    <x v="0"/>
    <x v="2"/>
    <n v="44.090909000000003"/>
  </r>
  <r>
    <x v="29"/>
    <s v="Công ty 48"/>
    <x v="0"/>
    <n v="460643184"/>
    <d v="2024-04-01T00:00:00"/>
    <x v="3"/>
    <x v="0"/>
    <s v="ĐB Sông Cửu Long"/>
    <x v="1"/>
    <x v="5"/>
    <n v="460.64318400000002"/>
  </r>
  <r>
    <x v="5"/>
    <s v="Công ty 74"/>
    <x v="0"/>
    <n v="20347273"/>
    <d v="2024-04-01T00:00:00"/>
    <x v="3"/>
    <x v="0"/>
    <s v="Đông Nam Bộ"/>
    <x v="1"/>
    <x v="1"/>
    <n v="20.347273000000001"/>
  </r>
  <r>
    <x v="10"/>
    <s v="Công ty 87"/>
    <x v="1"/>
    <n v="6597306371"/>
    <d v="2024-04-01T00:00:00"/>
    <x v="3"/>
    <x v="0"/>
    <s v="Duyên hải Nam Trung Bộ"/>
    <x v="1"/>
    <x v="4"/>
    <n v="6597.3063709999997"/>
  </r>
  <r>
    <x v="10"/>
    <s v="Công ty 88"/>
    <x v="1"/>
    <n v="4981513935"/>
    <d v="2024-04-01T00:00:00"/>
    <x v="3"/>
    <x v="0"/>
    <s v="Duyên hải Nam Trung Bộ"/>
    <x v="1"/>
    <x v="4"/>
    <n v="4981.5139349999999"/>
  </r>
  <r>
    <x v="11"/>
    <s v="Công ty 99"/>
    <x v="4"/>
    <n v="60317931"/>
    <d v="2024-04-01T00:00:00"/>
    <x v="3"/>
    <x v="0"/>
    <s v="Đông Nam Bộ"/>
    <x v="1"/>
    <x v="3"/>
    <n v="60.317931000000002"/>
  </r>
  <r>
    <x v="11"/>
    <s v="Công ty 1"/>
    <x v="2"/>
    <n v="54219399"/>
    <d v="2024-04-01T00:00:00"/>
    <x v="3"/>
    <x v="0"/>
    <s v="Đông Nam Bộ"/>
    <x v="1"/>
    <x v="3"/>
    <n v="54.219399000000003"/>
  </r>
  <r>
    <x v="11"/>
    <s v="Công ty 2"/>
    <x v="2"/>
    <n v="39376425"/>
    <d v="2024-04-01T00:00:00"/>
    <x v="3"/>
    <x v="0"/>
    <s v="Đông Nam Bộ"/>
    <x v="1"/>
    <x v="3"/>
    <n v="39.376424999999998"/>
  </r>
  <r>
    <x v="11"/>
    <s v="Công ty 3"/>
    <x v="2"/>
    <n v="35701756"/>
    <d v="2024-04-01T00:00:00"/>
    <x v="3"/>
    <x v="0"/>
    <s v="Đông Nam Bộ"/>
    <x v="1"/>
    <x v="3"/>
    <n v="35.701756000000003"/>
  </r>
  <r>
    <x v="11"/>
    <s v="Công ty 4"/>
    <x v="2"/>
    <n v="7601482"/>
    <d v="2024-04-01T00:00:00"/>
    <x v="3"/>
    <x v="0"/>
    <s v="Đông Nam Bộ"/>
    <x v="1"/>
    <x v="3"/>
    <n v="7.6014819999999999"/>
  </r>
  <r>
    <x v="60"/>
    <s v="Công ty 15"/>
    <x v="1"/>
    <n v="75059091"/>
    <d v="2024-04-01T00:00:00"/>
    <x v="3"/>
    <x v="0"/>
    <s v="Đông Bắc Bộ"/>
    <x v="1"/>
    <x v="2"/>
    <n v="75.059090999999995"/>
  </r>
  <r>
    <x v="60"/>
    <s v="Công ty 52"/>
    <x v="0"/>
    <n v="37054545"/>
    <d v="2024-04-01T00:00:00"/>
    <x v="3"/>
    <x v="0"/>
    <s v="Đông Bắc Bộ"/>
    <x v="1"/>
    <x v="1"/>
    <n v="37.054544999999997"/>
  </r>
  <r>
    <x v="13"/>
    <s v="Công ty 60"/>
    <x v="1"/>
    <n v="136225455"/>
    <d v="2024-04-01T00:00:00"/>
    <x v="3"/>
    <x v="0"/>
    <s v="Tây Bắc Bộ"/>
    <x v="1"/>
    <x v="2"/>
    <n v="136.22545500000001"/>
  </r>
  <r>
    <x v="6"/>
    <s v="Công ty 67"/>
    <x v="2"/>
    <n v="19351636"/>
    <d v="2024-04-01T00:00:00"/>
    <x v="3"/>
    <x v="0"/>
    <s v="Đông Bắc Bộ"/>
    <x v="1"/>
    <x v="1"/>
    <n v="19.351635999999999"/>
  </r>
  <r>
    <x v="6"/>
    <s v="Công ty 73"/>
    <x v="2"/>
    <n v="233280000"/>
    <d v="2024-04-01T00:00:00"/>
    <x v="3"/>
    <x v="0"/>
    <s v="Đông Bắc Bộ"/>
    <x v="1"/>
    <x v="0"/>
    <n v="233.28"/>
  </r>
  <r>
    <x v="38"/>
    <s v="Công ty 77"/>
    <x v="4"/>
    <n v="672174315"/>
    <d v="2024-04-01T00:00:00"/>
    <x v="3"/>
    <x v="0"/>
    <s v="Tây Nguyên"/>
    <x v="1"/>
    <x v="3"/>
    <n v="672.17431499999998"/>
  </r>
  <r>
    <x v="11"/>
    <s v="Công ty 89"/>
    <x v="2"/>
    <n v="18006545"/>
    <d v="2024-04-01T00:00:00"/>
    <x v="3"/>
    <x v="0"/>
    <s v="Đông Nam Bộ"/>
    <x v="1"/>
    <x v="13"/>
    <n v="18.006544999999999"/>
  </r>
  <r>
    <x v="27"/>
    <s v="Công ty 8"/>
    <x v="0"/>
    <n v="56911000"/>
    <d v="2024-04-01T00:00:00"/>
    <x v="3"/>
    <x v="0"/>
    <s v="Bắc Trung Bộ"/>
    <x v="1"/>
    <x v="16"/>
    <n v="56.911000000000001"/>
  </r>
  <r>
    <x v="11"/>
    <s v="Công ty 21"/>
    <x v="2"/>
    <n v="357564044"/>
    <d v="2024-04-01T00:00:00"/>
    <x v="3"/>
    <x v="0"/>
    <s v="Đông Nam Bộ"/>
    <x v="1"/>
    <x v="3"/>
    <n v="357.56404400000002"/>
  </r>
  <r>
    <x v="31"/>
    <s v="Công ty 23"/>
    <x v="0"/>
    <n v="16333182"/>
    <d v="2024-04-01T00:00:00"/>
    <x v="3"/>
    <x v="0"/>
    <s v="Tây Nguyên"/>
    <x v="1"/>
    <x v="1"/>
    <n v="16.333182000000001"/>
  </r>
  <r>
    <x v="0"/>
    <s v="Công ty 43"/>
    <x v="0"/>
    <n v="58798636"/>
    <d v="2024-04-01T00:00:00"/>
    <x v="3"/>
    <x v="0"/>
    <s v="Bắc Trung Bộ"/>
    <x v="1"/>
    <x v="1"/>
    <n v="58.798636000000002"/>
  </r>
  <r>
    <x v="52"/>
    <s v="Công ty 47"/>
    <x v="2"/>
    <n v="12545455"/>
    <d v="2024-04-01T00:00:00"/>
    <x v="3"/>
    <x v="0"/>
    <s v="ĐB Sông Hồng"/>
    <x v="1"/>
    <x v="2"/>
    <n v="12.545455"/>
  </r>
  <r>
    <x v="52"/>
    <s v="Công ty 48"/>
    <x v="2"/>
    <n v="12545455"/>
    <d v="2024-04-01T00:00:00"/>
    <x v="3"/>
    <x v="0"/>
    <s v="ĐB Sông Hồng"/>
    <x v="1"/>
    <x v="2"/>
    <n v="12.545455"/>
  </r>
  <r>
    <x v="23"/>
    <s v="Công ty 15"/>
    <x v="0"/>
    <n v="221468273"/>
    <d v="2024-04-01T00:00:00"/>
    <x v="3"/>
    <x v="0"/>
    <s v="Duyên hải Nam Trung Bộ"/>
    <x v="1"/>
    <x v="1"/>
    <n v="221.46827300000001"/>
  </r>
  <r>
    <x v="20"/>
    <s v="Công ty 32"/>
    <x v="2"/>
    <n v="35720000"/>
    <d v="2024-04-01T00:00:00"/>
    <x v="3"/>
    <x v="0"/>
    <s v="Duyên hải Nam Trung Bộ"/>
    <x v="1"/>
    <x v="0"/>
    <n v="35.72"/>
  </r>
  <r>
    <x v="1"/>
    <s v="Công ty 48"/>
    <x v="0"/>
    <n v="24029091"/>
    <d v="2024-04-01T00:00:00"/>
    <x v="3"/>
    <x v="0"/>
    <s v="Duyên hải Nam Trung Bộ"/>
    <x v="1"/>
    <x v="0"/>
    <n v="24.029091000000001"/>
  </r>
  <r>
    <x v="0"/>
    <s v="Công ty 71"/>
    <x v="0"/>
    <n v="143681818"/>
    <d v="2024-04-01T00:00:00"/>
    <x v="3"/>
    <x v="0"/>
    <s v="Bắc Trung Bộ"/>
    <x v="1"/>
    <x v="5"/>
    <n v="143.68181799999999"/>
  </r>
  <r>
    <x v="34"/>
    <s v="Công ty 88"/>
    <x v="1"/>
    <n v="37580227"/>
    <d v="2024-04-01T00:00:00"/>
    <x v="3"/>
    <x v="0"/>
    <s v="Tây Bắc Bộ"/>
    <x v="1"/>
    <x v="13"/>
    <n v="37.580227000000001"/>
  </r>
  <r>
    <x v="47"/>
    <s v="Công ty 1"/>
    <x v="0"/>
    <n v="296375909"/>
    <d v="2024-04-01T00:00:00"/>
    <x v="3"/>
    <x v="0"/>
    <s v="Đông Bắc Bộ"/>
    <x v="1"/>
    <x v="0"/>
    <n v="296.37590899999998"/>
  </r>
  <r>
    <x v="0"/>
    <s v="Công ty 19"/>
    <x v="0"/>
    <n v="42401409"/>
    <d v="2024-04-01T00:00:00"/>
    <x v="3"/>
    <x v="0"/>
    <s v="Bắc Trung Bộ"/>
    <x v="1"/>
    <x v="0"/>
    <n v="42.401409000000001"/>
  </r>
  <r>
    <x v="53"/>
    <s v="Công ty 27"/>
    <x v="1"/>
    <n v="1727273"/>
    <d v="2024-04-01T00:00:00"/>
    <x v="3"/>
    <x v="0"/>
    <s v="Đông Bắc Bộ"/>
    <x v="1"/>
    <x v="2"/>
    <n v="1.7272730000000001"/>
  </r>
  <r>
    <x v="53"/>
    <s v="Công ty 28"/>
    <x v="1"/>
    <n v="20000000"/>
    <d v="2024-04-01T00:00:00"/>
    <x v="3"/>
    <x v="0"/>
    <s v="Đông Bắc Bộ"/>
    <x v="1"/>
    <x v="2"/>
    <n v="20"/>
  </r>
  <r>
    <x v="48"/>
    <s v="Công ty 57"/>
    <x v="0"/>
    <n v="2411000000"/>
    <d v="2024-04-01T00:00:00"/>
    <x v="3"/>
    <x v="0"/>
    <s v="Đông Bắc Bộ"/>
    <x v="1"/>
    <x v="5"/>
    <n v="2411"/>
  </r>
  <r>
    <x v="14"/>
    <s v="Công ty 73"/>
    <x v="4"/>
    <n v="852732840"/>
    <d v="2024-04-01T00:00:00"/>
    <x v="3"/>
    <x v="0"/>
    <s v="ĐB Sông Hồng"/>
    <x v="1"/>
    <x v="3"/>
    <n v="852.73284000000001"/>
  </r>
  <r>
    <x v="55"/>
    <s v="Công ty 82"/>
    <x v="4"/>
    <n v="81702163"/>
    <d v="2024-04-01T00:00:00"/>
    <x v="3"/>
    <x v="0"/>
    <s v="ĐB Sông Hồng"/>
    <x v="1"/>
    <x v="3"/>
    <n v="81.702162999999999"/>
  </r>
  <r>
    <x v="11"/>
    <s v="Công ty 86"/>
    <x v="4"/>
    <n v="10850000000"/>
    <d v="2024-04-01T00:00:00"/>
    <x v="3"/>
    <x v="0"/>
    <s v="Đông Nam Bộ"/>
    <x v="1"/>
    <x v="3"/>
    <n v="10850"/>
  </r>
  <r>
    <x v="5"/>
    <s v="Công ty 87"/>
    <x v="0"/>
    <n v="75760000"/>
    <d v="2024-04-01T00:00:00"/>
    <x v="3"/>
    <x v="0"/>
    <s v="Đông Nam Bộ"/>
    <x v="1"/>
    <x v="0"/>
    <n v="75.760000000000005"/>
  </r>
  <r>
    <x v="30"/>
    <s v="Công ty 97"/>
    <x v="0"/>
    <n v="25450000"/>
    <d v="2024-04-01T00:00:00"/>
    <x v="3"/>
    <x v="0"/>
    <s v="ĐB Sông Cửu Long"/>
    <x v="1"/>
    <x v="1"/>
    <n v="25.45"/>
  </r>
  <r>
    <x v="30"/>
    <s v="Công ty 98"/>
    <x v="1"/>
    <n v="21300000"/>
    <d v="2024-04-01T00:00:00"/>
    <x v="3"/>
    <x v="0"/>
    <s v="ĐB Sông Cửu Long"/>
    <x v="1"/>
    <x v="13"/>
    <n v="21.3"/>
  </r>
  <r>
    <x v="30"/>
    <s v="Công ty 99"/>
    <x v="0"/>
    <n v="38181818"/>
    <d v="2024-04-01T00:00:00"/>
    <x v="3"/>
    <x v="0"/>
    <s v="ĐB Sông Cửu Long"/>
    <x v="1"/>
    <x v="1"/>
    <n v="38.181818"/>
  </r>
  <r>
    <x v="0"/>
    <s v="Công ty 12"/>
    <x v="0"/>
    <n v="76566364"/>
    <d v="2024-04-01T00:00:00"/>
    <x v="3"/>
    <x v="0"/>
    <s v="Bắc Trung Bộ"/>
    <x v="1"/>
    <x v="1"/>
    <n v="76.566363999999993"/>
  </r>
  <r>
    <x v="59"/>
    <s v="Công ty 21"/>
    <x v="4"/>
    <n v="542160000"/>
    <d v="2024-04-01T00:00:00"/>
    <x v="3"/>
    <x v="0"/>
    <s v="ĐB Sông Hồng"/>
    <x v="1"/>
    <x v="3"/>
    <n v="542.16"/>
  </r>
  <r>
    <x v="32"/>
    <s v="Công ty 7"/>
    <x v="1"/>
    <n v="19036364"/>
    <d v="2024-04-01T00:00:00"/>
    <x v="3"/>
    <x v="0"/>
    <s v="ĐB Sông Cửu Long"/>
    <x v="1"/>
    <x v="15"/>
    <n v="19.036363999999999"/>
  </r>
  <r>
    <x v="27"/>
    <s v="Công ty 53"/>
    <x v="0"/>
    <n v="24754545"/>
    <d v="2024-04-01T00:00:00"/>
    <x v="3"/>
    <x v="0"/>
    <s v="Bắc Trung Bộ"/>
    <x v="1"/>
    <x v="1"/>
    <n v="24.754545"/>
  </r>
  <r>
    <x v="8"/>
    <s v="Công ty 54"/>
    <x v="0"/>
    <n v="729672145"/>
    <d v="2024-04-01T00:00:00"/>
    <x v="3"/>
    <x v="0"/>
    <s v="Đông Nam Bộ"/>
    <x v="1"/>
    <x v="1"/>
    <n v="729.672145"/>
  </r>
  <r>
    <x v="38"/>
    <s v="Công ty 42"/>
    <x v="0"/>
    <n v="27440000"/>
    <d v="2024-04-01T00:00:00"/>
    <x v="3"/>
    <x v="0"/>
    <s v="Tây Nguyên"/>
    <x v="1"/>
    <x v="0"/>
    <n v="27.44"/>
  </r>
  <r>
    <x v="29"/>
    <s v="Công ty 48"/>
    <x v="0"/>
    <n v="55183727"/>
    <d v="2024-04-01T00:00:00"/>
    <x v="3"/>
    <x v="0"/>
    <s v="ĐB Sông Cửu Long"/>
    <x v="1"/>
    <x v="1"/>
    <n v="55.183726999999998"/>
  </r>
  <r>
    <x v="60"/>
    <s v="Công ty 59"/>
    <x v="1"/>
    <n v="500863151"/>
    <d v="2024-04-01T00:00:00"/>
    <x v="3"/>
    <x v="0"/>
    <s v="Đông Bắc Bộ"/>
    <x v="1"/>
    <x v="11"/>
    <n v="500.86315100000002"/>
  </r>
  <r>
    <x v="18"/>
    <s v="Công ty 61"/>
    <x v="1"/>
    <n v="91964545"/>
    <d v="2024-04-01T00:00:00"/>
    <x v="3"/>
    <x v="0"/>
    <s v="Tây Nguyên"/>
    <x v="1"/>
    <x v="13"/>
    <n v="91.964545000000001"/>
  </r>
  <r>
    <x v="24"/>
    <s v="Công ty 86"/>
    <x v="1"/>
    <n v="272800000"/>
    <d v="2024-04-01T00:00:00"/>
    <x v="3"/>
    <x v="0"/>
    <s v="ĐB Sông Hồng"/>
    <x v="1"/>
    <x v="2"/>
    <n v="272.8"/>
  </r>
  <r>
    <x v="6"/>
    <s v="Công ty 19"/>
    <x v="2"/>
    <n v="693370836"/>
    <d v="2024-04-01T00:00:00"/>
    <x v="3"/>
    <x v="0"/>
    <s v="Đông Bắc Bộ"/>
    <x v="1"/>
    <x v="0"/>
    <n v="693.37083600000005"/>
  </r>
  <r>
    <x v="6"/>
    <s v="Công ty 20"/>
    <x v="2"/>
    <n v="796246684"/>
    <d v="2024-04-01T00:00:00"/>
    <x v="3"/>
    <x v="0"/>
    <s v="Đông Bắc Bộ"/>
    <x v="1"/>
    <x v="11"/>
    <n v="796.24668399999996"/>
  </r>
  <r>
    <x v="6"/>
    <s v="Công ty 21"/>
    <x v="1"/>
    <n v="1785710388"/>
    <d v="2024-04-01T00:00:00"/>
    <x v="3"/>
    <x v="0"/>
    <s v="Đông Bắc Bộ"/>
    <x v="1"/>
    <x v="11"/>
    <n v="1785.710388"/>
  </r>
  <r>
    <x v="1"/>
    <s v="Công ty 43"/>
    <x v="4"/>
    <n v="117500000"/>
    <d v="2024-04-01T00:00:00"/>
    <x v="3"/>
    <x v="0"/>
    <s v="Duyên hải Nam Trung Bộ"/>
    <x v="1"/>
    <x v="3"/>
    <n v="117.5"/>
  </r>
  <r>
    <x v="24"/>
    <s v="Công ty 44"/>
    <x v="0"/>
    <n v="120926600"/>
    <d v="2024-04-01T00:00:00"/>
    <x v="3"/>
    <x v="0"/>
    <s v="ĐB Sông Hồng"/>
    <x v="1"/>
    <x v="0"/>
    <n v="120.92659999999999"/>
  </r>
  <r>
    <x v="5"/>
    <s v="Công ty 46"/>
    <x v="2"/>
    <n v="14874545"/>
    <d v="2024-04-01T00:00:00"/>
    <x v="3"/>
    <x v="0"/>
    <s v="Đông Nam Bộ"/>
    <x v="1"/>
    <x v="0"/>
    <n v="14.874544999999999"/>
  </r>
  <r>
    <x v="5"/>
    <s v="Công ty 47"/>
    <x v="2"/>
    <n v="41864727"/>
    <d v="2024-04-01T00:00:00"/>
    <x v="3"/>
    <x v="0"/>
    <s v="Đông Nam Bộ"/>
    <x v="1"/>
    <x v="0"/>
    <n v="41.864727000000002"/>
  </r>
  <r>
    <x v="28"/>
    <s v="Công ty 61"/>
    <x v="1"/>
    <n v="143446244"/>
    <d v="2024-04-01T00:00:00"/>
    <x v="3"/>
    <x v="0"/>
    <s v="ĐB Sông Hồng"/>
    <x v="1"/>
    <x v="2"/>
    <n v="143.44624400000001"/>
  </r>
  <r>
    <x v="39"/>
    <s v="Công ty 66"/>
    <x v="2"/>
    <n v="430586330"/>
    <d v="2024-04-01T00:00:00"/>
    <x v="3"/>
    <x v="0"/>
    <s v="ĐB Sông Cửu Long"/>
    <x v="1"/>
    <x v="3"/>
    <n v="430.58632999999998"/>
  </r>
  <r>
    <x v="45"/>
    <s v="Công ty 2"/>
    <x v="0"/>
    <n v="18335000"/>
    <d v="2024-04-01T00:00:00"/>
    <x v="3"/>
    <x v="0"/>
    <s v="ĐB Sông Cửu Long"/>
    <x v="1"/>
    <x v="1"/>
    <n v="18.335000000000001"/>
  </r>
  <r>
    <x v="3"/>
    <s v="Công ty 6"/>
    <x v="0"/>
    <n v="36981818"/>
    <d v="2024-04-01T00:00:00"/>
    <x v="3"/>
    <x v="0"/>
    <s v="ĐB Sông Cửu Long"/>
    <x v="1"/>
    <x v="1"/>
    <n v="36.981817999999997"/>
  </r>
  <r>
    <x v="20"/>
    <s v="Công ty 15"/>
    <x v="0"/>
    <n v="828660918"/>
    <d v="2024-04-01T00:00:00"/>
    <x v="3"/>
    <x v="0"/>
    <s v="Duyên hải Nam Trung Bộ"/>
    <x v="1"/>
    <x v="1"/>
    <n v="828.66091800000004"/>
  </r>
  <r>
    <x v="34"/>
    <s v="Công ty 23"/>
    <x v="1"/>
    <n v="128005636"/>
    <d v="2024-04-01T00:00:00"/>
    <x v="3"/>
    <x v="0"/>
    <s v="Tây Bắc Bộ"/>
    <x v="1"/>
    <x v="13"/>
    <n v="128.00563600000001"/>
  </r>
  <r>
    <x v="41"/>
    <s v="Công ty 40"/>
    <x v="1"/>
    <n v="53707273"/>
    <d v="2024-04-01T00:00:00"/>
    <x v="3"/>
    <x v="0"/>
    <s v="Đông Bắc Bộ"/>
    <x v="1"/>
    <x v="2"/>
    <n v="53.707273000000001"/>
  </r>
  <r>
    <x v="0"/>
    <s v="Công ty 48"/>
    <x v="0"/>
    <n v="16575455"/>
    <d v="2024-04-01T00:00:00"/>
    <x v="3"/>
    <x v="0"/>
    <s v="Bắc Trung Bộ"/>
    <x v="1"/>
    <x v="1"/>
    <n v="16.575455000000002"/>
  </r>
  <r>
    <x v="23"/>
    <s v="Công ty 71"/>
    <x v="0"/>
    <n v="15638000"/>
    <d v="2024-04-01T00:00:00"/>
    <x v="3"/>
    <x v="0"/>
    <s v="Duyên hải Nam Trung Bộ"/>
    <x v="1"/>
    <x v="1"/>
    <n v="15.638"/>
  </r>
  <r>
    <x v="14"/>
    <s v="Công ty 2"/>
    <x v="0"/>
    <n v="31968000"/>
    <d v="2024-04-01T00:00:00"/>
    <x v="3"/>
    <x v="0"/>
    <s v="ĐB Sông Hồng"/>
    <x v="1"/>
    <x v="1"/>
    <n v="31.968"/>
  </r>
  <r>
    <x v="23"/>
    <s v="Công ty 43"/>
    <x v="0"/>
    <n v="9942727"/>
    <d v="2024-04-01T00:00:00"/>
    <x v="3"/>
    <x v="0"/>
    <s v="Duyên hải Nam Trung Bộ"/>
    <x v="1"/>
    <x v="0"/>
    <n v="9.9427269999999996"/>
  </r>
  <r>
    <x v="18"/>
    <s v="Công ty 76"/>
    <x v="1"/>
    <n v="113907854"/>
    <d v="2024-04-01T00:00:00"/>
    <x v="3"/>
    <x v="0"/>
    <s v="Tây Nguyên"/>
    <x v="1"/>
    <x v="4"/>
    <n v="113.907854"/>
  </r>
  <r>
    <x v="58"/>
    <s v="Công ty 86"/>
    <x v="0"/>
    <n v="29936364"/>
    <d v="2024-04-01T00:00:00"/>
    <x v="3"/>
    <x v="0"/>
    <s v="Tây Nguyên"/>
    <x v="1"/>
    <x v="1"/>
    <n v="29.936364000000001"/>
  </r>
  <r>
    <x v="5"/>
    <s v="Công ty 96"/>
    <x v="0"/>
    <n v="41647045"/>
    <d v="2024-04-01T00:00:00"/>
    <x v="3"/>
    <x v="0"/>
    <s v="Đông Nam Bộ"/>
    <x v="1"/>
    <x v="0"/>
    <n v="41.647044999999999"/>
  </r>
  <r>
    <x v="48"/>
    <s v="Công ty 88"/>
    <x v="0"/>
    <n v="59924000"/>
    <d v="2024-04-01T00:00:00"/>
    <x v="3"/>
    <x v="0"/>
    <s v="Đông Bắc Bộ"/>
    <x v="1"/>
    <x v="10"/>
    <n v="59.923999999999999"/>
  </r>
  <r>
    <x v="32"/>
    <s v="Doanh nghiệp 26"/>
    <x v="0"/>
    <n v="12900000"/>
    <d v="2024-04-01T00:00:00"/>
    <x v="3"/>
    <x v="0"/>
    <s v="ĐB Sông Cửu Long"/>
    <x v="1"/>
    <x v="1"/>
    <n v="12.9"/>
  </r>
  <r>
    <x v="38"/>
    <s v="Doanh nghiệp 2"/>
    <x v="4"/>
    <n v="490755549"/>
    <d v="2024-04-01T00:00:00"/>
    <x v="3"/>
    <x v="0"/>
    <s v="Tây Nguyên"/>
    <x v="1"/>
    <x v="3"/>
    <n v="490.75554899999997"/>
  </r>
  <r>
    <x v="56"/>
    <s v="Doanh nghiệp 28"/>
    <x v="1"/>
    <n v="163144800"/>
    <d v="2024-04-01T00:00:00"/>
    <x v="3"/>
    <x v="0"/>
    <s v="ĐB Sông Cửu Long"/>
    <x v="1"/>
    <x v="11"/>
    <n v="163.1448"/>
  </r>
  <r>
    <x v="4"/>
    <s v="Doanh nghiệp 3"/>
    <x v="1"/>
    <n v="245431970"/>
    <d v="2024-04-01T00:00:00"/>
    <x v="3"/>
    <x v="0"/>
    <s v="Đông Nam Bộ"/>
    <x v="1"/>
    <x v="4"/>
    <n v="245.43197000000001"/>
  </r>
  <r>
    <x v="27"/>
    <s v="Doanh nghiệp 10"/>
    <x v="0"/>
    <n v="15347727"/>
    <d v="2024-04-01T00:00:00"/>
    <x v="3"/>
    <x v="0"/>
    <s v="Bắc Trung Bộ"/>
    <x v="1"/>
    <x v="1"/>
    <n v="15.347727000000001"/>
  </r>
  <r>
    <x v="27"/>
    <s v="Doanh nghiệp 12"/>
    <x v="3"/>
    <n v="68181818"/>
    <d v="2024-04-01T00:00:00"/>
    <x v="3"/>
    <x v="0"/>
    <s v="Bắc Trung Bộ"/>
    <x v="1"/>
    <x v="8"/>
    <n v="68.181818000000007"/>
  </r>
  <r>
    <x v="29"/>
    <s v="Doanh nghiệp 17"/>
    <x v="0"/>
    <n v="56327236"/>
    <d v="2024-04-01T00:00:00"/>
    <x v="3"/>
    <x v="0"/>
    <s v="ĐB Sông Cửu Long"/>
    <x v="1"/>
    <x v="1"/>
    <n v="56.327235999999999"/>
  </r>
  <r>
    <x v="47"/>
    <s v="Doanh nghiệp 20"/>
    <x v="0"/>
    <n v="36320000"/>
    <d v="2024-04-01T00:00:00"/>
    <x v="3"/>
    <x v="0"/>
    <s v="Đông Bắc Bộ"/>
    <x v="1"/>
    <x v="1"/>
    <n v="36.32"/>
  </r>
  <r>
    <x v="32"/>
    <s v="Doanh nghiệp 26"/>
    <x v="1"/>
    <n v="9090909"/>
    <d v="2024-04-01T00:00:00"/>
    <x v="3"/>
    <x v="0"/>
    <s v="ĐB Sông Cửu Long"/>
    <x v="1"/>
    <x v="15"/>
    <n v="9.0909089999999999"/>
  </r>
  <r>
    <x v="27"/>
    <s v="Doanh nghiệp 11"/>
    <x v="2"/>
    <n v="40234545"/>
    <d v="2024-04-01T00:00:00"/>
    <x v="3"/>
    <x v="0"/>
    <s v="Bắc Trung Bộ"/>
    <x v="1"/>
    <x v="0"/>
    <n v="40.234544999999997"/>
  </r>
  <r>
    <x v="48"/>
    <s v="Doanh nghiệp 9"/>
    <x v="0"/>
    <n v="1779540000"/>
    <d v="2024-04-01T00:00:00"/>
    <x v="3"/>
    <x v="0"/>
    <s v="Đông Bắc Bộ"/>
    <x v="1"/>
    <x v="5"/>
    <n v="1779.54"/>
  </r>
  <r>
    <x v="47"/>
    <s v="Doanh nghiệp 13"/>
    <x v="4"/>
    <n v="90021200"/>
    <d v="2024-04-01T00:00:00"/>
    <x v="3"/>
    <x v="0"/>
    <s v="Đông Bắc Bộ"/>
    <x v="1"/>
    <x v="9"/>
    <n v="90.021199999999993"/>
  </r>
  <r>
    <x v="38"/>
    <s v="Doanh nghiệp 14"/>
    <x v="4"/>
    <n v="43330905"/>
    <d v="2024-04-01T00:00:00"/>
    <x v="3"/>
    <x v="0"/>
    <s v="Tây Nguyên"/>
    <x v="1"/>
    <x v="9"/>
    <n v="43.330905000000001"/>
  </r>
  <r>
    <x v="2"/>
    <s v="Doanh nghiệp 21"/>
    <x v="1"/>
    <n v="137104545"/>
    <d v="2024-04-01T00:00:00"/>
    <x v="3"/>
    <x v="0"/>
    <s v="ĐB Sông Cửu Long"/>
    <x v="1"/>
    <x v="2"/>
    <n v="137.104545"/>
  </r>
  <r>
    <x v="2"/>
    <s v="Doanh nghiệp 21"/>
    <x v="0"/>
    <n v="96387482"/>
    <d v="2024-04-01T00:00:00"/>
    <x v="3"/>
    <x v="0"/>
    <s v="ĐB Sông Cửu Long"/>
    <x v="1"/>
    <x v="0"/>
    <n v="96.387482000000006"/>
  </r>
  <r>
    <x v="60"/>
    <s v="Tập đoàn 9"/>
    <x v="1"/>
    <n v="149456000"/>
    <d v="2024-04-01T00:00:00"/>
    <x v="3"/>
    <x v="0"/>
    <s v="Đông Bắc Bộ"/>
    <x v="1"/>
    <x v="2"/>
    <n v="149.45599999999999"/>
  </r>
  <r>
    <x v="50"/>
    <s v="Tập đoàn 18"/>
    <x v="0"/>
    <n v="680697909"/>
    <d v="2024-04-01T00:00:00"/>
    <x v="3"/>
    <x v="0"/>
    <s v="Tây Bắc Bộ"/>
    <x v="1"/>
    <x v="1"/>
    <n v="680.69790899999998"/>
  </r>
  <r>
    <x v="12"/>
    <s v="Tập đoàn 22"/>
    <x v="1"/>
    <n v="40068000"/>
    <d v="2024-04-01T00:00:00"/>
    <x v="3"/>
    <x v="0"/>
    <s v="Tây Bắc Bộ"/>
    <x v="1"/>
    <x v="13"/>
    <n v="40.067999999999998"/>
  </r>
  <r>
    <x v="25"/>
    <s v="Tập đoàn 24"/>
    <x v="0"/>
    <n v="33776364"/>
    <d v="2024-04-01T00:00:00"/>
    <x v="3"/>
    <x v="0"/>
    <s v="Tây Nguyên"/>
    <x v="1"/>
    <x v="5"/>
    <n v="33.776364000000001"/>
  </r>
  <r>
    <x v="3"/>
    <s v="Tập đoàn 34"/>
    <x v="2"/>
    <n v="27232126"/>
    <d v="2024-04-01T00:00:00"/>
    <x v="3"/>
    <x v="0"/>
    <s v="ĐB Sông Cửu Long"/>
    <x v="1"/>
    <x v="4"/>
    <n v="27.232126000000001"/>
  </r>
  <r>
    <x v="51"/>
    <s v="Tập đoàn 39"/>
    <x v="0"/>
    <n v="42000000"/>
    <d v="2024-04-01T00:00:00"/>
    <x v="3"/>
    <x v="0"/>
    <s v="ĐB Sông Hồng"/>
    <x v="1"/>
    <x v="1"/>
    <n v="42"/>
  </r>
  <r>
    <x v="51"/>
    <s v="Tập đoàn 40"/>
    <x v="0"/>
    <n v="30094545"/>
    <d v="2024-04-01T00:00:00"/>
    <x v="3"/>
    <x v="0"/>
    <s v="ĐB Sông Hồng"/>
    <x v="1"/>
    <x v="16"/>
    <n v="30.094545"/>
  </r>
  <r>
    <x v="51"/>
    <s v="Tập đoàn 41"/>
    <x v="0"/>
    <n v="78000000"/>
    <d v="2024-04-01T00:00:00"/>
    <x v="3"/>
    <x v="0"/>
    <s v="ĐB Sông Hồng"/>
    <x v="1"/>
    <x v="1"/>
    <n v="78"/>
  </r>
  <r>
    <x v="0"/>
    <s v="Tập đoàn 60"/>
    <x v="2"/>
    <n v="19793455"/>
    <d v="2024-04-01T00:00:00"/>
    <x v="3"/>
    <x v="0"/>
    <s v="Bắc Trung Bộ"/>
    <x v="1"/>
    <x v="13"/>
    <n v="19.793455000000002"/>
  </r>
  <r>
    <x v="13"/>
    <s v="Tập đoàn 93"/>
    <x v="4"/>
    <n v="42909091"/>
    <d v="2024-04-01T00:00:00"/>
    <x v="3"/>
    <x v="0"/>
    <s v="Tây Bắc Bộ"/>
    <x v="1"/>
    <x v="9"/>
    <n v="42.909090999999997"/>
  </r>
  <r>
    <x v="41"/>
    <s v="Tập đoàn 94"/>
    <x v="0"/>
    <n v="13915000"/>
    <d v="2024-04-01T00:00:00"/>
    <x v="3"/>
    <x v="0"/>
    <s v="Đông Bắc Bộ"/>
    <x v="1"/>
    <x v="1"/>
    <n v="13.914999999999999"/>
  </r>
  <r>
    <x v="0"/>
    <s v="Tập đoàn 94"/>
    <x v="3"/>
    <n v="40909091"/>
    <d v="2024-04-01T00:00:00"/>
    <x v="3"/>
    <x v="0"/>
    <s v="Bắc Trung Bộ"/>
    <x v="1"/>
    <x v="7"/>
    <n v="40.909090999999997"/>
  </r>
  <r>
    <x v="14"/>
    <s v="Tập đoàn 93"/>
    <x v="0"/>
    <n v="156156410"/>
    <d v="2024-04-01T00:00:00"/>
    <x v="3"/>
    <x v="0"/>
    <s v="ĐB Sông Hồng"/>
    <x v="1"/>
    <x v="1"/>
    <n v="156.15640999999999"/>
  </r>
  <r>
    <x v="42"/>
    <s v="Công ty 51"/>
    <x v="4"/>
    <n v="43909091"/>
    <d v="2024-04-01T00:00:00"/>
    <x v="3"/>
    <x v="0"/>
    <s v="Tây Bắc Bộ"/>
    <x v="1"/>
    <x v="9"/>
    <n v="43.909090999999997"/>
  </r>
  <r>
    <x v="42"/>
    <s v="Công ty 52"/>
    <x v="4"/>
    <n v="11454545"/>
    <d v="2024-04-01T00:00:00"/>
    <x v="3"/>
    <x v="0"/>
    <s v="Tây Bắc Bộ"/>
    <x v="1"/>
    <x v="9"/>
    <n v="11.454545"/>
  </r>
  <r>
    <x v="42"/>
    <s v="Công ty 53"/>
    <x v="4"/>
    <n v="34363636"/>
    <d v="2024-04-01T00:00:00"/>
    <x v="3"/>
    <x v="0"/>
    <s v="Tây Bắc Bộ"/>
    <x v="1"/>
    <x v="9"/>
    <n v="34.363636"/>
  </r>
  <r>
    <x v="42"/>
    <s v="Công ty 54"/>
    <x v="4"/>
    <n v="209783636"/>
    <d v="2024-04-01T00:00:00"/>
    <x v="3"/>
    <x v="0"/>
    <s v="Tây Bắc Bộ"/>
    <x v="1"/>
    <x v="9"/>
    <n v="209.783636"/>
  </r>
  <r>
    <x v="42"/>
    <s v="Công ty 55"/>
    <x v="4"/>
    <n v="234409091"/>
    <d v="2024-04-01T00:00:00"/>
    <x v="3"/>
    <x v="0"/>
    <s v="Tây Bắc Bộ"/>
    <x v="1"/>
    <x v="9"/>
    <n v="234.40909099999999"/>
  </r>
  <r>
    <x v="26"/>
    <s v="Công ty 99"/>
    <x v="0"/>
    <n v="16350000"/>
    <d v="2024-04-01T00:00:00"/>
    <x v="3"/>
    <x v="0"/>
    <s v="Đông Nam Bộ"/>
    <x v="1"/>
    <x v="1"/>
    <n v="16.350000000000001"/>
  </r>
  <r>
    <x v="23"/>
    <s v="CÔNG AN TỈNH QUẢNG NGÃI"/>
    <x v="3"/>
    <n v="37861818"/>
    <d v="2024-04-01T00:00:00"/>
    <x v="3"/>
    <x v="0"/>
    <s v="Duyên hải Nam Trung Bộ"/>
    <x v="2"/>
    <x v="8"/>
    <n v="37.861818"/>
  </r>
  <r>
    <x v="13"/>
    <s v="Công An Xã Yên Phú"/>
    <x v="2"/>
    <n v="13018182"/>
    <d v="2024-04-01T00:00:00"/>
    <x v="3"/>
    <x v="0"/>
    <s v="Tây Bắc Bộ"/>
    <x v="2"/>
    <x v="1"/>
    <n v="13.018181999999999"/>
  </r>
  <r>
    <x v="17"/>
    <s v="PHÒNG VĂN HÓA VÀ THÔNG TIN HUYỆN SÔNG HINH"/>
    <x v="0"/>
    <n v="262360309"/>
    <d v="2024-04-01T00:00:00"/>
    <x v="3"/>
    <x v="0"/>
    <s v="Duyên hải Nam Trung Bộ"/>
    <x v="2"/>
    <x v="14"/>
    <n v="262.36030899999997"/>
  </r>
  <r>
    <x v="25"/>
    <s v="TRUNG TÂM Y TẾ HUYỆN LẠC DƯƠNG"/>
    <x v="0"/>
    <n v="88940000"/>
    <d v="2024-04-01T00:00:00"/>
    <x v="3"/>
    <x v="0"/>
    <s v="Tây Nguyên"/>
    <x v="2"/>
    <x v="1"/>
    <n v="88.94"/>
  </r>
  <r>
    <x v="39"/>
    <s v="Trung Tâm Y Tế Huyện Tam Bình"/>
    <x v="0"/>
    <n v="71272727"/>
    <d v="2024-04-01T00:00:00"/>
    <x v="3"/>
    <x v="0"/>
    <s v="ĐB Sông Cửu Long"/>
    <x v="2"/>
    <x v="5"/>
    <n v="71.272727000000003"/>
  </r>
  <r>
    <x v="6"/>
    <s v="Trung tâm y tế huyện Tân Sơn"/>
    <x v="2"/>
    <n v="83264073"/>
    <d v="2024-04-01T00:00:00"/>
    <x v="3"/>
    <x v="0"/>
    <s v="Đông Bắc Bộ"/>
    <x v="2"/>
    <x v="2"/>
    <n v="83.264072999999996"/>
  </r>
  <r>
    <x v="33"/>
    <s v="Ubnd Thị Trấn Cao Thượng"/>
    <x v="0"/>
    <n v="21900000"/>
    <d v="2024-04-01T00:00:00"/>
    <x v="3"/>
    <x v="0"/>
    <s v="Đông Bắc Bộ"/>
    <x v="2"/>
    <x v="5"/>
    <n v="21.9"/>
  </r>
  <r>
    <x v="20"/>
    <s v="UBND THỊ TRẤN TÂN MINH"/>
    <x v="0"/>
    <n v="45181818"/>
    <d v="2024-04-01T00:00:00"/>
    <x v="3"/>
    <x v="0"/>
    <s v="Duyên hải Nam Trung Bộ"/>
    <x v="2"/>
    <x v="5"/>
    <n v="45.181818"/>
  </r>
  <r>
    <x v="20"/>
    <s v="UBND THỊ TRẤN TÂN NGHĨA"/>
    <x v="0"/>
    <n v="45181818"/>
    <d v="2024-04-01T00:00:00"/>
    <x v="3"/>
    <x v="0"/>
    <s v="Duyên hải Nam Trung Bộ"/>
    <x v="2"/>
    <x v="5"/>
    <n v="45.181818"/>
  </r>
  <r>
    <x v="41"/>
    <s v="UBND THỊ TRẤN THANH NHẬT"/>
    <x v="4"/>
    <n v="22727273"/>
    <d v="2024-04-01T00:00:00"/>
    <x v="3"/>
    <x v="0"/>
    <s v="Đông Bắc Bộ"/>
    <x v="2"/>
    <x v="9"/>
    <n v="22.727273"/>
  </r>
  <r>
    <x v="41"/>
    <s v="Ubnd Xã An Lạc"/>
    <x v="4"/>
    <n v="22727273"/>
    <d v="2024-04-01T00:00:00"/>
    <x v="3"/>
    <x v="0"/>
    <s v="Đông Bắc Bộ"/>
    <x v="2"/>
    <x v="9"/>
    <n v="22.727273"/>
  </r>
  <r>
    <x v="33"/>
    <s v="UBND XÃ BIỂN ĐỘNG"/>
    <x v="3"/>
    <n v="32727273"/>
    <d v="2024-04-01T00:00:00"/>
    <x v="3"/>
    <x v="0"/>
    <s v="Đông Bắc Bộ"/>
    <x v="2"/>
    <x v="8"/>
    <n v="32.727272999999997"/>
  </r>
  <r>
    <x v="27"/>
    <s v="UBND xã Cẩm Quang"/>
    <x v="2"/>
    <n v="18027273"/>
    <d v="2024-04-01T00:00:00"/>
    <x v="3"/>
    <x v="0"/>
    <s v="Bắc Trung Bộ"/>
    <x v="2"/>
    <x v="0"/>
    <n v="18.027273000000001"/>
  </r>
  <r>
    <x v="41"/>
    <s v="UBND XÃ CÔ NGÂN"/>
    <x v="4"/>
    <n v="22727273"/>
    <d v="2024-04-01T00:00:00"/>
    <x v="3"/>
    <x v="0"/>
    <s v="Đông Bắc Bộ"/>
    <x v="2"/>
    <x v="9"/>
    <n v="22.727273"/>
  </r>
  <r>
    <x v="41"/>
    <s v="UBND XÃ CÔ NGÂN"/>
    <x v="4"/>
    <n v="18181818"/>
    <d v="2024-04-01T00:00:00"/>
    <x v="3"/>
    <x v="0"/>
    <s v="Đông Bắc Bộ"/>
    <x v="2"/>
    <x v="9"/>
    <n v="18.181818"/>
  </r>
  <r>
    <x v="41"/>
    <s v="Ubnd Xã Đức Quang"/>
    <x v="4"/>
    <n v="22727273"/>
    <d v="2024-04-01T00:00:00"/>
    <x v="3"/>
    <x v="0"/>
    <s v="Đông Bắc Bộ"/>
    <x v="2"/>
    <x v="9"/>
    <n v="22.727273"/>
  </r>
  <r>
    <x v="22"/>
    <s v="UBND Xã Hương Xuân"/>
    <x v="1"/>
    <n v="313149091"/>
    <d v="2024-04-01T00:00:00"/>
    <x v="3"/>
    <x v="0"/>
    <s v="Bắc Trung Bộ"/>
    <x v="2"/>
    <x v="4"/>
    <n v="313.149091"/>
  </r>
  <r>
    <x v="51"/>
    <s v="Ubnd Xã Nghĩa Sơn"/>
    <x v="0"/>
    <n v="75420000"/>
    <d v="2024-04-01T00:00:00"/>
    <x v="3"/>
    <x v="0"/>
    <s v="ĐB Sông Hồng"/>
    <x v="2"/>
    <x v="1"/>
    <n v="75.42"/>
  </r>
  <r>
    <x v="22"/>
    <s v="UBND XÃ PHONG CHƯƠNG"/>
    <x v="0"/>
    <n v="79090909"/>
    <d v="2024-04-01T00:00:00"/>
    <x v="3"/>
    <x v="0"/>
    <s v="Bắc Trung Bộ"/>
    <x v="2"/>
    <x v="5"/>
    <n v="79.090908999999996"/>
  </r>
  <r>
    <x v="20"/>
    <s v="UBND XÃ SƠN MỸ"/>
    <x v="0"/>
    <n v="45181818"/>
    <d v="2024-04-01T00:00:00"/>
    <x v="3"/>
    <x v="0"/>
    <s v="Duyên hải Nam Trung Bộ"/>
    <x v="2"/>
    <x v="5"/>
    <n v="45.181818"/>
  </r>
  <r>
    <x v="20"/>
    <s v="UBND XÃ SÔNG PHAN"/>
    <x v="0"/>
    <n v="45181818"/>
    <d v="2024-04-01T00:00:00"/>
    <x v="3"/>
    <x v="0"/>
    <s v="Duyên hải Nam Trung Bộ"/>
    <x v="2"/>
    <x v="5"/>
    <n v="45.181818"/>
  </r>
  <r>
    <x v="20"/>
    <s v="UBND XÃ TÂN HÀ"/>
    <x v="0"/>
    <n v="45181818"/>
    <d v="2024-04-01T00:00:00"/>
    <x v="3"/>
    <x v="0"/>
    <s v="Duyên hải Nam Trung Bộ"/>
    <x v="2"/>
    <x v="5"/>
    <n v="45.181818"/>
  </r>
  <r>
    <x v="41"/>
    <s v="UBND XÃ THỊ HOA"/>
    <x v="4"/>
    <n v="22727273"/>
    <d v="2024-04-01T00:00:00"/>
    <x v="3"/>
    <x v="0"/>
    <s v="Đông Bắc Bộ"/>
    <x v="2"/>
    <x v="9"/>
    <n v="22.727273"/>
  </r>
  <r>
    <x v="41"/>
    <s v="UBND XÃ THỐNG NHẤT"/>
    <x v="4"/>
    <n v="22727273"/>
    <d v="2024-04-01T00:00:00"/>
    <x v="3"/>
    <x v="0"/>
    <s v="Đông Bắc Bộ"/>
    <x v="2"/>
    <x v="9"/>
    <n v="22.727273"/>
  </r>
  <r>
    <x v="51"/>
    <s v="UBND XÃ TRỰC CHÍNH"/>
    <x v="0"/>
    <n v="39263636"/>
    <d v="2024-04-01T00:00:00"/>
    <x v="3"/>
    <x v="0"/>
    <s v="ĐB Sông Hồng"/>
    <x v="2"/>
    <x v="16"/>
    <n v="39.263635999999998"/>
  </r>
  <r>
    <x v="41"/>
    <s v="UBND XÃ VINH QUÝ"/>
    <x v="4"/>
    <n v="22727273"/>
    <d v="2024-04-01T00:00:00"/>
    <x v="3"/>
    <x v="0"/>
    <s v="Đông Bắc Bộ"/>
    <x v="2"/>
    <x v="9"/>
    <n v="22.727273"/>
  </r>
  <r>
    <x v="13"/>
    <s v="ủy BAN MẶT TRẬN TỔ QUỐC THỊ TRẤN NGỌC LẶC"/>
    <x v="2"/>
    <n v="7908182"/>
    <d v="2024-04-01T00:00:00"/>
    <x v="3"/>
    <x v="0"/>
    <s v="Tây Bắc Bộ"/>
    <x v="2"/>
    <x v="1"/>
    <n v="7.908182"/>
  </r>
  <r>
    <x v="41"/>
    <s v="UỶ BAN NHÂN DÂN XÃ LÝ QUỐC"/>
    <x v="4"/>
    <n v="22727273"/>
    <d v="2024-04-01T00:00:00"/>
    <x v="3"/>
    <x v="0"/>
    <s v="Đông Bắc Bộ"/>
    <x v="2"/>
    <x v="9"/>
    <n v="22.727273"/>
  </r>
  <r>
    <x v="30"/>
    <s v="Văn Phòng Đăng Ký Đất Đai Tỉnh An Giang"/>
    <x v="1"/>
    <n v="14545455"/>
    <d v="2024-04-01T00:00:00"/>
    <x v="3"/>
    <x v="0"/>
    <s v="ĐB Sông Cửu Long"/>
    <x v="2"/>
    <x v="2"/>
    <n v="14.545455"/>
  </r>
  <r>
    <x v="22"/>
    <s v="VĂN PHÒNG HĐND VÀ UBND HUYỆN NAM ĐÔNG"/>
    <x v="2"/>
    <n v="33058909"/>
    <d v="2024-04-01T00:00:00"/>
    <x v="3"/>
    <x v="0"/>
    <s v="Bắc Trung Bộ"/>
    <x v="2"/>
    <x v="1"/>
    <n v="33.058909"/>
  </r>
  <r>
    <x v="20"/>
    <s v="Văn Phòng Hđnd&amp;ubnd Huyện Hàm Tân"/>
    <x v="0"/>
    <n v="45181818"/>
    <d v="2024-04-01T00:00:00"/>
    <x v="3"/>
    <x v="0"/>
    <s v="Duyên hải Nam Trung Bộ"/>
    <x v="2"/>
    <x v="5"/>
    <n v="45.181818"/>
  </r>
  <r>
    <x v="13"/>
    <s v="Văn Phòng Hội Đồng Nhân Dân Và Uỷ Ban Nhân Dân Huyện Trạm Tấu"/>
    <x v="2"/>
    <n v="14277727"/>
    <d v="2024-04-01T00:00:00"/>
    <x v="3"/>
    <x v="0"/>
    <s v="Tây Bắc Bộ"/>
    <x v="2"/>
    <x v="1"/>
    <n v="14.277727000000001"/>
  </r>
  <r>
    <x v="0"/>
    <s v="VĂN PHÒNG UBND HUYỆN QUỲ HỢP"/>
    <x v="0"/>
    <n v="56635455"/>
    <d v="2024-04-01T00:00:00"/>
    <x v="3"/>
    <x v="0"/>
    <s v="Bắc Trung Bộ"/>
    <x v="2"/>
    <x v="5"/>
    <n v="56.635455"/>
  </r>
  <r>
    <x v="27"/>
    <s v="CÔNG AN XÃ SƠN TRƯỜNG"/>
    <x v="0"/>
    <n v="36909091"/>
    <d v="2024-04-01T00:00:00"/>
    <x v="3"/>
    <x v="0"/>
    <s v="Bắc Trung Bộ"/>
    <x v="4"/>
    <x v="1"/>
    <n v="36.909090999999997"/>
  </r>
  <r>
    <x v="33"/>
    <s v="SỞ TÀI NGUYÊN VÀ MÔI TRƯỜNG"/>
    <x v="0"/>
    <n v="35800000"/>
    <d v="2024-04-01T00:00:00"/>
    <x v="3"/>
    <x v="0"/>
    <s v="Đông Bắc Bộ"/>
    <x v="4"/>
    <x v="0"/>
    <n v="35.799999999999997"/>
  </r>
  <r>
    <x v="33"/>
    <s v="Trường Mầm Non Bảo Đài"/>
    <x v="0"/>
    <n v="14300000"/>
    <d v="2024-04-01T00:00:00"/>
    <x v="3"/>
    <x v="0"/>
    <s v="Đông Bắc Bộ"/>
    <x v="4"/>
    <x v="0"/>
    <n v="14.3"/>
  </r>
  <r>
    <x v="32"/>
    <s v="TRƯỜNG MẦM NON PHÚ CƯỜNG"/>
    <x v="1"/>
    <n v="39545455"/>
    <d v="2024-04-01T00:00:00"/>
    <x v="3"/>
    <x v="0"/>
    <s v="ĐB Sông Cửu Long"/>
    <x v="4"/>
    <x v="2"/>
    <n v="39.545454999999997"/>
  </r>
  <r>
    <x v="32"/>
    <s v="Trường Mầm Non Phú Hiệp"/>
    <x v="1"/>
    <n v="26363636"/>
    <d v="2024-04-01T00:00:00"/>
    <x v="3"/>
    <x v="0"/>
    <s v="ĐB Sông Cửu Long"/>
    <x v="4"/>
    <x v="2"/>
    <n v="26.363636"/>
  </r>
  <r>
    <x v="41"/>
    <s v="TRƯỜNG THPT CÁCH LINH"/>
    <x v="0"/>
    <n v="37272727"/>
    <d v="2024-04-01T00:00:00"/>
    <x v="3"/>
    <x v="0"/>
    <s v="Đông Bắc Bộ"/>
    <x v="4"/>
    <x v="1"/>
    <n v="37.272727000000003"/>
  </r>
  <r>
    <x v="35"/>
    <s v="Trường Thpt Na Dương"/>
    <x v="0"/>
    <n v="61630000"/>
    <d v="2024-04-01T00:00:00"/>
    <x v="3"/>
    <x v="0"/>
    <s v="Đông Bắc Bộ"/>
    <x v="4"/>
    <x v="0"/>
    <n v="61.63"/>
  </r>
  <r>
    <x v="35"/>
    <s v="TRƯỜNG THPT NGÔ SỸ LIÊN"/>
    <x v="0"/>
    <n v="44848000"/>
    <d v="2024-04-01T00:00:00"/>
    <x v="3"/>
    <x v="0"/>
    <s v="Đông Bắc Bộ"/>
    <x v="4"/>
    <x v="0"/>
    <n v="44.847999999999999"/>
  </r>
  <r>
    <x v="8"/>
    <s v="Trường Thpt Nguyễn Bỉnh Khiêm"/>
    <x v="3"/>
    <n v="87200000"/>
    <d v="2024-04-01T00:00:00"/>
    <x v="3"/>
    <x v="0"/>
    <s v="Đông Nam Bộ"/>
    <x v="4"/>
    <x v="7"/>
    <n v="87.2"/>
  </r>
  <r>
    <x v="53"/>
    <s v="TRƯỜNG TIỂU HỌC BÀNH TRẠCH"/>
    <x v="0"/>
    <n v="14235000"/>
    <d v="2024-04-01T00:00:00"/>
    <x v="3"/>
    <x v="0"/>
    <s v="Đông Bắc Bộ"/>
    <x v="4"/>
    <x v="1"/>
    <n v="14.234999999999999"/>
  </r>
  <r>
    <x v="14"/>
    <s v="Trường Tiểu Học Đỗ Ngọc Du"/>
    <x v="0"/>
    <n v="43021320"/>
    <d v="2024-04-01T00:00:00"/>
    <x v="3"/>
    <x v="0"/>
    <s v="ĐB Sông Hồng"/>
    <x v="4"/>
    <x v="0"/>
    <n v="43.021320000000003"/>
  </r>
  <r>
    <x v="25"/>
    <s v="Trường Tiều Học Hoà Nam I"/>
    <x v="0"/>
    <n v="31772727"/>
    <d v="2024-04-01T00:00:00"/>
    <x v="3"/>
    <x v="0"/>
    <s v="Tây Nguyên"/>
    <x v="4"/>
    <x v="0"/>
    <n v="31.772727"/>
  </r>
  <r>
    <x v="6"/>
    <s v="Trường Trung Học Phổ Thông Minh Hòa"/>
    <x v="2"/>
    <n v="88615455"/>
    <d v="2024-04-01T00:00:00"/>
    <x v="3"/>
    <x v="0"/>
    <s v="Đông Bắc Bộ"/>
    <x v="4"/>
    <x v="4"/>
    <n v="88.615454999999997"/>
  </r>
  <r>
    <x v="20"/>
    <s v="BỆNH VIỆN ĐA KHOA KHU VỰC BẮC BÌNH THUẬN"/>
    <x v="0"/>
    <n v="44070000"/>
    <d v="2024-05-01T00:00:00"/>
    <x v="4"/>
    <x v="0"/>
    <s v="Duyên hải Nam Trung Bộ"/>
    <x v="0"/>
    <x v="5"/>
    <n v="44.07"/>
  </r>
  <r>
    <x v="13"/>
    <s v="Bệnh viện đa khoa tỉnh Yên Bái"/>
    <x v="1"/>
    <n v="67618182"/>
    <d v="2024-05-01T00:00:00"/>
    <x v="4"/>
    <x v="0"/>
    <s v="Tây Bắc Bộ"/>
    <x v="0"/>
    <x v="2"/>
    <n v="67.618182000000004"/>
  </r>
  <r>
    <x v="33"/>
    <s v="Bệnh viện Sản - Nhi Bắc Giang"/>
    <x v="1"/>
    <n v="192739091"/>
    <d v="2024-05-01T00:00:00"/>
    <x v="4"/>
    <x v="0"/>
    <s v="Đông Bắc Bộ"/>
    <x v="0"/>
    <x v="4"/>
    <n v="192.739091"/>
  </r>
  <r>
    <x v="16"/>
    <s v="Công ty 1"/>
    <x v="4"/>
    <n v="1042347443"/>
    <d v="2024-05-01T00:00:00"/>
    <x v="4"/>
    <x v="0"/>
    <s v="ĐB Sông Hồng"/>
    <x v="1"/>
    <x v="3"/>
    <n v="1042.3474430000001"/>
  </r>
  <r>
    <x v="17"/>
    <s v="Công ty 1"/>
    <x v="2"/>
    <n v="55774364"/>
    <d v="2024-05-01T00:00:00"/>
    <x v="4"/>
    <x v="0"/>
    <s v="Duyên hải Nam Trung Bộ"/>
    <x v="1"/>
    <x v="0"/>
    <n v="55.774363999999998"/>
  </r>
  <r>
    <x v="47"/>
    <s v="Công ty 1"/>
    <x v="0"/>
    <n v="24708636"/>
    <d v="2024-05-01T00:00:00"/>
    <x v="4"/>
    <x v="0"/>
    <s v="Đông Bắc Bộ"/>
    <x v="1"/>
    <x v="1"/>
    <n v="24.708635999999998"/>
  </r>
  <r>
    <x v="47"/>
    <s v="Công ty 1"/>
    <x v="4"/>
    <n v="90681818"/>
    <d v="2024-05-01T00:00:00"/>
    <x v="4"/>
    <x v="0"/>
    <s v="Đông Bắc Bộ"/>
    <x v="1"/>
    <x v="9"/>
    <n v="90.681818000000007"/>
  </r>
  <r>
    <x v="14"/>
    <s v="Công ty 17"/>
    <x v="1"/>
    <n v="336600008"/>
    <d v="2024-05-01T00:00:00"/>
    <x v="4"/>
    <x v="0"/>
    <s v="ĐB Sông Hồng"/>
    <x v="1"/>
    <x v="2"/>
    <n v="336.600008"/>
  </r>
  <r>
    <x v="7"/>
    <s v="Công ty 34"/>
    <x v="4"/>
    <n v="1294055000"/>
    <d v="2024-05-01T00:00:00"/>
    <x v="4"/>
    <x v="0"/>
    <s v="Bắc Trung Bộ"/>
    <x v="1"/>
    <x v="3"/>
    <n v="1294.0550000000001"/>
  </r>
  <r>
    <x v="0"/>
    <s v="Công ty 34"/>
    <x v="2"/>
    <n v="139520291"/>
    <d v="2024-05-01T00:00:00"/>
    <x v="4"/>
    <x v="0"/>
    <s v="Bắc Trung Bộ"/>
    <x v="1"/>
    <x v="3"/>
    <n v="139.52029099999999"/>
  </r>
  <r>
    <x v="17"/>
    <s v="Công ty 37"/>
    <x v="1"/>
    <n v="95922900"/>
    <d v="2024-05-01T00:00:00"/>
    <x v="4"/>
    <x v="0"/>
    <s v="Duyên hải Nam Trung Bộ"/>
    <x v="1"/>
    <x v="10"/>
    <n v="95.922899999999998"/>
  </r>
  <r>
    <x v="31"/>
    <s v="Công ty 43"/>
    <x v="2"/>
    <n v="73409091"/>
    <d v="2024-05-01T00:00:00"/>
    <x v="4"/>
    <x v="0"/>
    <s v="Tây Nguyên"/>
    <x v="1"/>
    <x v="2"/>
    <n v="73.409091000000004"/>
  </r>
  <r>
    <x v="29"/>
    <s v="Công ty 49"/>
    <x v="0"/>
    <n v="399877500"/>
    <d v="2024-05-01T00:00:00"/>
    <x v="4"/>
    <x v="0"/>
    <s v="ĐB Sông Cửu Long"/>
    <x v="1"/>
    <x v="5"/>
    <n v="399.8775"/>
  </r>
  <r>
    <x v="9"/>
    <s v="Công ty 61"/>
    <x v="0"/>
    <n v="92298764"/>
    <d v="2024-05-01T00:00:00"/>
    <x v="4"/>
    <x v="0"/>
    <s v="Duyên hải Nam Trung Bộ"/>
    <x v="1"/>
    <x v="5"/>
    <n v="92.298764000000006"/>
  </r>
  <r>
    <x v="9"/>
    <s v="Công ty 62"/>
    <x v="0"/>
    <n v="445363636"/>
    <d v="2024-05-01T00:00:00"/>
    <x v="4"/>
    <x v="0"/>
    <s v="Duyên hải Nam Trung Bộ"/>
    <x v="1"/>
    <x v="5"/>
    <n v="445.36363599999999"/>
  </r>
  <r>
    <x v="5"/>
    <s v="Công ty 70"/>
    <x v="0"/>
    <n v="69631337"/>
    <d v="2024-05-01T00:00:00"/>
    <x v="4"/>
    <x v="0"/>
    <s v="Đông Nam Bộ"/>
    <x v="1"/>
    <x v="1"/>
    <n v="69.631337000000002"/>
  </r>
  <r>
    <x v="49"/>
    <s v="Công ty 77"/>
    <x v="0"/>
    <n v="4136364"/>
    <d v="2024-05-01T00:00:00"/>
    <x v="4"/>
    <x v="0"/>
    <s v="ĐB Sông Cửu Long"/>
    <x v="1"/>
    <x v="1"/>
    <n v="4.1363640000000004"/>
  </r>
  <r>
    <x v="49"/>
    <s v="Công ty 78"/>
    <x v="0"/>
    <n v="4136364"/>
    <d v="2024-05-01T00:00:00"/>
    <x v="4"/>
    <x v="0"/>
    <s v="ĐB Sông Cửu Long"/>
    <x v="1"/>
    <x v="1"/>
    <n v="4.1363640000000004"/>
  </r>
  <r>
    <x v="49"/>
    <s v="Công ty 84"/>
    <x v="0"/>
    <n v="5136364"/>
    <d v="2024-05-01T00:00:00"/>
    <x v="4"/>
    <x v="0"/>
    <s v="ĐB Sông Cửu Long"/>
    <x v="1"/>
    <x v="5"/>
    <n v="5.1363640000000004"/>
  </r>
  <r>
    <x v="0"/>
    <s v="Công ty 5"/>
    <x v="0"/>
    <n v="400199091"/>
    <d v="2024-05-01T00:00:00"/>
    <x v="4"/>
    <x v="0"/>
    <s v="Bắc Trung Bộ"/>
    <x v="1"/>
    <x v="0"/>
    <n v="400.19909100000001"/>
  </r>
  <r>
    <x v="9"/>
    <s v="Công ty 95"/>
    <x v="2"/>
    <n v="4745455"/>
    <d v="2024-05-01T00:00:00"/>
    <x v="4"/>
    <x v="0"/>
    <s v="Duyên hải Nam Trung Bộ"/>
    <x v="1"/>
    <x v="2"/>
    <n v="4.7454549999999998"/>
  </r>
  <r>
    <x v="43"/>
    <s v="Công ty 24"/>
    <x v="0"/>
    <n v="249330000"/>
    <d v="2024-05-01T00:00:00"/>
    <x v="4"/>
    <x v="0"/>
    <s v="Đông Nam Bộ"/>
    <x v="1"/>
    <x v="1"/>
    <n v="249.33"/>
  </r>
  <r>
    <x v="19"/>
    <s v="Công ty 30"/>
    <x v="0"/>
    <n v="54031818"/>
    <d v="2024-05-01T00:00:00"/>
    <x v="4"/>
    <x v="0"/>
    <s v="Duyên hải Nam Trung Bộ"/>
    <x v="1"/>
    <x v="1"/>
    <n v="54.031818000000001"/>
  </r>
  <r>
    <x v="59"/>
    <s v="Công ty 37"/>
    <x v="4"/>
    <n v="47127273"/>
    <d v="2024-05-01T00:00:00"/>
    <x v="4"/>
    <x v="0"/>
    <s v="ĐB Sông Hồng"/>
    <x v="1"/>
    <x v="3"/>
    <n v="47.127273000000002"/>
  </r>
  <r>
    <x v="0"/>
    <s v="Công ty 44"/>
    <x v="0"/>
    <n v="17968182"/>
    <d v="2024-05-01T00:00:00"/>
    <x v="4"/>
    <x v="0"/>
    <s v="Bắc Trung Bộ"/>
    <x v="1"/>
    <x v="1"/>
    <n v="17.968181999999999"/>
  </r>
  <r>
    <x v="6"/>
    <s v="Công ty 55"/>
    <x v="2"/>
    <n v="11511818"/>
    <d v="2024-05-01T00:00:00"/>
    <x v="4"/>
    <x v="0"/>
    <s v="Đông Bắc Bộ"/>
    <x v="1"/>
    <x v="11"/>
    <n v="11.511818"/>
  </r>
  <r>
    <x v="47"/>
    <s v="Công ty 59"/>
    <x v="0"/>
    <n v="32583636"/>
    <d v="2024-05-01T00:00:00"/>
    <x v="4"/>
    <x v="0"/>
    <s v="Đông Bắc Bộ"/>
    <x v="1"/>
    <x v="1"/>
    <n v="32.583635999999998"/>
  </r>
  <r>
    <x v="14"/>
    <s v="Công ty 63"/>
    <x v="2"/>
    <n v="220000000"/>
    <d v="2024-05-01T00:00:00"/>
    <x v="4"/>
    <x v="0"/>
    <s v="ĐB Sông Hồng"/>
    <x v="1"/>
    <x v="2"/>
    <n v="220"/>
  </r>
  <r>
    <x v="28"/>
    <s v="Công ty 71"/>
    <x v="0"/>
    <n v="47354545"/>
    <d v="2024-05-01T00:00:00"/>
    <x v="4"/>
    <x v="0"/>
    <s v="ĐB Sông Hồng"/>
    <x v="1"/>
    <x v="14"/>
    <n v="47.354545000000002"/>
  </r>
  <r>
    <x v="6"/>
    <s v="Công ty 88"/>
    <x v="1"/>
    <n v="87880000"/>
    <d v="2024-05-01T00:00:00"/>
    <x v="4"/>
    <x v="0"/>
    <s v="Đông Bắc Bộ"/>
    <x v="1"/>
    <x v="4"/>
    <n v="87.88"/>
  </r>
  <r>
    <x v="6"/>
    <s v="Công ty 89"/>
    <x v="0"/>
    <n v="456900000"/>
    <d v="2024-05-01T00:00:00"/>
    <x v="4"/>
    <x v="0"/>
    <s v="Đông Bắc Bộ"/>
    <x v="1"/>
    <x v="1"/>
    <n v="456.9"/>
  </r>
  <r>
    <x v="22"/>
    <s v="Công ty 13"/>
    <x v="0"/>
    <n v="24390000"/>
    <d v="2024-05-01T00:00:00"/>
    <x v="4"/>
    <x v="0"/>
    <s v="Bắc Trung Bộ"/>
    <x v="1"/>
    <x v="0"/>
    <n v="24.39"/>
  </r>
  <r>
    <x v="35"/>
    <s v="Công ty 23"/>
    <x v="4"/>
    <n v="9647295740"/>
    <d v="2024-05-01T00:00:00"/>
    <x v="4"/>
    <x v="0"/>
    <s v="Đông Bắc Bộ"/>
    <x v="1"/>
    <x v="3"/>
    <n v="9647.2957399999996"/>
  </r>
  <r>
    <x v="0"/>
    <s v="Công ty 31"/>
    <x v="4"/>
    <n v="77558188"/>
    <d v="2024-05-01T00:00:00"/>
    <x v="4"/>
    <x v="0"/>
    <s v="Bắc Trung Bộ"/>
    <x v="1"/>
    <x v="3"/>
    <n v="77.558188000000001"/>
  </r>
  <r>
    <x v="62"/>
    <s v="Công ty 37"/>
    <x v="4"/>
    <n v="607272727"/>
    <d v="2024-05-01T00:00:00"/>
    <x v="4"/>
    <x v="0"/>
    <s v="Bắc Trung Bộ"/>
    <x v="1"/>
    <x v="3"/>
    <n v="607.27272700000003"/>
  </r>
  <r>
    <x v="41"/>
    <s v="Công ty 61"/>
    <x v="2"/>
    <n v="225815433"/>
    <d v="2024-05-01T00:00:00"/>
    <x v="4"/>
    <x v="0"/>
    <s v="Đông Bắc Bộ"/>
    <x v="1"/>
    <x v="1"/>
    <n v="225.81543300000001"/>
  </r>
  <r>
    <x v="41"/>
    <s v="Công ty 62"/>
    <x v="2"/>
    <n v="35190909"/>
    <d v="2024-05-01T00:00:00"/>
    <x v="4"/>
    <x v="0"/>
    <s v="Đông Bắc Bộ"/>
    <x v="1"/>
    <x v="1"/>
    <n v="35.190908999999998"/>
  </r>
  <r>
    <x v="57"/>
    <s v="Công ty 72"/>
    <x v="1"/>
    <n v="554454545"/>
    <d v="2024-05-01T00:00:00"/>
    <x v="4"/>
    <x v="0"/>
    <s v="ĐB Sông Cửu Long"/>
    <x v="1"/>
    <x v="13"/>
    <n v="554.45454500000005"/>
  </r>
  <r>
    <x v="6"/>
    <s v="Công ty 3"/>
    <x v="2"/>
    <n v="415421767"/>
    <d v="2024-05-01T00:00:00"/>
    <x v="4"/>
    <x v="0"/>
    <s v="Đông Bắc Bộ"/>
    <x v="1"/>
    <x v="0"/>
    <n v="415.42176699999999"/>
  </r>
  <r>
    <x v="22"/>
    <s v="Công ty 9"/>
    <x v="0"/>
    <n v="154004545"/>
    <d v="2024-05-01T00:00:00"/>
    <x v="4"/>
    <x v="0"/>
    <s v="Bắc Trung Bộ"/>
    <x v="1"/>
    <x v="1"/>
    <n v="154.00454500000001"/>
  </r>
  <r>
    <x v="46"/>
    <s v="Công ty 15"/>
    <x v="0"/>
    <n v="222069150"/>
    <d v="2024-05-01T00:00:00"/>
    <x v="4"/>
    <x v="0"/>
    <s v="ĐB Sông Cửu Long"/>
    <x v="1"/>
    <x v="1"/>
    <n v="222.06915000000001"/>
  </r>
  <r>
    <x v="54"/>
    <s v="Công ty 38"/>
    <x v="1"/>
    <n v="24757000"/>
    <d v="2024-05-01T00:00:00"/>
    <x v="4"/>
    <x v="0"/>
    <s v="Tây Bắc Bộ"/>
    <x v="1"/>
    <x v="2"/>
    <n v="24.757000000000001"/>
  </r>
  <r>
    <x v="54"/>
    <s v="Công ty 39"/>
    <x v="1"/>
    <n v="27082000"/>
    <d v="2024-05-01T00:00:00"/>
    <x v="4"/>
    <x v="0"/>
    <s v="Tây Bắc Bộ"/>
    <x v="1"/>
    <x v="2"/>
    <n v="27.082000000000001"/>
  </r>
  <r>
    <x v="47"/>
    <s v="Công ty 72"/>
    <x v="1"/>
    <n v="53867362"/>
    <d v="2024-05-01T00:00:00"/>
    <x v="4"/>
    <x v="0"/>
    <s v="Đông Bắc Bộ"/>
    <x v="1"/>
    <x v="2"/>
    <n v="53.867362"/>
  </r>
  <r>
    <x v="0"/>
    <s v="Công ty 24"/>
    <x v="0"/>
    <n v="1076400"/>
    <d v="2024-05-01T00:00:00"/>
    <x v="4"/>
    <x v="0"/>
    <s v="Bắc Trung Bộ"/>
    <x v="1"/>
    <x v="10"/>
    <n v="1.0764"/>
  </r>
  <r>
    <x v="0"/>
    <s v="Công ty 25"/>
    <x v="0"/>
    <n v="1076400"/>
    <d v="2024-05-01T00:00:00"/>
    <x v="4"/>
    <x v="0"/>
    <s v="Bắc Trung Bộ"/>
    <x v="1"/>
    <x v="10"/>
    <n v="1.0764"/>
  </r>
  <r>
    <x v="0"/>
    <s v="Công ty 26"/>
    <x v="0"/>
    <n v="1076400"/>
    <d v="2024-05-01T00:00:00"/>
    <x v="4"/>
    <x v="0"/>
    <s v="Bắc Trung Bộ"/>
    <x v="1"/>
    <x v="10"/>
    <n v="1.0764"/>
  </r>
  <r>
    <x v="34"/>
    <s v="Công ty 28"/>
    <x v="1"/>
    <n v="100033800"/>
    <d v="2024-05-01T00:00:00"/>
    <x v="4"/>
    <x v="0"/>
    <s v="Tây Bắc Bộ"/>
    <x v="1"/>
    <x v="13"/>
    <n v="100.0338"/>
  </r>
  <r>
    <x v="32"/>
    <s v="Công ty 48"/>
    <x v="1"/>
    <n v="20363636"/>
    <d v="2024-05-01T00:00:00"/>
    <x v="4"/>
    <x v="0"/>
    <s v="ĐB Sông Cửu Long"/>
    <x v="1"/>
    <x v="15"/>
    <n v="20.363636"/>
  </r>
  <r>
    <x v="16"/>
    <s v="Công ty 82"/>
    <x v="1"/>
    <n v="148100000"/>
    <d v="2024-05-01T00:00:00"/>
    <x v="4"/>
    <x v="0"/>
    <s v="ĐB Sông Hồng"/>
    <x v="1"/>
    <x v="4"/>
    <n v="148.1"/>
  </r>
  <r>
    <x v="32"/>
    <s v="Công ty 8"/>
    <x v="1"/>
    <n v="20000000"/>
    <d v="2024-05-01T00:00:00"/>
    <x v="4"/>
    <x v="0"/>
    <s v="ĐB Sông Cửu Long"/>
    <x v="1"/>
    <x v="15"/>
    <n v="20"/>
  </r>
  <r>
    <x v="0"/>
    <s v="Công ty 18"/>
    <x v="0"/>
    <n v="44891687"/>
    <d v="2024-05-01T00:00:00"/>
    <x v="4"/>
    <x v="0"/>
    <s v="Bắc Trung Bộ"/>
    <x v="1"/>
    <x v="1"/>
    <n v="44.891686999999997"/>
  </r>
  <r>
    <x v="34"/>
    <s v="Công ty 32"/>
    <x v="1"/>
    <n v="154545455"/>
    <d v="2024-05-01T00:00:00"/>
    <x v="4"/>
    <x v="0"/>
    <s v="Tây Bắc Bộ"/>
    <x v="1"/>
    <x v="2"/>
    <n v="154.545455"/>
  </r>
  <r>
    <x v="5"/>
    <s v="Công ty 38"/>
    <x v="0"/>
    <n v="27660000"/>
    <d v="2024-05-01T00:00:00"/>
    <x v="4"/>
    <x v="0"/>
    <s v="Đông Nam Bộ"/>
    <x v="1"/>
    <x v="0"/>
    <n v="27.66"/>
  </r>
  <r>
    <x v="36"/>
    <s v="Công ty 58"/>
    <x v="0"/>
    <n v="116871109"/>
    <d v="2024-05-01T00:00:00"/>
    <x v="4"/>
    <x v="0"/>
    <s v="ĐB Sông Hồng"/>
    <x v="1"/>
    <x v="1"/>
    <n v="116.871109"/>
  </r>
  <r>
    <x v="21"/>
    <s v="Công ty 65"/>
    <x v="0"/>
    <n v="19963000"/>
    <d v="2024-05-01T00:00:00"/>
    <x v="4"/>
    <x v="0"/>
    <s v="Đông Bắc Bộ"/>
    <x v="1"/>
    <x v="1"/>
    <n v="19.963000000000001"/>
  </r>
  <r>
    <x v="21"/>
    <s v="Công ty 84"/>
    <x v="2"/>
    <n v="124050000"/>
    <d v="2024-05-01T00:00:00"/>
    <x v="4"/>
    <x v="0"/>
    <s v="Đông Bắc Bộ"/>
    <x v="1"/>
    <x v="2"/>
    <n v="124.05"/>
  </r>
  <r>
    <x v="60"/>
    <s v="Công ty 95"/>
    <x v="4"/>
    <n v="333386513"/>
    <d v="2024-05-01T00:00:00"/>
    <x v="4"/>
    <x v="0"/>
    <s v="Đông Bắc Bộ"/>
    <x v="1"/>
    <x v="9"/>
    <n v="333.38651299999998"/>
  </r>
  <r>
    <x v="54"/>
    <s v="Công ty 96"/>
    <x v="2"/>
    <n v="499422000"/>
    <d v="2024-05-01T00:00:00"/>
    <x v="4"/>
    <x v="0"/>
    <s v="Tây Bắc Bộ"/>
    <x v="1"/>
    <x v="6"/>
    <n v="499.42200000000003"/>
  </r>
  <r>
    <x v="30"/>
    <s v="Công ty 11"/>
    <x v="4"/>
    <n v="20909091"/>
    <d v="2024-05-01T00:00:00"/>
    <x v="4"/>
    <x v="0"/>
    <s v="ĐB Sông Cửu Long"/>
    <x v="1"/>
    <x v="9"/>
    <n v="20.909091"/>
  </r>
  <r>
    <x v="38"/>
    <s v="Công ty 14"/>
    <x v="4"/>
    <n v="18000000"/>
    <d v="2024-05-01T00:00:00"/>
    <x v="4"/>
    <x v="0"/>
    <s v="Tây Nguyên"/>
    <x v="1"/>
    <x v="9"/>
    <n v="18"/>
  </r>
  <r>
    <x v="36"/>
    <s v="Công ty 17"/>
    <x v="4"/>
    <n v="718181818"/>
    <d v="2024-05-01T00:00:00"/>
    <x v="4"/>
    <x v="0"/>
    <s v="ĐB Sông Hồng"/>
    <x v="1"/>
    <x v="3"/>
    <n v="718.18181800000002"/>
  </r>
  <r>
    <x v="39"/>
    <s v="Công ty 49"/>
    <x v="4"/>
    <n v="90539906"/>
    <d v="2024-05-01T00:00:00"/>
    <x v="4"/>
    <x v="0"/>
    <s v="ĐB Sông Cửu Long"/>
    <x v="1"/>
    <x v="3"/>
    <n v="90.539906000000002"/>
  </r>
  <r>
    <x v="5"/>
    <s v="Công ty 62"/>
    <x v="2"/>
    <n v="8836364"/>
    <d v="2024-05-01T00:00:00"/>
    <x v="4"/>
    <x v="0"/>
    <s v="Đông Nam Bộ"/>
    <x v="1"/>
    <x v="3"/>
    <n v="8.8363639999999997"/>
  </r>
  <r>
    <x v="55"/>
    <s v="Công ty 65"/>
    <x v="2"/>
    <n v="1342887700"/>
    <d v="2024-05-01T00:00:00"/>
    <x v="4"/>
    <x v="0"/>
    <s v="ĐB Sông Hồng"/>
    <x v="1"/>
    <x v="0"/>
    <n v="1342.8877"/>
  </r>
  <r>
    <x v="23"/>
    <s v="Công ty 67"/>
    <x v="0"/>
    <n v="117855000"/>
    <d v="2024-05-01T00:00:00"/>
    <x v="4"/>
    <x v="0"/>
    <s v="Duyên hải Nam Trung Bộ"/>
    <x v="1"/>
    <x v="1"/>
    <n v="117.855"/>
  </r>
  <r>
    <x v="39"/>
    <s v="Công ty 84"/>
    <x v="1"/>
    <n v="24681818"/>
    <d v="2024-05-01T00:00:00"/>
    <x v="4"/>
    <x v="0"/>
    <s v="ĐB Sông Cửu Long"/>
    <x v="1"/>
    <x v="2"/>
    <n v="24.681818"/>
  </r>
  <r>
    <x v="53"/>
    <s v="Công ty 22"/>
    <x v="0"/>
    <n v="3818182"/>
    <d v="2024-05-01T00:00:00"/>
    <x v="4"/>
    <x v="0"/>
    <s v="Đông Bắc Bộ"/>
    <x v="1"/>
    <x v="5"/>
    <n v="3.8181820000000002"/>
  </r>
  <r>
    <x v="34"/>
    <s v="Công ty 36"/>
    <x v="1"/>
    <n v="61396727"/>
    <d v="2024-05-01T00:00:00"/>
    <x v="4"/>
    <x v="0"/>
    <s v="Tây Bắc Bộ"/>
    <x v="1"/>
    <x v="13"/>
    <n v="61.396726999999998"/>
  </r>
  <r>
    <x v="6"/>
    <s v="Công ty 68"/>
    <x v="4"/>
    <n v="91690909"/>
    <d v="2024-05-01T00:00:00"/>
    <x v="4"/>
    <x v="0"/>
    <s v="Đông Bắc Bộ"/>
    <x v="1"/>
    <x v="3"/>
    <n v="91.690909000000005"/>
  </r>
  <r>
    <x v="62"/>
    <s v="Công ty 90"/>
    <x v="1"/>
    <n v="103090000"/>
    <d v="2024-05-01T00:00:00"/>
    <x v="4"/>
    <x v="0"/>
    <s v="Bắc Trung Bộ"/>
    <x v="1"/>
    <x v="13"/>
    <n v="103.09"/>
  </r>
  <r>
    <x v="0"/>
    <s v="Công ty 11"/>
    <x v="4"/>
    <n v="297696050"/>
    <d v="2024-05-01T00:00:00"/>
    <x v="4"/>
    <x v="0"/>
    <s v="Bắc Trung Bộ"/>
    <x v="1"/>
    <x v="3"/>
    <n v="297.69605000000001"/>
  </r>
  <r>
    <x v="41"/>
    <s v="Công ty 41"/>
    <x v="1"/>
    <n v="77576364"/>
    <d v="2024-05-01T00:00:00"/>
    <x v="4"/>
    <x v="0"/>
    <s v="Đông Bắc Bộ"/>
    <x v="1"/>
    <x v="2"/>
    <n v="77.576363999999998"/>
  </r>
  <r>
    <x v="14"/>
    <s v="Công ty 47"/>
    <x v="0"/>
    <n v="141218910"/>
    <d v="2024-05-01T00:00:00"/>
    <x v="4"/>
    <x v="0"/>
    <s v="ĐB Sông Hồng"/>
    <x v="1"/>
    <x v="5"/>
    <n v="141.21890999999999"/>
  </r>
  <r>
    <x v="20"/>
    <s v="Công ty 53"/>
    <x v="2"/>
    <n v="43800000"/>
    <d v="2024-05-01T00:00:00"/>
    <x v="4"/>
    <x v="0"/>
    <s v="Duyên hải Nam Trung Bộ"/>
    <x v="1"/>
    <x v="0"/>
    <n v="43.8"/>
  </r>
  <r>
    <x v="6"/>
    <s v="Công ty 91"/>
    <x v="2"/>
    <n v="372727273"/>
    <d v="2024-05-01T00:00:00"/>
    <x v="4"/>
    <x v="0"/>
    <s v="Đông Bắc Bộ"/>
    <x v="1"/>
    <x v="4"/>
    <n v="372.72727300000003"/>
  </r>
  <r>
    <x v="30"/>
    <s v="Công ty 93"/>
    <x v="0"/>
    <n v="54756364"/>
    <d v="2024-05-01T00:00:00"/>
    <x v="4"/>
    <x v="0"/>
    <s v="ĐB Sông Cửu Long"/>
    <x v="1"/>
    <x v="1"/>
    <n v="54.756363999999998"/>
  </r>
  <r>
    <x v="4"/>
    <s v="Công ty 96"/>
    <x v="1"/>
    <n v="98712770"/>
    <d v="2024-05-01T00:00:00"/>
    <x v="4"/>
    <x v="0"/>
    <s v="Đông Nam Bộ"/>
    <x v="1"/>
    <x v="10"/>
    <n v="98.712770000000006"/>
  </r>
  <r>
    <x v="2"/>
    <s v="Công ty 15"/>
    <x v="4"/>
    <n v="165608265"/>
    <d v="2024-05-01T00:00:00"/>
    <x v="4"/>
    <x v="0"/>
    <s v="ĐB Sông Cửu Long"/>
    <x v="1"/>
    <x v="3"/>
    <n v="165.60826499999999"/>
  </r>
  <r>
    <x v="43"/>
    <s v="Công ty 18"/>
    <x v="0"/>
    <n v="38476020"/>
    <d v="2024-05-01T00:00:00"/>
    <x v="4"/>
    <x v="0"/>
    <s v="Đông Nam Bộ"/>
    <x v="1"/>
    <x v="0"/>
    <n v="38.476019999999998"/>
  </r>
  <r>
    <x v="0"/>
    <s v="Công ty 66"/>
    <x v="4"/>
    <n v="61207273"/>
    <d v="2024-05-01T00:00:00"/>
    <x v="4"/>
    <x v="0"/>
    <s v="Bắc Trung Bộ"/>
    <x v="1"/>
    <x v="3"/>
    <n v="61.207273000000001"/>
  </r>
  <r>
    <x v="25"/>
    <s v="Công ty 80"/>
    <x v="0"/>
    <n v="15526473"/>
    <d v="2024-05-01T00:00:00"/>
    <x v="4"/>
    <x v="0"/>
    <s v="Tây Nguyên"/>
    <x v="1"/>
    <x v="0"/>
    <n v="15.526472999999999"/>
  </r>
  <r>
    <x v="31"/>
    <s v="Công ty 94"/>
    <x v="0"/>
    <n v="35068473"/>
    <d v="2024-05-01T00:00:00"/>
    <x v="4"/>
    <x v="0"/>
    <s v="Tây Nguyên"/>
    <x v="1"/>
    <x v="1"/>
    <n v="35.068472999999997"/>
  </r>
  <r>
    <x v="47"/>
    <s v="Công ty 97"/>
    <x v="1"/>
    <n v="62622909"/>
    <d v="2024-05-01T00:00:00"/>
    <x v="4"/>
    <x v="0"/>
    <s v="Đông Bắc Bộ"/>
    <x v="1"/>
    <x v="2"/>
    <n v="62.622909"/>
  </r>
  <r>
    <x v="14"/>
    <s v="Công ty 90"/>
    <x v="1"/>
    <n v="100111818"/>
    <d v="2024-05-01T00:00:00"/>
    <x v="4"/>
    <x v="0"/>
    <s v="ĐB Sông Hồng"/>
    <x v="1"/>
    <x v="2"/>
    <n v="100.111818"/>
  </r>
  <r>
    <x v="20"/>
    <s v="Doanh nghiệp 2"/>
    <x v="0"/>
    <n v="188398500"/>
    <d v="2024-05-01T00:00:00"/>
    <x v="4"/>
    <x v="0"/>
    <s v="Duyên hải Nam Trung Bộ"/>
    <x v="1"/>
    <x v="1"/>
    <n v="188.39850000000001"/>
  </r>
  <r>
    <x v="15"/>
    <s v="Doanh nghiệp 20"/>
    <x v="4"/>
    <n v="100016364"/>
    <d v="2024-05-01T00:00:00"/>
    <x v="4"/>
    <x v="0"/>
    <s v="Duyên hải Nam Trung Bộ"/>
    <x v="1"/>
    <x v="3"/>
    <n v="100.016364"/>
  </r>
  <r>
    <x v="32"/>
    <s v="Doanh nghiệp 22"/>
    <x v="1"/>
    <n v="82272727"/>
    <d v="2024-05-01T00:00:00"/>
    <x v="4"/>
    <x v="0"/>
    <s v="ĐB Sông Cửu Long"/>
    <x v="1"/>
    <x v="11"/>
    <n v="82.272727000000003"/>
  </r>
  <r>
    <x v="35"/>
    <s v="Doanh nghiệp 30"/>
    <x v="0"/>
    <n v="13026000"/>
    <d v="2024-05-01T00:00:00"/>
    <x v="4"/>
    <x v="0"/>
    <s v="Đông Bắc Bộ"/>
    <x v="1"/>
    <x v="0"/>
    <n v="13.026"/>
  </r>
  <r>
    <x v="27"/>
    <s v="Doanh nghiệp 6"/>
    <x v="3"/>
    <n v="136363664"/>
    <d v="2024-05-01T00:00:00"/>
    <x v="4"/>
    <x v="0"/>
    <s v="Bắc Trung Bộ"/>
    <x v="1"/>
    <x v="7"/>
    <n v="136.363664"/>
  </r>
  <r>
    <x v="27"/>
    <s v="Doanh nghiệp 23"/>
    <x v="0"/>
    <n v="72609091"/>
    <d v="2024-05-01T00:00:00"/>
    <x v="4"/>
    <x v="0"/>
    <s v="Bắc Trung Bộ"/>
    <x v="1"/>
    <x v="1"/>
    <n v="72.609091000000006"/>
  </r>
  <r>
    <x v="0"/>
    <s v="Doanh nghiệp 30"/>
    <x v="4"/>
    <n v="966662600"/>
    <d v="2024-05-01T00:00:00"/>
    <x v="4"/>
    <x v="0"/>
    <s v="Bắc Trung Bộ"/>
    <x v="1"/>
    <x v="3"/>
    <n v="966.6626"/>
  </r>
  <r>
    <x v="2"/>
    <s v="Doanh nghiệp 14"/>
    <x v="1"/>
    <n v="16181818"/>
    <d v="2024-05-01T00:00:00"/>
    <x v="4"/>
    <x v="0"/>
    <s v="ĐB Sông Cửu Long"/>
    <x v="1"/>
    <x v="13"/>
    <n v="16.181818"/>
  </r>
  <r>
    <x v="38"/>
    <s v="Doanh nghiệp 25"/>
    <x v="0"/>
    <n v="28545000"/>
    <d v="2024-05-01T00:00:00"/>
    <x v="4"/>
    <x v="0"/>
    <s v="Tây Nguyên"/>
    <x v="1"/>
    <x v="5"/>
    <n v="28.545000000000002"/>
  </r>
  <r>
    <x v="38"/>
    <s v="Doanh nghiệp 26"/>
    <x v="0"/>
    <n v="21818182"/>
    <d v="2024-05-01T00:00:00"/>
    <x v="4"/>
    <x v="0"/>
    <s v="Tây Nguyên"/>
    <x v="1"/>
    <x v="5"/>
    <n v="21.818182"/>
  </r>
  <r>
    <x v="40"/>
    <s v="Doanh nghiệp 27"/>
    <x v="2"/>
    <n v="18032269"/>
    <d v="2024-05-01T00:00:00"/>
    <x v="4"/>
    <x v="0"/>
    <s v="ĐB Sông Cửu Long"/>
    <x v="1"/>
    <x v="5"/>
    <n v="18.032268999999999"/>
  </r>
  <r>
    <x v="44"/>
    <s v="Doanh nghiệp 28"/>
    <x v="0"/>
    <n v="52663636"/>
    <d v="2024-05-01T00:00:00"/>
    <x v="4"/>
    <x v="0"/>
    <s v="Bắc Trung Bộ"/>
    <x v="1"/>
    <x v="5"/>
    <n v="52.663635999999997"/>
  </r>
  <r>
    <x v="51"/>
    <s v="Doanh nghiệp 29"/>
    <x v="1"/>
    <n v="173801818"/>
    <d v="2024-05-01T00:00:00"/>
    <x v="4"/>
    <x v="0"/>
    <s v="ĐB Sông Hồng"/>
    <x v="1"/>
    <x v="2"/>
    <n v="173.801818"/>
  </r>
  <r>
    <x v="61"/>
    <s v="Doanh nghiệp 30"/>
    <x v="1"/>
    <n v="103909091"/>
    <d v="2024-05-01T00:00:00"/>
    <x v="4"/>
    <x v="0"/>
    <s v="ĐB Sông Hồng"/>
    <x v="1"/>
    <x v="2"/>
    <n v="103.909091"/>
  </r>
  <r>
    <x v="1"/>
    <s v="Doanh nghiệp 3"/>
    <x v="2"/>
    <n v="379192111"/>
    <d v="2024-05-01T00:00:00"/>
    <x v="4"/>
    <x v="0"/>
    <s v="Duyên hải Nam Trung Bộ"/>
    <x v="1"/>
    <x v="0"/>
    <n v="379.19211100000001"/>
  </r>
  <r>
    <x v="48"/>
    <s v="Doanh nghiệp 20"/>
    <x v="4"/>
    <n v="341818182"/>
    <d v="2024-05-01T00:00:00"/>
    <x v="4"/>
    <x v="0"/>
    <s v="Đông Bắc Bộ"/>
    <x v="1"/>
    <x v="3"/>
    <n v="341.81818199999998"/>
  </r>
  <r>
    <x v="33"/>
    <s v="Doanh nghiệp 4"/>
    <x v="2"/>
    <n v="35320000"/>
    <d v="2024-05-01T00:00:00"/>
    <x v="4"/>
    <x v="0"/>
    <s v="Đông Bắc Bộ"/>
    <x v="1"/>
    <x v="2"/>
    <n v="35.32"/>
  </r>
  <r>
    <x v="33"/>
    <s v="Doanh nghiệp 5"/>
    <x v="1"/>
    <n v="78300000"/>
    <d v="2024-05-01T00:00:00"/>
    <x v="4"/>
    <x v="0"/>
    <s v="Đông Bắc Bộ"/>
    <x v="1"/>
    <x v="2"/>
    <n v="78.3"/>
  </r>
  <r>
    <x v="52"/>
    <s v="Doanh nghiệp 11"/>
    <x v="0"/>
    <n v="1862108182"/>
    <d v="2024-05-01T00:00:00"/>
    <x v="4"/>
    <x v="0"/>
    <s v="ĐB Sông Hồng"/>
    <x v="1"/>
    <x v="14"/>
    <n v="1862.1081819999999"/>
  </r>
  <r>
    <x v="20"/>
    <s v="Doanh nghiệp 15"/>
    <x v="2"/>
    <n v="76778745"/>
    <d v="2024-05-01T00:00:00"/>
    <x v="4"/>
    <x v="0"/>
    <s v="Duyên hải Nam Trung Bộ"/>
    <x v="1"/>
    <x v="0"/>
    <n v="76.778745000000001"/>
  </r>
  <r>
    <x v="2"/>
    <s v="Doanh nghiệp 22"/>
    <x v="0"/>
    <n v="163614227"/>
    <d v="2024-05-01T00:00:00"/>
    <x v="4"/>
    <x v="0"/>
    <s v="ĐB Sông Cửu Long"/>
    <x v="1"/>
    <x v="1"/>
    <n v="163.614227"/>
  </r>
  <r>
    <x v="31"/>
    <s v="Doanh nghiệp 31"/>
    <x v="0"/>
    <n v="33100000"/>
    <d v="2024-05-01T00:00:00"/>
    <x v="4"/>
    <x v="0"/>
    <s v="Tây Nguyên"/>
    <x v="1"/>
    <x v="5"/>
    <n v="33.1"/>
  </r>
  <r>
    <x v="18"/>
    <s v="Tập đoàn 2"/>
    <x v="1"/>
    <n v="74424000"/>
    <d v="2024-05-01T00:00:00"/>
    <x v="4"/>
    <x v="0"/>
    <s v="Tây Nguyên"/>
    <x v="1"/>
    <x v="2"/>
    <n v="74.424000000000007"/>
  </r>
  <r>
    <x v="51"/>
    <s v="Tập đoàn 42"/>
    <x v="0"/>
    <n v="67112500"/>
    <d v="2024-05-01T00:00:00"/>
    <x v="4"/>
    <x v="0"/>
    <s v="ĐB Sông Hồng"/>
    <x v="1"/>
    <x v="1"/>
    <n v="67.112499999999997"/>
  </r>
  <r>
    <x v="51"/>
    <s v="Tập đoàn 43"/>
    <x v="3"/>
    <n v="77000000"/>
    <d v="2024-05-01T00:00:00"/>
    <x v="4"/>
    <x v="0"/>
    <s v="ĐB Sông Hồng"/>
    <x v="1"/>
    <x v="7"/>
    <n v="77"/>
  </r>
  <r>
    <x v="51"/>
    <s v="Tập đoàn 44"/>
    <x v="0"/>
    <n v="25821818"/>
    <d v="2024-05-01T00:00:00"/>
    <x v="4"/>
    <x v="0"/>
    <s v="ĐB Sông Hồng"/>
    <x v="1"/>
    <x v="1"/>
    <n v="25.821818"/>
  </r>
  <r>
    <x v="0"/>
    <s v="Tập đoàn 61"/>
    <x v="2"/>
    <n v="19793455"/>
    <d v="2024-05-01T00:00:00"/>
    <x v="4"/>
    <x v="0"/>
    <s v="Bắc Trung Bộ"/>
    <x v="1"/>
    <x v="13"/>
    <n v="19.793455000000002"/>
  </r>
  <r>
    <x v="60"/>
    <s v="Tập đoàn 92"/>
    <x v="4"/>
    <n v="72000000"/>
    <d v="2024-05-01T00:00:00"/>
    <x v="4"/>
    <x v="0"/>
    <s v="Đông Bắc Bộ"/>
    <x v="1"/>
    <x v="9"/>
    <n v="72"/>
  </r>
  <r>
    <x v="47"/>
    <s v="Tập đoàn 93"/>
    <x v="4"/>
    <n v="63545455"/>
    <d v="2024-05-01T00:00:00"/>
    <x v="4"/>
    <x v="0"/>
    <s v="Đông Bắc Bộ"/>
    <x v="1"/>
    <x v="9"/>
    <n v="63.545454999999997"/>
  </r>
  <r>
    <x v="13"/>
    <s v="Tập đoàn 94"/>
    <x v="4"/>
    <n v="63636364"/>
    <d v="2024-05-01T00:00:00"/>
    <x v="4"/>
    <x v="0"/>
    <s v="Tây Bắc Bộ"/>
    <x v="1"/>
    <x v="9"/>
    <n v="63.636364"/>
  </r>
  <r>
    <x v="53"/>
    <s v="Tập đoàn 93"/>
    <x v="4"/>
    <n v="11345455"/>
    <d v="2024-05-01T00:00:00"/>
    <x v="4"/>
    <x v="0"/>
    <s v="Đông Bắc Bộ"/>
    <x v="1"/>
    <x v="9"/>
    <n v="11.345454999999999"/>
  </r>
  <r>
    <x v="22"/>
    <s v="Tập đoàn 94"/>
    <x v="4"/>
    <n v="40500000"/>
    <d v="2024-05-01T00:00:00"/>
    <x v="4"/>
    <x v="0"/>
    <s v="Bắc Trung Bộ"/>
    <x v="1"/>
    <x v="9"/>
    <n v="40.5"/>
  </r>
  <r>
    <x v="14"/>
    <s v="Tập đoàn 92"/>
    <x v="1"/>
    <n v="58200000"/>
    <d v="2024-05-01T00:00:00"/>
    <x v="4"/>
    <x v="0"/>
    <s v="ĐB Sông Hồng"/>
    <x v="1"/>
    <x v="2"/>
    <n v="58.2"/>
  </r>
  <r>
    <x v="18"/>
    <s v="Công ty 36"/>
    <x v="1"/>
    <n v="324800000"/>
    <d v="2024-05-01T00:00:00"/>
    <x v="4"/>
    <x v="0"/>
    <s v="Tây Nguyên"/>
    <x v="1"/>
    <x v="2"/>
    <n v="324.8"/>
  </r>
  <r>
    <x v="42"/>
    <s v="Công ty 56"/>
    <x v="4"/>
    <n v="25090909"/>
    <d v="2024-05-01T00:00:00"/>
    <x v="4"/>
    <x v="0"/>
    <s v="Tây Bắc Bộ"/>
    <x v="1"/>
    <x v="9"/>
    <n v="25.090909"/>
  </r>
  <r>
    <x v="42"/>
    <s v="Công ty 57"/>
    <x v="4"/>
    <n v="38547273"/>
    <d v="2024-05-01T00:00:00"/>
    <x v="4"/>
    <x v="0"/>
    <s v="Tây Bắc Bộ"/>
    <x v="1"/>
    <x v="9"/>
    <n v="38.547272999999997"/>
  </r>
  <r>
    <x v="42"/>
    <s v="Công ty 58"/>
    <x v="4"/>
    <n v="105054545"/>
    <d v="2024-05-01T00:00:00"/>
    <x v="4"/>
    <x v="0"/>
    <s v="Tây Bắc Bộ"/>
    <x v="1"/>
    <x v="9"/>
    <n v="105.054545"/>
  </r>
  <r>
    <x v="42"/>
    <s v="Công ty 59"/>
    <x v="4"/>
    <n v="27218182"/>
    <d v="2024-05-01T00:00:00"/>
    <x v="4"/>
    <x v="0"/>
    <s v="Tây Bắc Bộ"/>
    <x v="1"/>
    <x v="9"/>
    <n v="27.218181999999999"/>
  </r>
  <r>
    <x v="42"/>
    <s v="Công ty 60"/>
    <x v="4"/>
    <n v="96170909"/>
    <d v="2024-05-01T00:00:00"/>
    <x v="4"/>
    <x v="0"/>
    <s v="Tây Bắc Bộ"/>
    <x v="1"/>
    <x v="9"/>
    <n v="96.170908999999995"/>
  </r>
  <r>
    <x v="13"/>
    <s v="Công An Xã Nà Hẩu"/>
    <x v="2"/>
    <n v="17555455"/>
    <d v="2024-05-01T00:00:00"/>
    <x v="4"/>
    <x v="0"/>
    <s v="Tây Bắc Bộ"/>
    <x v="2"/>
    <x v="1"/>
    <n v="17.555454999999998"/>
  </r>
  <r>
    <x v="47"/>
    <s v="Công An Xã Tứ Quận-xã Tứ Quận-huyện Yên Sơn-tỉnh Tuyên Quang"/>
    <x v="0"/>
    <n v="54748182"/>
    <d v="2024-05-01T00:00:00"/>
    <x v="4"/>
    <x v="0"/>
    <s v="Đông Bắc Bộ"/>
    <x v="2"/>
    <x v="1"/>
    <n v="54.748182"/>
  </r>
  <r>
    <x v="42"/>
    <s v="Đoàn Tncs Hồ Chí Minh Tỉnh Điện Biên"/>
    <x v="4"/>
    <n v="23636364"/>
    <d v="2024-05-01T00:00:00"/>
    <x v="4"/>
    <x v="0"/>
    <s v="Tây Bắc Bộ"/>
    <x v="2"/>
    <x v="9"/>
    <n v="23.636364"/>
  </r>
  <r>
    <x v="54"/>
    <s v="Ngân Hàng Thương Mạicổ Phần Đầu Tư Và Phát Triển - Chi Nhánh Lào Cai"/>
    <x v="4"/>
    <n v="63636364"/>
    <d v="2024-05-01T00:00:00"/>
    <x v="4"/>
    <x v="0"/>
    <s v="Tây Bắc Bộ"/>
    <x v="3"/>
    <x v="9"/>
    <n v="63.636364"/>
  </r>
  <r>
    <x v="1"/>
    <s v="QUỸ TÍN DỤNG NHÂN DÂN NGÔ MÂY"/>
    <x v="0"/>
    <n v="15206364"/>
    <d v="2024-05-01T00:00:00"/>
    <x v="4"/>
    <x v="0"/>
    <s v="Duyên hải Nam Trung Bộ"/>
    <x v="2"/>
    <x v="0"/>
    <n v="15.206364000000001"/>
  </r>
  <r>
    <x v="14"/>
    <s v="TẬP ĐOÀN CÔNG NGHIỆP - VIỄN THÔNG QUÂN ĐỘI"/>
    <x v="1"/>
    <n v="831979600"/>
    <d v="2024-05-01T00:00:00"/>
    <x v="4"/>
    <x v="0"/>
    <s v="ĐB Sông Hồng"/>
    <x v="1"/>
    <x v="13"/>
    <n v="831.9796"/>
  </r>
  <r>
    <x v="2"/>
    <s v="TRUNG TÂM GIÁO DỤC NGHỀ NGHIỆP ĐÀO TẠO VÀ SÁT HẠCH LÁI XE CHIẾN THẮNG"/>
    <x v="0"/>
    <n v="42409091"/>
    <d v="2024-05-01T00:00:00"/>
    <x v="4"/>
    <x v="0"/>
    <s v="ĐB Sông Cửu Long"/>
    <x v="2"/>
    <x v="0"/>
    <n v="42.409090999999997"/>
  </r>
  <r>
    <x v="53"/>
    <s v="TRUNG TÂM HOẠT ĐỘNG THANH THIẾU NHI TỈNH BẮC KẠN"/>
    <x v="2"/>
    <n v="11562354"/>
    <d v="2024-05-01T00:00:00"/>
    <x v="4"/>
    <x v="0"/>
    <s v="Đông Bắc Bộ"/>
    <x v="2"/>
    <x v="2"/>
    <n v="11.562353999999999"/>
  </r>
  <r>
    <x v="53"/>
    <s v="Trung Tâm Hoạt Động Thanh Thiếu Nhi Tỉnh Bắc Kạn"/>
    <x v="1"/>
    <n v="13000000"/>
    <d v="2024-05-01T00:00:00"/>
    <x v="4"/>
    <x v="0"/>
    <s v="Đông Bắc Bộ"/>
    <x v="2"/>
    <x v="2"/>
    <n v="13"/>
  </r>
  <r>
    <x v="38"/>
    <s v="TRUNG TÂM NHIỆT ĐỚI VIỆT NGA"/>
    <x v="0"/>
    <n v="28269091"/>
    <d v="2024-05-01T00:00:00"/>
    <x v="4"/>
    <x v="0"/>
    <s v="Tây Nguyên"/>
    <x v="2"/>
    <x v="5"/>
    <n v="28.269091"/>
  </r>
  <r>
    <x v="18"/>
    <s v="Trung Tâm Trợ Giúp Pháp Lý Nhà Nước Tỉnh Đắk Nông"/>
    <x v="1"/>
    <n v="34700000"/>
    <d v="2024-05-01T00:00:00"/>
    <x v="4"/>
    <x v="0"/>
    <s v="Tây Nguyên"/>
    <x v="2"/>
    <x v="2"/>
    <n v="34.700000000000003"/>
  </r>
  <r>
    <x v="52"/>
    <s v="TRUNG TÂM Y TẾ THÀNH PHỐ TỪ SƠN"/>
    <x v="0"/>
    <n v="688474162"/>
    <d v="2024-05-01T00:00:00"/>
    <x v="4"/>
    <x v="0"/>
    <s v="ĐB Sông Hồng"/>
    <x v="2"/>
    <x v="5"/>
    <n v="688.47416199999998"/>
  </r>
  <r>
    <x v="12"/>
    <s v="Trường Thcs Thị Trấn Mường Tè"/>
    <x v="0"/>
    <n v="34119000"/>
    <d v="2024-05-01T00:00:00"/>
    <x v="4"/>
    <x v="0"/>
    <s v="Tây Bắc Bộ"/>
    <x v="4"/>
    <x v="1"/>
    <n v="34.119"/>
  </r>
  <r>
    <x v="60"/>
    <s v="UBND PHƯỜNG MINH KHAI"/>
    <x v="2"/>
    <n v="48093636"/>
    <d v="2024-05-01T00:00:00"/>
    <x v="4"/>
    <x v="0"/>
    <s v="Đông Bắc Bộ"/>
    <x v="2"/>
    <x v="1"/>
    <n v="48.093635999999996"/>
  </r>
  <r>
    <x v="53"/>
    <s v="UBND THỊ TRẤN PHỦ THÔNG"/>
    <x v="2"/>
    <n v="8181818"/>
    <d v="2024-05-01T00:00:00"/>
    <x v="4"/>
    <x v="0"/>
    <s v="Đông Bắc Bộ"/>
    <x v="2"/>
    <x v="13"/>
    <n v="8.1818179999999998"/>
  </r>
  <r>
    <x v="41"/>
    <s v="UBND XÃ ĐỒNG LOAN"/>
    <x v="4"/>
    <n v="22727273"/>
    <d v="2024-05-01T00:00:00"/>
    <x v="4"/>
    <x v="0"/>
    <s v="Đông Bắc Bộ"/>
    <x v="2"/>
    <x v="9"/>
    <n v="22.727273"/>
  </r>
  <r>
    <x v="38"/>
    <s v="Ubnd Xã Hà Tây"/>
    <x v="0"/>
    <n v="14780000"/>
    <d v="2024-05-01T00:00:00"/>
    <x v="4"/>
    <x v="0"/>
    <s v="Tây Nguyên"/>
    <x v="2"/>
    <x v="0"/>
    <n v="14.78"/>
  </r>
  <r>
    <x v="51"/>
    <s v="Ubnd Xã Liêm Hải"/>
    <x v="0"/>
    <n v="25636364"/>
    <d v="2024-05-01T00:00:00"/>
    <x v="4"/>
    <x v="0"/>
    <s v="ĐB Sông Hồng"/>
    <x v="2"/>
    <x v="16"/>
    <n v="25.636364"/>
  </r>
  <r>
    <x v="41"/>
    <s v="Ubnd Xã Minh Long"/>
    <x v="4"/>
    <n v="22727273"/>
    <d v="2024-05-01T00:00:00"/>
    <x v="4"/>
    <x v="0"/>
    <s v="Đông Bắc Bộ"/>
    <x v="2"/>
    <x v="9"/>
    <n v="22.727273"/>
  </r>
  <r>
    <x v="53"/>
    <s v="UBND XÃ MỸ THANH"/>
    <x v="2"/>
    <n v="5454545"/>
    <d v="2024-05-01T00:00:00"/>
    <x v="4"/>
    <x v="0"/>
    <s v="Đông Bắc Bộ"/>
    <x v="2"/>
    <x v="13"/>
    <n v="5.4545450000000004"/>
  </r>
  <r>
    <x v="0"/>
    <s v="UBND XÃ NGHĨA XUÂN"/>
    <x v="1"/>
    <n v="45454545"/>
    <d v="2024-05-01T00:00:00"/>
    <x v="4"/>
    <x v="0"/>
    <s v="Bắc Trung Bộ"/>
    <x v="2"/>
    <x v="13"/>
    <n v="45.454545000000003"/>
  </r>
  <r>
    <x v="33"/>
    <s v="Ubnd Xã Ngọc Vân"/>
    <x v="1"/>
    <n v="21900000"/>
    <d v="2024-05-01T00:00:00"/>
    <x v="4"/>
    <x v="0"/>
    <s v="Đông Bắc Bộ"/>
    <x v="2"/>
    <x v="10"/>
    <n v="21.9"/>
  </r>
  <r>
    <x v="41"/>
    <s v="Ubnd Xã Quang Long"/>
    <x v="4"/>
    <n v="22727273"/>
    <d v="2024-05-01T00:00:00"/>
    <x v="4"/>
    <x v="0"/>
    <s v="Đông Bắc Bộ"/>
    <x v="2"/>
    <x v="9"/>
    <n v="22.727273"/>
  </r>
  <r>
    <x v="53"/>
    <s v="UBND XÃ QUANG THUẬN"/>
    <x v="1"/>
    <n v="19090909"/>
    <d v="2024-05-01T00:00:00"/>
    <x v="4"/>
    <x v="0"/>
    <s v="Đông Bắc Bộ"/>
    <x v="2"/>
    <x v="13"/>
    <n v="19.090909"/>
  </r>
  <r>
    <x v="6"/>
    <s v="UBND XÃ SÔNG LÔ"/>
    <x v="0"/>
    <n v="57987982"/>
    <d v="2024-05-01T00:00:00"/>
    <x v="4"/>
    <x v="0"/>
    <s v="Đông Bắc Bộ"/>
    <x v="2"/>
    <x v="1"/>
    <n v="57.987982000000002"/>
  </r>
  <r>
    <x v="53"/>
    <s v="Ubnd Xã Sỹ Bình"/>
    <x v="2"/>
    <n v="5454545"/>
    <d v="2024-05-01T00:00:00"/>
    <x v="4"/>
    <x v="0"/>
    <s v="Đông Bắc Bộ"/>
    <x v="2"/>
    <x v="13"/>
    <n v="5.4545450000000004"/>
  </r>
  <r>
    <x v="53"/>
    <s v="Ubnd Xã Sỹ Bình"/>
    <x v="2"/>
    <n v="8181818"/>
    <d v="2024-05-01T00:00:00"/>
    <x v="4"/>
    <x v="0"/>
    <s v="Đông Bắc Bộ"/>
    <x v="2"/>
    <x v="13"/>
    <n v="8.1818179999999998"/>
  </r>
  <r>
    <x v="41"/>
    <s v="Ubnd Xã Thắng Lợi"/>
    <x v="4"/>
    <n v="22727273"/>
    <d v="2024-05-01T00:00:00"/>
    <x v="4"/>
    <x v="0"/>
    <s v="Đông Bắc Bộ"/>
    <x v="2"/>
    <x v="9"/>
    <n v="22.727273"/>
  </r>
  <r>
    <x v="27"/>
    <s v="UBND XÃ YÊN HỒ"/>
    <x v="3"/>
    <n v="85276800"/>
    <d v="2024-05-01T00:00:00"/>
    <x v="4"/>
    <x v="0"/>
    <s v="Bắc Trung Bộ"/>
    <x v="2"/>
    <x v="7"/>
    <n v="85.276799999999994"/>
  </r>
  <r>
    <x v="0"/>
    <s v="Ủy Ban Mặt Trận Tổ Quốc Xã Nghi Phong"/>
    <x v="0"/>
    <n v="45252000"/>
    <d v="2024-05-01T00:00:00"/>
    <x v="4"/>
    <x v="0"/>
    <s v="Bắc Trung Bộ"/>
    <x v="2"/>
    <x v="1"/>
    <n v="45.252000000000002"/>
  </r>
  <r>
    <x v="40"/>
    <s v="Ủy Ban Nhân Dân Thị Trấn Long Thành"/>
    <x v="2"/>
    <n v="69975455"/>
    <d v="2024-05-01T00:00:00"/>
    <x v="4"/>
    <x v="0"/>
    <s v="ĐB Sông Cửu Long"/>
    <x v="2"/>
    <x v="1"/>
    <n v="69.975454999999997"/>
  </r>
  <r>
    <x v="17"/>
    <s v="ỦY BAN NHÂN DÂN XÃ AN LĨNH"/>
    <x v="4"/>
    <n v="81812727"/>
    <d v="2024-05-01T00:00:00"/>
    <x v="4"/>
    <x v="0"/>
    <s v="Duyên hải Nam Trung Bộ"/>
    <x v="2"/>
    <x v="9"/>
    <n v="81.812726999999995"/>
  </r>
  <r>
    <x v="35"/>
    <s v="Uỷ Ban Nhân Dân Xã Hòa Bình"/>
    <x v="4"/>
    <n v="72716000"/>
    <d v="2024-05-01T00:00:00"/>
    <x v="4"/>
    <x v="0"/>
    <s v="Đông Bắc Bộ"/>
    <x v="2"/>
    <x v="9"/>
    <n v="72.715999999999994"/>
  </r>
  <r>
    <x v="35"/>
    <s v="Uỷ Ban Nhân Dân Xã Hữu Liên"/>
    <x v="4"/>
    <n v="36365000"/>
    <d v="2024-05-01T00:00:00"/>
    <x v="4"/>
    <x v="0"/>
    <s v="Đông Bắc Bộ"/>
    <x v="2"/>
    <x v="9"/>
    <n v="36.365000000000002"/>
  </r>
  <r>
    <x v="44"/>
    <s v="Ủy Ban Nhân Dân Xã Phú Lộc"/>
    <x v="0"/>
    <n v="710297273"/>
    <d v="2024-05-01T00:00:00"/>
    <x v="4"/>
    <x v="0"/>
    <s v="Bắc Trung Bộ"/>
    <x v="2"/>
    <x v="1"/>
    <n v="710.29727300000002"/>
  </r>
  <r>
    <x v="35"/>
    <s v="Uỷ Ban Nhân Dân Xã Yên Thịnh"/>
    <x v="4"/>
    <n v="109060000"/>
    <d v="2024-05-01T00:00:00"/>
    <x v="4"/>
    <x v="0"/>
    <s v="Đông Bắc Bộ"/>
    <x v="2"/>
    <x v="9"/>
    <n v="109.06"/>
  </r>
  <r>
    <x v="59"/>
    <s v="Xã Đồng Ích"/>
    <x v="0"/>
    <n v="142373775"/>
    <d v="2024-05-01T00:00:00"/>
    <x v="4"/>
    <x v="0"/>
    <s v="ĐB Sông Hồng"/>
    <x v="2"/>
    <x v="1"/>
    <n v="142.37377499999999"/>
  </r>
  <r>
    <x v="25"/>
    <s v="Trường Cao Đẳng Đà Lạt"/>
    <x v="0"/>
    <n v="6360000"/>
    <d v="2024-05-01T00:00:00"/>
    <x v="4"/>
    <x v="0"/>
    <s v="Tây Nguyên"/>
    <x v="4"/>
    <x v="0"/>
    <n v="6.36"/>
  </r>
  <r>
    <x v="54"/>
    <s v="Trường Mâm Non Hòa Mạc"/>
    <x v="1"/>
    <n v="84645455"/>
    <d v="2024-05-01T00:00:00"/>
    <x v="4"/>
    <x v="0"/>
    <s v="Tây Bắc Bộ"/>
    <x v="4"/>
    <x v="10"/>
    <n v="84.645454999999998"/>
  </r>
  <r>
    <x v="54"/>
    <s v="TRƯỜNG MẦM NON NẬM MẢ"/>
    <x v="1"/>
    <n v="85654545"/>
    <d v="2024-05-01T00:00:00"/>
    <x v="4"/>
    <x v="0"/>
    <s v="Tây Bắc Bộ"/>
    <x v="4"/>
    <x v="10"/>
    <n v="85.654544999999999"/>
  </r>
  <r>
    <x v="32"/>
    <s v="TRƯỜNG MẦM NON PHÚ CƯỜNG"/>
    <x v="2"/>
    <n v="21454545"/>
    <d v="2024-05-01T00:00:00"/>
    <x v="4"/>
    <x v="0"/>
    <s v="ĐB Sông Cửu Long"/>
    <x v="4"/>
    <x v="11"/>
    <n v="21.454545"/>
  </r>
  <r>
    <x v="54"/>
    <s v="Trường Mầm Non Số 1 Khánh Yên Hạ"/>
    <x v="0"/>
    <n v="90766364"/>
    <d v="2024-05-01T00:00:00"/>
    <x v="4"/>
    <x v="0"/>
    <s v="Tây Bắc Bộ"/>
    <x v="4"/>
    <x v="5"/>
    <n v="90.766363999999996"/>
  </r>
  <r>
    <x v="54"/>
    <s v="TRƯỜNG MẦM NON VÀ TIỂU HỌC SỐ 2 NẬM XÂY"/>
    <x v="1"/>
    <n v="78354545"/>
    <d v="2024-05-01T00:00:00"/>
    <x v="4"/>
    <x v="0"/>
    <s v="Tây Bắc Bộ"/>
    <x v="4"/>
    <x v="10"/>
    <n v="78.354545000000002"/>
  </r>
  <r>
    <x v="33"/>
    <s v="Trường Thcs Cao Xá"/>
    <x v="2"/>
    <n v="44680000"/>
    <d v="2024-05-01T00:00:00"/>
    <x v="4"/>
    <x v="0"/>
    <s v="Đông Bắc Bộ"/>
    <x v="4"/>
    <x v="2"/>
    <n v="44.68"/>
  </r>
  <r>
    <x v="0"/>
    <s v="TRƯỜNG THCS ĐỘI CUNG"/>
    <x v="0"/>
    <n v="40306364"/>
    <d v="2024-05-01T00:00:00"/>
    <x v="4"/>
    <x v="0"/>
    <s v="Bắc Trung Bộ"/>
    <x v="4"/>
    <x v="0"/>
    <n v="40.306364000000002"/>
  </r>
  <r>
    <x v="54"/>
    <s v="TRƯỜNG THCS LIÊM PHÚ"/>
    <x v="1"/>
    <n v="31545455"/>
    <d v="2024-05-01T00:00:00"/>
    <x v="4"/>
    <x v="0"/>
    <s v="Tây Bắc Bộ"/>
    <x v="4"/>
    <x v="10"/>
    <n v="31.545455"/>
  </r>
  <r>
    <x v="35"/>
    <s v="TRƯỜNG THPT NGÔ SỸ LIÊN"/>
    <x v="0"/>
    <n v="13003000"/>
    <d v="2024-05-01T00:00:00"/>
    <x v="4"/>
    <x v="0"/>
    <s v="Đông Bắc Bộ"/>
    <x v="4"/>
    <x v="0"/>
    <n v="13.003"/>
  </r>
  <r>
    <x v="0"/>
    <s v="TRƯỜNG THPT NGUYỄN DUY TRINH"/>
    <x v="0"/>
    <n v="87010000"/>
    <d v="2024-05-01T00:00:00"/>
    <x v="4"/>
    <x v="0"/>
    <s v="Bắc Trung Bộ"/>
    <x v="4"/>
    <x v="16"/>
    <n v="87.01"/>
  </r>
  <r>
    <x v="0"/>
    <s v="TRƯỜNG THPT NGUYỄN DUY TRINH"/>
    <x v="0"/>
    <n v="86690000"/>
    <d v="2024-05-01T00:00:00"/>
    <x v="4"/>
    <x v="0"/>
    <s v="Bắc Trung Bộ"/>
    <x v="4"/>
    <x v="16"/>
    <n v="86.69"/>
  </r>
  <r>
    <x v="0"/>
    <s v="Trường Tiểu Học Châu Thôn"/>
    <x v="0"/>
    <n v="45360000"/>
    <d v="2024-05-01T00:00:00"/>
    <x v="4"/>
    <x v="0"/>
    <s v="Bắc Trung Bộ"/>
    <x v="4"/>
    <x v="5"/>
    <n v="45.36"/>
  </r>
  <r>
    <x v="9"/>
    <s v="TRƯỜNG TIỂU HỌC HOÀNG VĂN THỤ"/>
    <x v="2"/>
    <n v="9727273"/>
    <d v="2024-05-01T00:00:00"/>
    <x v="4"/>
    <x v="0"/>
    <s v="Duyên hải Nam Trung Bộ"/>
    <x v="4"/>
    <x v="2"/>
    <n v="9.7272730000000003"/>
  </r>
  <r>
    <x v="16"/>
    <s v="TRƯỜNG TIỂU HỌC LIÊM SƠN"/>
    <x v="1"/>
    <n v="24545455"/>
    <d v="2024-05-01T00:00:00"/>
    <x v="4"/>
    <x v="0"/>
    <s v="ĐB Sông Hồng"/>
    <x v="4"/>
    <x v="2"/>
    <n v="24.545455"/>
  </r>
  <r>
    <x v="54"/>
    <s v="TRƯỜNG TIỂU HỌC SỐ 2 CHIỀNG KEN"/>
    <x v="0"/>
    <n v="75145455"/>
    <d v="2024-05-01T00:00:00"/>
    <x v="4"/>
    <x v="0"/>
    <s v="Tây Bắc Bộ"/>
    <x v="4"/>
    <x v="5"/>
    <n v="75.145454999999998"/>
  </r>
  <r>
    <x v="54"/>
    <s v="TRƯỜNG TIỂU HỌC THẲM DƯƠNG"/>
    <x v="1"/>
    <n v="83054545"/>
    <d v="2024-05-01T00:00:00"/>
    <x v="4"/>
    <x v="0"/>
    <s v="Tây Bắc Bộ"/>
    <x v="4"/>
    <x v="10"/>
    <n v="83.054545000000005"/>
  </r>
  <r>
    <x v="0"/>
    <s v="Trường Trung Học Cơ Sở Quỳnh Giang"/>
    <x v="0"/>
    <n v="32018182"/>
    <d v="2024-05-01T00:00:00"/>
    <x v="4"/>
    <x v="0"/>
    <s v="Bắc Trung Bộ"/>
    <x v="4"/>
    <x v="0"/>
    <n v="32.018182000000003"/>
  </r>
  <r>
    <x v="30"/>
    <s v="Trường Trung Học Phổ Thông Nguyễn Bỉnh Khiêm"/>
    <x v="0"/>
    <n v="66888000"/>
    <d v="2024-05-01T00:00:00"/>
    <x v="4"/>
    <x v="0"/>
    <s v="ĐB Sông Cửu Long"/>
    <x v="4"/>
    <x v="1"/>
    <n v="66.888000000000005"/>
  </r>
  <r>
    <x v="41"/>
    <s v="Trường Trung Học Phổ Thông Thông Huề"/>
    <x v="0"/>
    <n v="24086364"/>
    <d v="2024-05-01T00:00:00"/>
    <x v="4"/>
    <x v="0"/>
    <s v="Đông Bắc Bộ"/>
    <x v="4"/>
    <x v="1"/>
    <n v="24.086364"/>
  </r>
  <r>
    <x v="54"/>
    <s v="TRƯỜNG TIỂU HỌC SỐ 1 VÕ LAO"/>
    <x v="0"/>
    <n v="72745455"/>
    <d v="2024-05-01T00:00:00"/>
    <x v="4"/>
    <x v="0"/>
    <s v="Tây Bắc Bộ"/>
    <x v="4"/>
    <x v="5"/>
    <n v="72.745455000000007"/>
  </r>
  <r>
    <x v="49"/>
    <s v="Bệnh Viện Đa Khoa Khu Vực Ba Tri"/>
    <x v="0"/>
    <n v="9409091"/>
    <d v="2024-06-01T00:00:00"/>
    <x v="5"/>
    <x v="0"/>
    <s v="ĐB Sông Cửu Long"/>
    <x v="0"/>
    <x v="0"/>
    <n v="9.4090910000000001"/>
  </r>
  <r>
    <x v="25"/>
    <s v="Bệnh Viện Đa Khoa Lâm Đồng"/>
    <x v="0"/>
    <n v="163398182"/>
    <d v="2024-06-01T00:00:00"/>
    <x v="5"/>
    <x v="0"/>
    <s v="Tây Nguyên"/>
    <x v="0"/>
    <x v="5"/>
    <n v="163.39818199999999"/>
  </r>
  <r>
    <x v="1"/>
    <s v="BỆNH VIỆN ĐA KHOA TỈNH BÌNH ĐỊNH"/>
    <x v="0"/>
    <n v="31385455"/>
    <d v="2024-06-01T00:00:00"/>
    <x v="5"/>
    <x v="0"/>
    <s v="Duyên hải Nam Trung Bộ"/>
    <x v="0"/>
    <x v="1"/>
    <n v="31.385455"/>
  </r>
  <r>
    <x v="13"/>
    <s v="Bệnh viện đa khoa tỉnh Yên Bái"/>
    <x v="2"/>
    <n v="75045455"/>
    <d v="2024-06-01T00:00:00"/>
    <x v="5"/>
    <x v="0"/>
    <s v="Tây Bắc Bộ"/>
    <x v="0"/>
    <x v="2"/>
    <n v="75.045455000000004"/>
  </r>
  <r>
    <x v="30"/>
    <s v="Bệnh Viện Đa Khoa Trung Tâm An Giang"/>
    <x v="2"/>
    <n v="45163636"/>
    <d v="2024-06-01T00:00:00"/>
    <x v="5"/>
    <x v="0"/>
    <s v="ĐB Sông Cửu Long"/>
    <x v="0"/>
    <x v="10"/>
    <n v="45.163635999999997"/>
  </r>
  <r>
    <x v="40"/>
    <s v="Công ty 18"/>
    <x v="0"/>
    <n v="15854545"/>
    <d v="2024-06-01T00:00:00"/>
    <x v="5"/>
    <x v="0"/>
    <s v="ĐB Sông Cửu Long"/>
    <x v="1"/>
    <x v="1"/>
    <n v="15.854545"/>
  </r>
  <r>
    <x v="5"/>
    <s v="Công ty 20"/>
    <x v="2"/>
    <n v="35738182"/>
    <d v="2024-06-01T00:00:00"/>
    <x v="5"/>
    <x v="0"/>
    <s v="Đông Nam Bộ"/>
    <x v="1"/>
    <x v="3"/>
    <n v="35.738182000000002"/>
  </r>
  <r>
    <x v="5"/>
    <s v="Công ty 23"/>
    <x v="2"/>
    <n v="25920000"/>
    <d v="2024-06-01T00:00:00"/>
    <x v="5"/>
    <x v="0"/>
    <s v="Đông Nam Bộ"/>
    <x v="1"/>
    <x v="3"/>
    <n v="25.92"/>
  </r>
  <r>
    <x v="5"/>
    <s v="Công ty 31"/>
    <x v="2"/>
    <n v="35738182"/>
    <d v="2024-06-01T00:00:00"/>
    <x v="5"/>
    <x v="0"/>
    <s v="Đông Nam Bộ"/>
    <x v="1"/>
    <x v="3"/>
    <n v="35.738182000000002"/>
  </r>
  <r>
    <x v="28"/>
    <s v="Công ty 47"/>
    <x v="4"/>
    <n v="199589535"/>
    <d v="2024-06-01T00:00:00"/>
    <x v="5"/>
    <x v="0"/>
    <s v="ĐB Sông Hồng"/>
    <x v="1"/>
    <x v="3"/>
    <n v="199.58953500000001"/>
  </r>
  <r>
    <x v="4"/>
    <s v="Công ty 45"/>
    <x v="1"/>
    <n v="19890909"/>
    <d v="2024-06-01T00:00:00"/>
    <x v="5"/>
    <x v="0"/>
    <s v="Đông Nam Bộ"/>
    <x v="1"/>
    <x v="2"/>
    <n v="19.890909000000001"/>
  </r>
  <r>
    <x v="11"/>
    <s v="Công ty 53"/>
    <x v="2"/>
    <n v="14727273"/>
    <d v="2024-06-01T00:00:00"/>
    <x v="5"/>
    <x v="0"/>
    <s v="Đông Nam Bộ"/>
    <x v="1"/>
    <x v="3"/>
    <n v="14.727273"/>
  </r>
  <r>
    <x v="11"/>
    <s v="Công ty 54"/>
    <x v="2"/>
    <n v="20917244"/>
    <d v="2024-06-01T00:00:00"/>
    <x v="5"/>
    <x v="0"/>
    <s v="Đông Nam Bộ"/>
    <x v="1"/>
    <x v="3"/>
    <n v="20.917244"/>
  </r>
  <r>
    <x v="11"/>
    <s v="Công ty 55"/>
    <x v="2"/>
    <n v="241704432"/>
    <d v="2024-06-01T00:00:00"/>
    <x v="5"/>
    <x v="0"/>
    <s v="Đông Nam Bộ"/>
    <x v="1"/>
    <x v="3"/>
    <n v="241.704432"/>
  </r>
  <r>
    <x v="9"/>
    <s v="Công ty 63"/>
    <x v="2"/>
    <n v="75000000"/>
    <d v="2024-06-01T00:00:00"/>
    <x v="5"/>
    <x v="0"/>
    <s v="Duyên hải Nam Trung Bộ"/>
    <x v="1"/>
    <x v="5"/>
    <n v="75"/>
  </r>
  <r>
    <x v="29"/>
    <s v="Công ty 71"/>
    <x v="2"/>
    <n v="130000000"/>
    <d v="2024-06-01T00:00:00"/>
    <x v="5"/>
    <x v="0"/>
    <s v="ĐB Sông Cửu Long"/>
    <x v="1"/>
    <x v="3"/>
    <n v="130"/>
  </r>
  <r>
    <x v="29"/>
    <s v="Công ty 72"/>
    <x v="2"/>
    <n v="268036364"/>
    <d v="2024-06-01T00:00:00"/>
    <x v="5"/>
    <x v="0"/>
    <s v="ĐB Sông Cửu Long"/>
    <x v="1"/>
    <x v="3"/>
    <n v="268.03636399999999"/>
  </r>
  <r>
    <x v="22"/>
    <s v="Công ty 80"/>
    <x v="0"/>
    <n v="277190909"/>
    <d v="2024-06-01T00:00:00"/>
    <x v="5"/>
    <x v="0"/>
    <s v="Bắc Trung Bộ"/>
    <x v="1"/>
    <x v="1"/>
    <n v="277.19090899999998"/>
  </r>
  <r>
    <x v="7"/>
    <s v="Công ty 83"/>
    <x v="2"/>
    <n v="88805455"/>
    <d v="2024-06-01T00:00:00"/>
    <x v="5"/>
    <x v="0"/>
    <s v="Bắc Trung Bộ"/>
    <x v="1"/>
    <x v="10"/>
    <n v="88.805454999999995"/>
  </r>
  <r>
    <x v="3"/>
    <s v="Công ty 85"/>
    <x v="2"/>
    <n v="656000000"/>
    <d v="2024-06-01T00:00:00"/>
    <x v="5"/>
    <x v="0"/>
    <s v="ĐB Sông Cửu Long"/>
    <x v="1"/>
    <x v="3"/>
    <n v="656"/>
  </r>
  <r>
    <x v="10"/>
    <s v="Công ty 89"/>
    <x v="1"/>
    <n v="2756263540"/>
    <d v="2024-06-01T00:00:00"/>
    <x v="5"/>
    <x v="0"/>
    <s v="Duyên hải Nam Trung Bộ"/>
    <x v="1"/>
    <x v="4"/>
    <n v="2756.2635399999999"/>
  </r>
  <r>
    <x v="3"/>
    <s v="Công ty 98"/>
    <x v="2"/>
    <n v="60872727"/>
    <d v="2024-06-01T00:00:00"/>
    <x v="5"/>
    <x v="0"/>
    <s v="ĐB Sông Cửu Long"/>
    <x v="1"/>
    <x v="3"/>
    <n v="60.872726999999998"/>
  </r>
  <r>
    <x v="0"/>
    <s v="Công ty 39"/>
    <x v="0"/>
    <n v="14409091"/>
    <d v="2024-06-01T00:00:00"/>
    <x v="5"/>
    <x v="0"/>
    <s v="Bắc Trung Bộ"/>
    <x v="1"/>
    <x v="0"/>
    <n v="14.409091"/>
  </r>
  <r>
    <x v="13"/>
    <s v="Công ty 54"/>
    <x v="2"/>
    <n v="27343636"/>
    <d v="2024-06-01T00:00:00"/>
    <x v="5"/>
    <x v="0"/>
    <s v="Tây Bắc Bộ"/>
    <x v="1"/>
    <x v="0"/>
    <n v="27.343636"/>
  </r>
  <r>
    <x v="30"/>
    <s v="Công ty 94"/>
    <x v="1"/>
    <n v="29975455"/>
    <d v="2024-06-01T00:00:00"/>
    <x v="5"/>
    <x v="0"/>
    <s v="ĐB Sông Cửu Long"/>
    <x v="1"/>
    <x v="15"/>
    <n v="29.975455"/>
  </r>
  <r>
    <x v="9"/>
    <s v="Công ty 96"/>
    <x v="2"/>
    <n v="4745455"/>
    <d v="2024-06-01T00:00:00"/>
    <x v="5"/>
    <x v="0"/>
    <s v="Duyên hải Nam Trung Bộ"/>
    <x v="1"/>
    <x v="2"/>
    <n v="4.7454549999999998"/>
  </r>
  <r>
    <x v="32"/>
    <s v="Công ty 5"/>
    <x v="0"/>
    <n v="243050000"/>
    <d v="2024-06-01T00:00:00"/>
    <x v="5"/>
    <x v="0"/>
    <s v="ĐB Sông Cửu Long"/>
    <x v="1"/>
    <x v="1"/>
    <n v="243.05"/>
  </r>
  <r>
    <x v="27"/>
    <s v="Công ty 9"/>
    <x v="0"/>
    <n v="222831673"/>
    <d v="2024-06-01T00:00:00"/>
    <x v="5"/>
    <x v="0"/>
    <s v="Bắc Trung Bộ"/>
    <x v="1"/>
    <x v="0"/>
    <n v="222.83167299999999"/>
  </r>
  <r>
    <x v="26"/>
    <s v="Công ty 13"/>
    <x v="0"/>
    <n v="15525000"/>
    <d v="2024-06-01T00:00:00"/>
    <x v="5"/>
    <x v="0"/>
    <s v="Đông Nam Bộ"/>
    <x v="1"/>
    <x v="1"/>
    <n v="15.525"/>
  </r>
  <r>
    <x v="3"/>
    <s v="Công ty 17"/>
    <x v="2"/>
    <n v="60872727"/>
    <d v="2024-06-01T00:00:00"/>
    <x v="5"/>
    <x v="0"/>
    <s v="ĐB Sông Cửu Long"/>
    <x v="1"/>
    <x v="3"/>
    <n v="60.872726999999998"/>
  </r>
  <r>
    <x v="3"/>
    <s v="Công ty 18"/>
    <x v="2"/>
    <n v="60872727"/>
    <d v="2024-06-01T00:00:00"/>
    <x v="5"/>
    <x v="0"/>
    <s v="ĐB Sông Cửu Long"/>
    <x v="1"/>
    <x v="3"/>
    <n v="60.872726999999998"/>
  </r>
  <r>
    <x v="3"/>
    <s v="Công ty 19"/>
    <x v="2"/>
    <n v="60872727"/>
    <d v="2024-06-01T00:00:00"/>
    <x v="5"/>
    <x v="0"/>
    <s v="ĐB Sông Cửu Long"/>
    <x v="1"/>
    <x v="3"/>
    <n v="60.872726999999998"/>
  </r>
  <r>
    <x v="3"/>
    <s v="Công ty 20"/>
    <x v="2"/>
    <n v="60872727"/>
    <d v="2024-06-01T00:00:00"/>
    <x v="5"/>
    <x v="0"/>
    <s v="ĐB Sông Cửu Long"/>
    <x v="1"/>
    <x v="3"/>
    <n v="60.872726999999998"/>
  </r>
  <r>
    <x v="0"/>
    <s v="Công ty 34"/>
    <x v="0"/>
    <n v="179311036"/>
    <d v="2024-06-01T00:00:00"/>
    <x v="5"/>
    <x v="0"/>
    <s v="Bắc Trung Bộ"/>
    <x v="1"/>
    <x v="1"/>
    <n v="179.311036"/>
  </r>
  <r>
    <x v="0"/>
    <s v="Công ty 35"/>
    <x v="1"/>
    <n v="44045455"/>
    <d v="2024-06-01T00:00:00"/>
    <x v="5"/>
    <x v="0"/>
    <s v="Bắc Trung Bộ"/>
    <x v="1"/>
    <x v="2"/>
    <n v="44.045454999999997"/>
  </r>
  <r>
    <x v="47"/>
    <s v="Công ty 56"/>
    <x v="0"/>
    <n v="14317401"/>
    <d v="2024-06-01T00:00:00"/>
    <x v="5"/>
    <x v="0"/>
    <s v="Đông Bắc Bộ"/>
    <x v="1"/>
    <x v="1"/>
    <n v="14.317401"/>
  </r>
  <r>
    <x v="19"/>
    <s v="Công ty 60"/>
    <x v="4"/>
    <n v="312545455"/>
    <d v="2024-06-01T00:00:00"/>
    <x v="5"/>
    <x v="0"/>
    <s v="Duyên hải Nam Trung Bộ"/>
    <x v="1"/>
    <x v="3"/>
    <n v="312.545455"/>
  </r>
  <r>
    <x v="14"/>
    <s v="Công ty 64"/>
    <x v="2"/>
    <n v="198980000"/>
    <d v="2024-06-01T00:00:00"/>
    <x v="5"/>
    <x v="0"/>
    <s v="ĐB Sông Hồng"/>
    <x v="1"/>
    <x v="2"/>
    <n v="198.98"/>
  </r>
  <r>
    <x v="14"/>
    <s v="Công ty 65"/>
    <x v="2"/>
    <n v="58026400"/>
    <d v="2024-06-01T00:00:00"/>
    <x v="5"/>
    <x v="0"/>
    <s v="ĐB Sông Hồng"/>
    <x v="1"/>
    <x v="2"/>
    <n v="58.026400000000002"/>
  </r>
  <r>
    <x v="27"/>
    <s v="Công ty 98"/>
    <x v="0"/>
    <n v="34964545"/>
    <d v="2024-06-01T00:00:00"/>
    <x v="5"/>
    <x v="0"/>
    <s v="Bắc Trung Bộ"/>
    <x v="1"/>
    <x v="1"/>
    <n v="34.964545000000001"/>
  </r>
  <r>
    <x v="14"/>
    <s v="Công ty 8"/>
    <x v="0"/>
    <n v="70477000"/>
    <d v="2024-06-01T00:00:00"/>
    <x v="5"/>
    <x v="0"/>
    <s v="ĐB Sông Hồng"/>
    <x v="1"/>
    <x v="1"/>
    <n v="70.477000000000004"/>
  </r>
  <r>
    <x v="34"/>
    <s v="Công ty 16"/>
    <x v="0"/>
    <n v="41809091"/>
    <d v="2024-06-01T00:00:00"/>
    <x v="5"/>
    <x v="0"/>
    <s v="Tây Bắc Bộ"/>
    <x v="1"/>
    <x v="1"/>
    <n v="41.809091000000002"/>
  </r>
  <r>
    <x v="11"/>
    <s v="Công ty 33"/>
    <x v="2"/>
    <n v="44025266"/>
    <d v="2024-06-01T00:00:00"/>
    <x v="5"/>
    <x v="0"/>
    <s v="Đông Nam Bộ"/>
    <x v="1"/>
    <x v="10"/>
    <n v="44.025266000000002"/>
  </r>
  <r>
    <x v="6"/>
    <s v="Công ty 35"/>
    <x v="4"/>
    <n v="209427273"/>
    <d v="2024-06-01T00:00:00"/>
    <x v="5"/>
    <x v="0"/>
    <s v="Đông Bắc Bộ"/>
    <x v="1"/>
    <x v="3"/>
    <n v="209.42727300000001"/>
  </r>
  <r>
    <x v="23"/>
    <s v="Công ty 49"/>
    <x v="1"/>
    <n v="57818182"/>
    <d v="2024-06-01T00:00:00"/>
    <x v="5"/>
    <x v="0"/>
    <s v="Duyên hải Nam Trung Bộ"/>
    <x v="1"/>
    <x v="2"/>
    <n v="57.818182"/>
  </r>
  <r>
    <x v="17"/>
    <s v="Công ty 58"/>
    <x v="0"/>
    <n v="48305182"/>
    <d v="2024-06-01T00:00:00"/>
    <x v="5"/>
    <x v="0"/>
    <s v="Duyên hải Nam Trung Bộ"/>
    <x v="1"/>
    <x v="0"/>
    <n v="48.305182000000002"/>
  </r>
  <r>
    <x v="47"/>
    <s v="Công ty 2"/>
    <x v="2"/>
    <n v="200001233"/>
    <d v="2024-06-01T00:00:00"/>
    <x v="5"/>
    <x v="0"/>
    <s v="Đông Bắc Bộ"/>
    <x v="1"/>
    <x v="1"/>
    <n v="200.00123300000001"/>
  </r>
  <r>
    <x v="21"/>
    <s v="Công ty 67"/>
    <x v="2"/>
    <n v="24568159"/>
    <d v="2024-06-01T00:00:00"/>
    <x v="5"/>
    <x v="0"/>
    <s v="Đông Bắc Bộ"/>
    <x v="1"/>
    <x v="2"/>
    <n v="24.568159000000001"/>
  </r>
  <r>
    <x v="35"/>
    <s v="Công ty 85"/>
    <x v="0"/>
    <n v="40952245"/>
    <d v="2024-06-01T00:00:00"/>
    <x v="5"/>
    <x v="0"/>
    <s v="Đông Bắc Bộ"/>
    <x v="1"/>
    <x v="1"/>
    <n v="40.952244999999998"/>
  </r>
  <r>
    <x v="5"/>
    <s v="Công ty 89"/>
    <x v="0"/>
    <n v="69930000"/>
    <d v="2024-06-01T00:00:00"/>
    <x v="5"/>
    <x v="0"/>
    <s v="Đông Nam Bộ"/>
    <x v="1"/>
    <x v="1"/>
    <n v="69.930000000000007"/>
  </r>
  <r>
    <x v="29"/>
    <s v="Công ty 38"/>
    <x v="0"/>
    <n v="26925000"/>
    <d v="2024-06-01T00:00:00"/>
    <x v="5"/>
    <x v="0"/>
    <s v="ĐB Sông Cửu Long"/>
    <x v="1"/>
    <x v="5"/>
    <n v="26.925000000000001"/>
  </r>
  <r>
    <x v="5"/>
    <s v="Công ty 56"/>
    <x v="0"/>
    <n v="35895455"/>
    <d v="2024-06-01T00:00:00"/>
    <x v="5"/>
    <x v="0"/>
    <s v="Đông Nam Bộ"/>
    <x v="1"/>
    <x v="0"/>
    <n v="35.895454999999998"/>
  </r>
  <r>
    <x v="54"/>
    <s v="Công ty 79"/>
    <x v="0"/>
    <n v="23708182"/>
    <d v="2024-06-01T00:00:00"/>
    <x v="5"/>
    <x v="0"/>
    <s v="Tây Bắc Bộ"/>
    <x v="1"/>
    <x v="6"/>
    <n v="23.708182000000001"/>
  </r>
  <r>
    <x v="27"/>
    <s v="Công ty 88"/>
    <x v="0"/>
    <n v="16988422"/>
    <d v="2024-06-01T00:00:00"/>
    <x v="5"/>
    <x v="0"/>
    <s v="Bắc Trung Bộ"/>
    <x v="1"/>
    <x v="1"/>
    <n v="16.988422"/>
  </r>
  <r>
    <x v="27"/>
    <s v="Công ty 1"/>
    <x v="0"/>
    <n v="31510909"/>
    <d v="2024-06-01T00:00:00"/>
    <x v="5"/>
    <x v="0"/>
    <s v="Bắc Trung Bộ"/>
    <x v="1"/>
    <x v="1"/>
    <n v="31.510909000000002"/>
  </r>
  <r>
    <x v="38"/>
    <s v="Công ty 5"/>
    <x v="0"/>
    <n v="57070800"/>
    <d v="2024-06-01T00:00:00"/>
    <x v="5"/>
    <x v="0"/>
    <s v="Tây Nguyên"/>
    <x v="1"/>
    <x v="0"/>
    <n v="57.070799999999998"/>
  </r>
  <r>
    <x v="24"/>
    <s v="Công ty 17"/>
    <x v="4"/>
    <n v="287331818"/>
    <d v="2024-06-01T00:00:00"/>
    <x v="5"/>
    <x v="0"/>
    <s v="ĐB Sông Hồng"/>
    <x v="1"/>
    <x v="3"/>
    <n v="287.331818"/>
  </r>
  <r>
    <x v="34"/>
    <s v="Công ty 23"/>
    <x v="1"/>
    <n v="98181818"/>
    <d v="2024-06-01T00:00:00"/>
    <x v="5"/>
    <x v="0"/>
    <s v="Tây Bắc Bộ"/>
    <x v="1"/>
    <x v="13"/>
    <n v="98.181818000000007"/>
  </r>
  <r>
    <x v="24"/>
    <s v="Công ty 34"/>
    <x v="1"/>
    <n v="3271153091"/>
    <d v="2024-06-01T00:00:00"/>
    <x v="5"/>
    <x v="0"/>
    <s v="ĐB Sông Hồng"/>
    <x v="1"/>
    <x v="4"/>
    <n v="3271.1530910000001"/>
  </r>
  <r>
    <x v="28"/>
    <s v="Công ty 35"/>
    <x v="1"/>
    <n v="25398615"/>
    <d v="2024-06-01T00:00:00"/>
    <x v="5"/>
    <x v="0"/>
    <s v="ĐB Sông Hồng"/>
    <x v="1"/>
    <x v="2"/>
    <n v="25.398614999999999"/>
  </r>
  <r>
    <x v="25"/>
    <s v="Công ty 46"/>
    <x v="0"/>
    <n v="23909091"/>
    <d v="2024-06-01T00:00:00"/>
    <x v="5"/>
    <x v="0"/>
    <s v="Tây Nguyên"/>
    <x v="1"/>
    <x v="0"/>
    <n v="23.909091"/>
  </r>
  <r>
    <x v="19"/>
    <s v="Công ty 59"/>
    <x v="1"/>
    <n v="327020000"/>
    <d v="2024-06-01T00:00:00"/>
    <x v="5"/>
    <x v="0"/>
    <s v="Duyên hải Nam Trung Bộ"/>
    <x v="1"/>
    <x v="2"/>
    <n v="327.02"/>
  </r>
  <r>
    <x v="15"/>
    <s v="Công ty 82"/>
    <x v="0"/>
    <n v="99383385"/>
    <d v="2024-06-01T00:00:00"/>
    <x v="5"/>
    <x v="0"/>
    <s v="Duyên hải Nam Trung Bộ"/>
    <x v="1"/>
    <x v="5"/>
    <n v="99.383385000000004"/>
  </r>
  <r>
    <x v="16"/>
    <s v="Công ty 88"/>
    <x v="0"/>
    <n v="624724215"/>
    <d v="2024-06-01T00:00:00"/>
    <x v="5"/>
    <x v="0"/>
    <s v="ĐB Sông Hồng"/>
    <x v="1"/>
    <x v="1"/>
    <n v="624.72421499999996"/>
  </r>
  <r>
    <x v="29"/>
    <s v="Công ty 3"/>
    <x v="0"/>
    <n v="120477273"/>
    <d v="2024-06-01T00:00:00"/>
    <x v="5"/>
    <x v="0"/>
    <s v="ĐB Sông Cửu Long"/>
    <x v="1"/>
    <x v="5"/>
    <n v="120.477273"/>
  </r>
  <r>
    <x v="11"/>
    <s v="Công ty 23"/>
    <x v="0"/>
    <n v="26367005"/>
    <d v="2024-06-01T00:00:00"/>
    <x v="5"/>
    <x v="0"/>
    <s v="Đông Nam Bộ"/>
    <x v="1"/>
    <x v="1"/>
    <n v="26.367004999999999"/>
  </r>
  <r>
    <x v="45"/>
    <s v="Công ty 41"/>
    <x v="4"/>
    <n v="93415455"/>
    <d v="2024-06-01T00:00:00"/>
    <x v="5"/>
    <x v="0"/>
    <s v="ĐB Sông Cửu Long"/>
    <x v="1"/>
    <x v="3"/>
    <n v="93.415454999999994"/>
  </r>
  <r>
    <x v="39"/>
    <s v="Công ty 44"/>
    <x v="0"/>
    <n v="82100295"/>
    <d v="2024-06-01T00:00:00"/>
    <x v="5"/>
    <x v="0"/>
    <s v="ĐB Sông Cửu Long"/>
    <x v="1"/>
    <x v="14"/>
    <n v="82.100295000000003"/>
  </r>
  <r>
    <x v="29"/>
    <s v="Công ty 46"/>
    <x v="1"/>
    <n v="853800020"/>
    <d v="2024-06-01T00:00:00"/>
    <x v="5"/>
    <x v="0"/>
    <s v="ĐB Sông Cửu Long"/>
    <x v="1"/>
    <x v="13"/>
    <n v="853.80002000000002"/>
  </r>
  <r>
    <x v="39"/>
    <s v="Công ty 56"/>
    <x v="0"/>
    <n v="28152455"/>
    <d v="2024-06-01T00:00:00"/>
    <x v="5"/>
    <x v="0"/>
    <s v="ĐB Sông Cửu Long"/>
    <x v="1"/>
    <x v="1"/>
    <n v="28.152455"/>
  </r>
  <r>
    <x v="47"/>
    <s v="Công ty 76"/>
    <x v="1"/>
    <n v="338166589"/>
    <d v="2024-06-01T00:00:00"/>
    <x v="5"/>
    <x v="0"/>
    <s v="Đông Bắc Bộ"/>
    <x v="1"/>
    <x v="2"/>
    <n v="338.16658899999999"/>
  </r>
  <r>
    <x v="12"/>
    <s v="Công ty 77"/>
    <x v="1"/>
    <n v="80278364"/>
    <d v="2024-06-01T00:00:00"/>
    <x v="5"/>
    <x v="0"/>
    <s v="Tây Bắc Bộ"/>
    <x v="1"/>
    <x v="11"/>
    <n v="80.278363999999996"/>
  </r>
  <r>
    <x v="58"/>
    <s v="Công ty 80"/>
    <x v="1"/>
    <n v="85066000"/>
    <d v="2024-06-01T00:00:00"/>
    <x v="5"/>
    <x v="0"/>
    <s v="Tây Nguyên"/>
    <x v="1"/>
    <x v="2"/>
    <n v="85.066000000000003"/>
  </r>
  <r>
    <x v="58"/>
    <s v="Công ty 88"/>
    <x v="1"/>
    <n v="76702969"/>
    <d v="2024-06-01T00:00:00"/>
    <x v="5"/>
    <x v="0"/>
    <s v="Tây Nguyên"/>
    <x v="1"/>
    <x v="2"/>
    <n v="76.702968999999996"/>
  </r>
  <r>
    <x v="5"/>
    <s v="Công ty 93"/>
    <x v="2"/>
    <n v="7272727"/>
    <d v="2024-06-01T00:00:00"/>
    <x v="5"/>
    <x v="0"/>
    <s v="Đông Nam Bộ"/>
    <x v="1"/>
    <x v="3"/>
    <n v="7.2727269999999997"/>
  </r>
  <r>
    <x v="5"/>
    <s v="Công ty 95"/>
    <x v="2"/>
    <n v="7272727"/>
    <d v="2024-06-01T00:00:00"/>
    <x v="5"/>
    <x v="0"/>
    <s v="Đông Nam Bộ"/>
    <x v="1"/>
    <x v="3"/>
    <n v="7.2727269999999997"/>
  </r>
  <r>
    <x v="5"/>
    <s v="Công ty 97"/>
    <x v="2"/>
    <n v="7272727"/>
    <d v="2024-06-01T00:00:00"/>
    <x v="5"/>
    <x v="0"/>
    <s v="Đông Nam Bộ"/>
    <x v="1"/>
    <x v="3"/>
    <n v="7.2727269999999997"/>
  </r>
  <r>
    <x v="62"/>
    <s v="Công ty 1"/>
    <x v="2"/>
    <n v="41950000"/>
    <d v="2024-06-01T00:00:00"/>
    <x v="5"/>
    <x v="0"/>
    <s v="Bắc Trung Bộ"/>
    <x v="1"/>
    <x v="0"/>
    <n v="41.95"/>
  </r>
  <r>
    <x v="34"/>
    <s v="Công ty 37"/>
    <x v="1"/>
    <n v="39636364"/>
    <d v="2024-06-01T00:00:00"/>
    <x v="5"/>
    <x v="0"/>
    <s v="Tây Bắc Bộ"/>
    <x v="1"/>
    <x v="13"/>
    <n v="39.636364"/>
  </r>
  <r>
    <x v="34"/>
    <s v="Công ty 38"/>
    <x v="1"/>
    <n v="60900727"/>
    <d v="2024-06-01T00:00:00"/>
    <x v="5"/>
    <x v="0"/>
    <s v="Tây Bắc Bộ"/>
    <x v="1"/>
    <x v="13"/>
    <n v="60.900727000000003"/>
  </r>
  <r>
    <x v="43"/>
    <s v="Công ty 49"/>
    <x v="1"/>
    <n v="68100000"/>
    <d v="2024-06-01T00:00:00"/>
    <x v="5"/>
    <x v="0"/>
    <s v="Đông Nam Bộ"/>
    <x v="1"/>
    <x v="10"/>
    <n v="68.099999999999994"/>
  </r>
  <r>
    <x v="28"/>
    <s v="Công ty 62"/>
    <x v="2"/>
    <n v="39436364"/>
    <d v="2024-06-01T00:00:00"/>
    <x v="5"/>
    <x v="0"/>
    <s v="ĐB Sông Hồng"/>
    <x v="1"/>
    <x v="2"/>
    <n v="39.436363999999998"/>
  </r>
  <r>
    <x v="53"/>
    <s v="Công ty 64"/>
    <x v="0"/>
    <n v="348748400"/>
    <d v="2024-06-01T00:00:00"/>
    <x v="5"/>
    <x v="0"/>
    <s v="Đông Bắc Bộ"/>
    <x v="1"/>
    <x v="0"/>
    <n v="348.7484"/>
  </r>
  <r>
    <x v="28"/>
    <s v="Công ty 69"/>
    <x v="4"/>
    <n v="178259555"/>
    <d v="2024-06-01T00:00:00"/>
    <x v="5"/>
    <x v="0"/>
    <s v="ĐB Sông Hồng"/>
    <x v="1"/>
    <x v="3"/>
    <n v="178.25955500000001"/>
  </r>
  <r>
    <x v="1"/>
    <s v="Công ty 13"/>
    <x v="1"/>
    <n v="28550700"/>
    <d v="2024-06-01T00:00:00"/>
    <x v="5"/>
    <x v="0"/>
    <s v="Duyên hải Nam Trung Bộ"/>
    <x v="1"/>
    <x v="2"/>
    <n v="28.550699999999999"/>
  </r>
  <r>
    <x v="41"/>
    <s v="Công ty 42"/>
    <x v="1"/>
    <n v="100654545"/>
    <d v="2024-06-01T00:00:00"/>
    <x v="5"/>
    <x v="0"/>
    <s v="Đông Bắc Bộ"/>
    <x v="1"/>
    <x v="2"/>
    <n v="100.654545"/>
  </r>
  <r>
    <x v="41"/>
    <s v="Công ty 43"/>
    <x v="0"/>
    <n v="29461400"/>
    <d v="2024-06-01T00:00:00"/>
    <x v="5"/>
    <x v="0"/>
    <s v="Đông Bắc Bộ"/>
    <x v="1"/>
    <x v="1"/>
    <n v="29.461400000000001"/>
  </r>
  <r>
    <x v="1"/>
    <s v="Công ty 54"/>
    <x v="0"/>
    <n v="12461339"/>
    <d v="2024-06-01T00:00:00"/>
    <x v="5"/>
    <x v="0"/>
    <s v="Duyên hải Nam Trung Bộ"/>
    <x v="1"/>
    <x v="1"/>
    <n v="12.461339000000001"/>
  </r>
  <r>
    <x v="33"/>
    <s v="Công ty 62"/>
    <x v="4"/>
    <n v="147652727"/>
    <d v="2024-06-01T00:00:00"/>
    <x v="5"/>
    <x v="0"/>
    <s v="Đông Bắc Bộ"/>
    <x v="1"/>
    <x v="3"/>
    <n v="147.652727"/>
  </r>
  <r>
    <x v="27"/>
    <s v="Công ty 17"/>
    <x v="0"/>
    <n v="20688495"/>
    <d v="2024-06-01T00:00:00"/>
    <x v="5"/>
    <x v="0"/>
    <s v="Bắc Trung Bộ"/>
    <x v="1"/>
    <x v="1"/>
    <n v="20.688495"/>
  </r>
  <r>
    <x v="29"/>
    <s v="Công ty 50"/>
    <x v="0"/>
    <n v="19327656"/>
    <d v="2024-06-01T00:00:00"/>
    <x v="5"/>
    <x v="0"/>
    <s v="ĐB Sông Cửu Long"/>
    <x v="1"/>
    <x v="1"/>
    <n v="19.327656000000001"/>
  </r>
  <r>
    <x v="29"/>
    <s v="Công ty 51"/>
    <x v="0"/>
    <n v="22925673"/>
    <d v="2024-06-01T00:00:00"/>
    <x v="5"/>
    <x v="0"/>
    <s v="ĐB Sông Cửu Long"/>
    <x v="1"/>
    <x v="1"/>
    <n v="22.925673"/>
  </r>
  <r>
    <x v="29"/>
    <s v="Công ty 52"/>
    <x v="0"/>
    <n v="54911253"/>
    <d v="2024-06-01T00:00:00"/>
    <x v="5"/>
    <x v="0"/>
    <s v="ĐB Sông Cửu Long"/>
    <x v="1"/>
    <x v="1"/>
    <n v="54.911253000000002"/>
  </r>
  <r>
    <x v="0"/>
    <s v="Công ty 79"/>
    <x v="4"/>
    <n v="155033557"/>
    <d v="2024-06-01T00:00:00"/>
    <x v="5"/>
    <x v="0"/>
    <s v="Bắc Trung Bộ"/>
    <x v="1"/>
    <x v="3"/>
    <n v="155.033557"/>
  </r>
  <r>
    <x v="43"/>
    <s v="Công ty 90"/>
    <x v="2"/>
    <n v="273000000"/>
    <d v="2024-06-01T00:00:00"/>
    <x v="5"/>
    <x v="0"/>
    <s v="Đông Nam Bộ"/>
    <x v="1"/>
    <x v="0"/>
    <n v="273"/>
  </r>
  <r>
    <x v="9"/>
    <s v="Công ty 94"/>
    <x v="2"/>
    <n v="28130471"/>
    <d v="2024-06-01T00:00:00"/>
    <x v="5"/>
    <x v="0"/>
    <s v="Duyên hải Nam Trung Bộ"/>
    <x v="1"/>
    <x v="2"/>
    <n v="28.130471"/>
  </r>
  <r>
    <x v="23"/>
    <s v="Doanh nghiệp 1"/>
    <x v="0"/>
    <n v="41930509"/>
    <d v="2024-06-01T00:00:00"/>
    <x v="5"/>
    <x v="0"/>
    <s v="Duyên hải Nam Trung Bộ"/>
    <x v="1"/>
    <x v="0"/>
    <n v="41.930509000000001"/>
  </r>
  <r>
    <x v="29"/>
    <s v="Doanh nghiệp 14"/>
    <x v="0"/>
    <n v="19467400"/>
    <d v="2024-06-01T00:00:00"/>
    <x v="5"/>
    <x v="0"/>
    <s v="ĐB Sông Cửu Long"/>
    <x v="1"/>
    <x v="1"/>
    <n v="19.467400000000001"/>
  </r>
  <r>
    <x v="40"/>
    <s v="Doanh nghiệp 29"/>
    <x v="1"/>
    <n v="77814000"/>
    <d v="2024-06-01T00:00:00"/>
    <x v="5"/>
    <x v="0"/>
    <s v="ĐB Sông Cửu Long"/>
    <x v="1"/>
    <x v="15"/>
    <n v="77.813999999999993"/>
  </r>
  <r>
    <x v="2"/>
    <s v="Doanh nghiệp 24"/>
    <x v="0"/>
    <n v="67907000"/>
    <d v="2024-06-01T00:00:00"/>
    <x v="5"/>
    <x v="0"/>
    <s v="ĐB Sông Cửu Long"/>
    <x v="1"/>
    <x v="0"/>
    <n v="67.906999999999996"/>
  </r>
  <r>
    <x v="38"/>
    <s v="Doanh nghiệp 29"/>
    <x v="4"/>
    <n v="134765455"/>
    <d v="2024-06-01T00:00:00"/>
    <x v="5"/>
    <x v="0"/>
    <s v="Tây Nguyên"/>
    <x v="1"/>
    <x v="3"/>
    <n v="134.765455"/>
  </r>
  <r>
    <x v="35"/>
    <s v="Doanh nghiệp 31"/>
    <x v="1"/>
    <n v="25700000"/>
    <d v="2024-06-01T00:00:00"/>
    <x v="5"/>
    <x v="0"/>
    <s v="Đông Bắc Bộ"/>
    <x v="1"/>
    <x v="2"/>
    <n v="25.7"/>
  </r>
  <r>
    <x v="7"/>
    <s v="Doanh nghiệp 5"/>
    <x v="0"/>
    <n v="17100000"/>
    <d v="2024-06-01T00:00:00"/>
    <x v="5"/>
    <x v="0"/>
    <s v="Bắc Trung Bộ"/>
    <x v="1"/>
    <x v="0"/>
    <n v="17.100000000000001"/>
  </r>
  <r>
    <x v="32"/>
    <s v="Doanh nghiệp 19"/>
    <x v="1"/>
    <n v="17881818"/>
    <d v="2024-06-01T00:00:00"/>
    <x v="5"/>
    <x v="0"/>
    <s v="ĐB Sông Cửu Long"/>
    <x v="1"/>
    <x v="2"/>
    <n v="17.881817999999999"/>
  </r>
  <r>
    <x v="48"/>
    <s v="Doanh nghiệp 21"/>
    <x v="4"/>
    <n v="717900000"/>
    <d v="2024-06-01T00:00:00"/>
    <x v="5"/>
    <x v="0"/>
    <s v="Đông Bắc Bộ"/>
    <x v="1"/>
    <x v="3"/>
    <n v="717.9"/>
  </r>
  <r>
    <x v="2"/>
    <s v="Doanh nghiệp 27"/>
    <x v="0"/>
    <n v="84518500"/>
    <d v="2024-06-01T00:00:00"/>
    <x v="5"/>
    <x v="0"/>
    <s v="ĐB Sông Cửu Long"/>
    <x v="1"/>
    <x v="1"/>
    <n v="84.518500000000003"/>
  </r>
  <r>
    <x v="51"/>
    <s v="Doanh nghiệp 31"/>
    <x v="1"/>
    <n v="120321818"/>
    <d v="2024-06-01T00:00:00"/>
    <x v="5"/>
    <x v="0"/>
    <s v="ĐB Sông Hồng"/>
    <x v="1"/>
    <x v="2"/>
    <n v="120.32181799999999"/>
  </r>
  <r>
    <x v="24"/>
    <s v="Doanh nghiệp 1"/>
    <x v="1"/>
    <n v="51840000"/>
    <d v="2024-06-01T00:00:00"/>
    <x v="5"/>
    <x v="0"/>
    <s v="ĐB Sông Hồng"/>
    <x v="1"/>
    <x v="2"/>
    <n v="51.84"/>
  </r>
  <r>
    <x v="0"/>
    <s v="Doanh nghiệp 2"/>
    <x v="1"/>
    <n v="29435455"/>
    <d v="2024-06-01T00:00:00"/>
    <x v="5"/>
    <x v="0"/>
    <s v="Bắc Trung Bộ"/>
    <x v="1"/>
    <x v="2"/>
    <n v="29.435455000000001"/>
  </r>
  <r>
    <x v="18"/>
    <s v="Doanh nghiệp 3"/>
    <x v="0"/>
    <n v="20547820"/>
    <d v="2024-06-01T00:00:00"/>
    <x v="5"/>
    <x v="0"/>
    <s v="Tây Nguyên"/>
    <x v="1"/>
    <x v="5"/>
    <n v="20.547820000000002"/>
  </r>
  <r>
    <x v="16"/>
    <s v="Doanh nghiệp 4"/>
    <x v="1"/>
    <n v="22554545"/>
    <d v="2024-06-01T00:00:00"/>
    <x v="5"/>
    <x v="0"/>
    <s v="ĐB Sông Hồng"/>
    <x v="1"/>
    <x v="2"/>
    <n v="22.554545000000001"/>
  </r>
  <r>
    <x v="16"/>
    <s v="Doanh nghiệp 5"/>
    <x v="1"/>
    <n v="33831818"/>
    <d v="2024-06-01T00:00:00"/>
    <x v="5"/>
    <x v="0"/>
    <s v="ĐB Sông Hồng"/>
    <x v="1"/>
    <x v="2"/>
    <n v="33.831817999999998"/>
  </r>
  <r>
    <x v="61"/>
    <s v="Doanh nghiệp 6"/>
    <x v="1"/>
    <n v="103909091"/>
    <d v="2024-06-01T00:00:00"/>
    <x v="5"/>
    <x v="0"/>
    <s v="ĐB Sông Hồng"/>
    <x v="1"/>
    <x v="2"/>
    <n v="103.909091"/>
  </r>
  <r>
    <x v="45"/>
    <s v="Doanh nghiệp 7"/>
    <x v="0"/>
    <n v="24745000"/>
    <d v="2024-06-01T00:00:00"/>
    <x v="5"/>
    <x v="0"/>
    <s v="ĐB Sông Cửu Long"/>
    <x v="1"/>
    <x v="5"/>
    <n v="24.745000000000001"/>
  </r>
  <r>
    <x v="49"/>
    <s v="Doanh nghiệp 17"/>
    <x v="2"/>
    <n v="56500000"/>
    <d v="2024-06-01T00:00:00"/>
    <x v="5"/>
    <x v="0"/>
    <s v="ĐB Sông Cửu Long"/>
    <x v="1"/>
    <x v="1"/>
    <n v="56.5"/>
  </r>
  <r>
    <x v="30"/>
    <s v="Doanh nghiệp 25"/>
    <x v="2"/>
    <n v="66184364"/>
    <d v="2024-06-01T00:00:00"/>
    <x v="5"/>
    <x v="0"/>
    <s v="ĐB Sông Cửu Long"/>
    <x v="1"/>
    <x v="1"/>
    <n v="66.184364000000002"/>
  </r>
  <r>
    <x v="30"/>
    <s v="Doanh nghiệp 26"/>
    <x v="2"/>
    <n v="37246073"/>
    <d v="2024-06-01T00:00:00"/>
    <x v="5"/>
    <x v="0"/>
    <s v="ĐB Sông Cửu Long"/>
    <x v="1"/>
    <x v="0"/>
    <n v="37.246073000000003"/>
  </r>
  <r>
    <x v="56"/>
    <s v="Doanh nghiệp 17"/>
    <x v="1"/>
    <n v="38146873"/>
    <d v="2024-06-01T00:00:00"/>
    <x v="5"/>
    <x v="0"/>
    <s v="ĐB Sông Cửu Long"/>
    <x v="1"/>
    <x v="2"/>
    <n v="38.146872999999999"/>
  </r>
  <r>
    <x v="25"/>
    <s v="Tập đoàn 25"/>
    <x v="0"/>
    <n v="33776364"/>
    <d v="2024-06-01T00:00:00"/>
    <x v="5"/>
    <x v="0"/>
    <s v="Tây Nguyên"/>
    <x v="1"/>
    <x v="5"/>
    <n v="33.776364000000001"/>
  </r>
  <r>
    <x v="51"/>
    <s v="Tập đoàn 45"/>
    <x v="0"/>
    <n v="79800000"/>
    <d v="2024-06-01T00:00:00"/>
    <x v="5"/>
    <x v="0"/>
    <s v="ĐB Sông Hồng"/>
    <x v="1"/>
    <x v="16"/>
    <n v="79.8"/>
  </r>
  <r>
    <x v="0"/>
    <s v="Tập đoàn 62"/>
    <x v="0"/>
    <n v="1390943636"/>
    <d v="2024-06-01T00:00:00"/>
    <x v="5"/>
    <x v="0"/>
    <s v="Bắc Trung Bộ"/>
    <x v="1"/>
    <x v="14"/>
    <n v="1390.943636"/>
  </r>
  <r>
    <x v="0"/>
    <s v="Tập đoàn 63"/>
    <x v="1"/>
    <n v="21207273"/>
    <d v="2024-06-01T00:00:00"/>
    <x v="5"/>
    <x v="0"/>
    <s v="Bắc Trung Bộ"/>
    <x v="1"/>
    <x v="2"/>
    <n v="21.207273000000001"/>
  </r>
  <r>
    <x v="6"/>
    <s v="Tập đoàn 93"/>
    <x v="4"/>
    <n v="72718182"/>
    <d v="2024-06-01T00:00:00"/>
    <x v="5"/>
    <x v="0"/>
    <s v="Đông Bắc Bộ"/>
    <x v="1"/>
    <x v="9"/>
    <n v="72.718181999999999"/>
  </r>
  <r>
    <x v="18"/>
    <s v="Tập đoàn 94"/>
    <x v="4"/>
    <n v="136363636"/>
    <d v="2024-06-01T00:00:00"/>
    <x v="5"/>
    <x v="0"/>
    <s v="Tây Nguyên"/>
    <x v="1"/>
    <x v="9"/>
    <n v="136.36363600000001"/>
  </r>
  <r>
    <x v="6"/>
    <s v="Tập đoàn 94"/>
    <x v="1"/>
    <n v="36772727"/>
    <d v="2024-06-01T00:00:00"/>
    <x v="5"/>
    <x v="0"/>
    <s v="Đông Bắc Bộ"/>
    <x v="1"/>
    <x v="2"/>
    <n v="36.772727000000003"/>
  </r>
  <r>
    <x v="14"/>
    <s v="Tập đoàn 93"/>
    <x v="1"/>
    <n v="63600000"/>
    <d v="2024-06-01T00:00:00"/>
    <x v="5"/>
    <x v="0"/>
    <s v="ĐB Sông Hồng"/>
    <x v="1"/>
    <x v="4"/>
    <n v="63.6"/>
  </r>
  <r>
    <x v="56"/>
    <s v="BỘ CHỈ HUY QUÂN SỰ TỈNH CÀ MAU"/>
    <x v="0"/>
    <n v="33137273"/>
    <d v="2024-06-01T00:00:00"/>
    <x v="5"/>
    <x v="0"/>
    <s v="ĐB Sông Cửu Long"/>
    <x v="2"/>
    <x v="14"/>
    <n v="33.137273"/>
  </r>
  <r>
    <x v="62"/>
    <s v="CHI CỤC THỦY SẢN"/>
    <x v="2"/>
    <n v="35030000"/>
    <d v="2024-06-01T00:00:00"/>
    <x v="5"/>
    <x v="0"/>
    <s v="Bắc Trung Bộ"/>
    <x v="2"/>
    <x v="10"/>
    <n v="35.03"/>
  </r>
  <r>
    <x v="44"/>
    <s v="Công ty 43"/>
    <x v="0"/>
    <n v="1191280000"/>
    <d v="2024-06-01T00:00:00"/>
    <x v="5"/>
    <x v="0"/>
    <s v="Bắc Trung Bộ"/>
    <x v="1"/>
    <x v="5"/>
    <n v="1191.28"/>
  </r>
  <r>
    <x v="42"/>
    <s v="Công ty 61"/>
    <x v="4"/>
    <n v="108872727"/>
    <d v="2024-06-01T00:00:00"/>
    <x v="5"/>
    <x v="0"/>
    <s v="Tây Bắc Bộ"/>
    <x v="1"/>
    <x v="9"/>
    <n v="108.872727"/>
  </r>
  <r>
    <x v="42"/>
    <s v="Công ty 62"/>
    <x v="4"/>
    <n v="54436364"/>
    <d v="2024-06-01T00:00:00"/>
    <x v="5"/>
    <x v="0"/>
    <s v="Tây Bắc Bộ"/>
    <x v="1"/>
    <x v="9"/>
    <n v="54.436363999999998"/>
  </r>
  <r>
    <x v="42"/>
    <s v="Công ty 63"/>
    <x v="4"/>
    <n v="398863636"/>
    <d v="2024-06-01T00:00:00"/>
    <x v="5"/>
    <x v="0"/>
    <s v="Tây Bắc Bộ"/>
    <x v="1"/>
    <x v="9"/>
    <n v="398.86363599999999"/>
  </r>
  <r>
    <x v="42"/>
    <s v="Công ty 64"/>
    <x v="4"/>
    <n v="25403636"/>
    <d v="2024-06-01T00:00:00"/>
    <x v="5"/>
    <x v="0"/>
    <s v="Tây Bắc Bộ"/>
    <x v="1"/>
    <x v="9"/>
    <n v="25.403635999999999"/>
  </r>
  <r>
    <x v="42"/>
    <s v="Công ty 65"/>
    <x v="4"/>
    <n v="13543636"/>
    <d v="2024-06-01T00:00:00"/>
    <x v="5"/>
    <x v="0"/>
    <s v="Tây Bắc Bộ"/>
    <x v="1"/>
    <x v="9"/>
    <n v="13.543635999999999"/>
  </r>
  <r>
    <x v="42"/>
    <s v="Công ty 66"/>
    <x v="4"/>
    <n v="18752727"/>
    <d v="2024-06-01T00:00:00"/>
    <x v="5"/>
    <x v="0"/>
    <s v="Tây Bắc Bộ"/>
    <x v="1"/>
    <x v="9"/>
    <n v="18.752727"/>
  </r>
  <r>
    <x v="33"/>
    <s v="CÔNG AN HUYỆN VIỆT YÊN"/>
    <x v="2"/>
    <n v="842580000"/>
    <d v="2024-06-01T00:00:00"/>
    <x v="5"/>
    <x v="0"/>
    <s v="Đông Bắc Bộ"/>
    <x v="2"/>
    <x v="1"/>
    <n v="842.58"/>
  </r>
  <r>
    <x v="50"/>
    <s v="Công An Tỉnh Hòa Bình"/>
    <x v="1"/>
    <n v="69426364"/>
    <d v="2024-06-01T00:00:00"/>
    <x v="5"/>
    <x v="0"/>
    <s v="Tây Bắc Bộ"/>
    <x v="2"/>
    <x v="13"/>
    <n v="69.426364000000007"/>
  </r>
  <r>
    <x v="25"/>
    <s v="Công An Tỉnh Lâm Đồng"/>
    <x v="1"/>
    <n v="89926364"/>
    <d v="2024-06-01T00:00:00"/>
    <x v="5"/>
    <x v="0"/>
    <s v="Tây Nguyên"/>
    <x v="2"/>
    <x v="11"/>
    <n v="89.926364000000007"/>
  </r>
  <r>
    <x v="44"/>
    <s v="CÔNG AN TỈNH THANH HOÁ"/>
    <x v="2"/>
    <n v="488287273"/>
    <d v="2024-06-01T00:00:00"/>
    <x v="5"/>
    <x v="0"/>
    <s v="Bắc Trung Bộ"/>
    <x v="2"/>
    <x v="1"/>
    <n v="488.28727300000003"/>
  </r>
  <r>
    <x v="39"/>
    <s v="Công An Tỉnh Vĩnh Long"/>
    <x v="0"/>
    <n v="10318182"/>
    <d v="2024-06-01T00:00:00"/>
    <x v="5"/>
    <x v="0"/>
    <s v="ĐB Sông Cửu Long"/>
    <x v="2"/>
    <x v="1"/>
    <n v="10.318182"/>
  </r>
  <r>
    <x v="30"/>
    <s v="Đảng Ủy Xã Vĩnh Chánh"/>
    <x v="4"/>
    <n v="23828655"/>
    <d v="2024-06-01T00:00:00"/>
    <x v="5"/>
    <x v="0"/>
    <s v="ĐB Sông Cửu Long"/>
    <x v="2"/>
    <x v="9"/>
    <n v="23.828655000000001"/>
  </r>
  <r>
    <x v="56"/>
    <s v="Đoàn Thanh Niên Xã Hòa Tân"/>
    <x v="1"/>
    <n v="166272727"/>
    <d v="2024-06-01T00:00:00"/>
    <x v="5"/>
    <x v="0"/>
    <s v="ĐB Sông Cửu Long"/>
    <x v="2"/>
    <x v="4"/>
    <n v="166.272727"/>
  </r>
  <r>
    <x v="59"/>
    <s v="Đoàn Tncs Hồ Chí Minh Tỉnh Vĩnh Phúc"/>
    <x v="4"/>
    <n v="31090909"/>
    <d v="2024-06-01T00:00:00"/>
    <x v="5"/>
    <x v="0"/>
    <s v="ĐB Sông Hồng"/>
    <x v="2"/>
    <x v="9"/>
    <n v="31.090909"/>
  </r>
  <r>
    <x v="42"/>
    <s v="TRƯỜNG TIỂU HỌC SỐ 1 VÕ LAO"/>
    <x v="4"/>
    <n v="50000000"/>
    <d v="2024-06-01T00:00:00"/>
    <x v="5"/>
    <x v="0"/>
    <s v="Tây Bắc Bộ"/>
    <x v="4"/>
    <x v="9"/>
    <n v="50"/>
  </r>
  <r>
    <x v="33"/>
    <s v="Ngân Hàng Thương Mại Cổ Phần Đầu Tư Và Phát Triển Việt Nam - Chi Nhánh Bắc Giang"/>
    <x v="4"/>
    <n v="63521818"/>
    <d v="2024-06-01T00:00:00"/>
    <x v="5"/>
    <x v="0"/>
    <s v="Đông Bắc Bộ"/>
    <x v="3"/>
    <x v="9"/>
    <n v="63.521818000000003"/>
  </r>
  <r>
    <x v="24"/>
    <s v="Ngân hàng TMCP Sài Gòn- Hà Nội(SHB)"/>
    <x v="3"/>
    <n v="64431818"/>
    <d v="2024-06-01T00:00:00"/>
    <x v="5"/>
    <x v="0"/>
    <s v="ĐB Sông Hồng"/>
    <x v="3"/>
    <x v="10"/>
    <n v="64.431818000000007"/>
  </r>
  <r>
    <x v="36"/>
    <s v="Ngân Hàng Tmcp Sài Gòn Thương Tín – Chi Nhánh Ninh Bình"/>
    <x v="2"/>
    <n v="12681818"/>
    <d v="2024-06-01T00:00:00"/>
    <x v="5"/>
    <x v="0"/>
    <s v="ĐB Sông Hồng"/>
    <x v="3"/>
    <x v="2"/>
    <n v="12.681818"/>
  </r>
  <r>
    <x v="17"/>
    <s v="Phòng Dân Tọc Huyện Sông Hinh"/>
    <x v="0"/>
    <n v="315947273"/>
    <d v="2024-06-01T00:00:00"/>
    <x v="5"/>
    <x v="0"/>
    <s v="Duyên hải Nam Trung Bộ"/>
    <x v="2"/>
    <x v="5"/>
    <n v="315.947273"/>
  </r>
  <r>
    <x v="18"/>
    <s v="Phòng Văn Hoá Thông Tin Huyện Đắk Mil"/>
    <x v="0"/>
    <n v="45011818"/>
    <d v="2024-06-01T00:00:00"/>
    <x v="5"/>
    <x v="0"/>
    <s v="Tây Nguyên"/>
    <x v="2"/>
    <x v="1"/>
    <n v="45.011817999999998"/>
  </r>
  <r>
    <x v="30"/>
    <s v="Phòngtài Chính - Kế Hoạch Huyện Châu Thành"/>
    <x v="0"/>
    <n v="8285091"/>
    <d v="2024-06-01T00:00:00"/>
    <x v="5"/>
    <x v="0"/>
    <s v="ĐB Sông Cửu Long"/>
    <x v="2"/>
    <x v="0"/>
    <n v="8.2850909999999995"/>
  </r>
  <r>
    <x v="30"/>
    <s v="Phòngtài Chính - Kế Hoạch Huyện Châu Thành"/>
    <x v="1"/>
    <n v="18200000"/>
    <d v="2024-06-01T00:00:00"/>
    <x v="5"/>
    <x v="0"/>
    <s v="ĐB Sông Cửu Long"/>
    <x v="2"/>
    <x v="2"/>
    <n v="18.2"/>
  </r>
  <r>
    <x v="1"/>
    <s v="QUỸ TÍN DỤNG NHÂN DÂN NGÔ MÂY"/>
    <x v="2"/>
    <n v="21660909"/>
    <d v="2024-06-01T00:00:00"/>
    <x v="5"/>
    <x v="0"/>
    <s v="Duyên hải Nam Trung Bộ"/>
    <x v="2"/>
    <x v="0"/>
    <n v="21.660909"/>
  </r>
  <r>
    <x v="22"/>
    <s v="Sở Giáo dục và Đào tạo Thừa Thiên Huế"/>
    <x v="0"/>
    <n v="1254018182"/>
    <d v="2024-06-01T00:00:00"/>
    <x v="5"/>
    <x v="0"/>
    <s v="Bắc Trung Bộ"/>
    <x v="2"/>
    <x v="5"/>
    <n v="1254.018182"/>
  </r>
  <r>
    <x v="14"/>
    <s v="TẬP ĐOÀN CÔNG NGHIỆP - VIỄN THÔNG QUÂN ĐỘI"/>
    <x v="2"/>
    <n v="333689367"/>
    <d v="2024-06-01T00:00:00"/>
    <x v="5"/>
    <x v="0"/>
    <s v="ĐB Sông Hồng"/>
    <x v="1"/>
    <x v="13"/>
    <n v="333.689367"/>
  </r>
  <r>
    <x v="18"/>
    <s v="THÔN BON CHOIH"/>
    <x v="4"/>
    <n v="36363636"/>
    <d v="2024-06-01T00:00:00"/>
    <x v="5"/>
    <x v="0"/>
    <s v="Tây Nguyên"/>
    <x v="2"/>
    <x v="9"/>
    <n v="36.363636"/>
  </r>
  <r>
    <x v="18"/>
    <s v="THÔN BON RCẬP"/>
    <x v="4"/>
    <n v="36363636"/>
    <d v="2024-06-01T00:00:00"/>
    <x v="5"/>
    <x v="0"/>
    <s v="Tây Nguyên"/>
    <x v="2"/>
    <x v="9"/>
    <n v="36.363636"/>
  </r>
  <r>
    <x v="18"/>
    <s v="THÔN BONRUNG"/>
    <x v="4"/>
    <n v="36363636"/>
    <d v="2024-06-01T00:00:00"/>
    <x v="5"/>
    <x v="0"/>
    <s v="Tây Nguyên"/>
    <x v="2"/>
    <x v="9"/>
    <n v="36.363636"/>
  </r>
  <r>
    <x v="18"/>
    <s v="THÔN NAM TÂN"/>
    <x v="4"/>
    <n v="36363636"/>
    <d v="2024-06-01T00:00:00"/>
    <x v="5"/>
    <x v="0"/>
    <s v="Tây Nguyên"/>
    <x v="2"/>
    <x v="9"/>
    <n v="36.363636"/>
  </r>
  <r>
    <x v="41"/>
    <s v="Trung Tâm Y Tế Huyện Quảng Hòa"/>
    <x v="4"/>
    <n v="44643636"/>
    <d v="2024-06-01T00:00:00"/>
    <x v="5"/>
    <x v="0"/>
    <s v="Đông Bắc Bộ"/>
    <x v="2"/>
    <x v="9"/>
    <n v="44.643636000000001"/>
  </r>
  <r>
    <x v="51"/>
    <s v="Trung Tâm Y Tế Huyện Trực Ninh"/>
    <x v="2"/>
    <n v="40109091"/>
    <d v="2024-06-01T00:00:00"/>
    <x v="5"/>
    <x v="0"/>
    <s v="ĐB Sông Hồng"/>
    <x v="2"/>
    <x v="2"/>
    <n v="40.109090999999999"/>
  </r>
  <r>
    <x v="1"/>
    <s v="UBND PHƯỜNG HOÀI HẢO"/>
    <x v="0"/>
    <n v="31215000"/>
    <d v="2024-06-01T00:00:00"/>
    <x v="5"/>
    <x v="0"/>
    <s v="Duyên hải Nam Trung Bộ"/>
    <x v="2"/>
    <x v="0"/>
    <n v="31.215"/>
  </r>
  <r>
    <x v="1"/>
    <s v="UBND PHƯỜNG HOÀI THANH TÂY"/>
    <x v="0"/>
    <n v="45337500"/>
    <d v="2024-06-01T00:00:00"/>
    <x v="5"/>
    <x v="0"/>
    <s v="Duyên hải Nam Trung Bộ"/>
    <x v="2"/>
    <x v="0"/>
    <n v="45.337499999999999"/>
  </r>
  <r>
    <x v="53"/>
    <s v="UBND THỊ TRẤN PHỦ THÔNG"/>
    <x v="2"/>
    <n v="28000503"/>
    <d v="2024-06-01T00:00:00"/>
    <x v="5"/>
    <x v="0"/>
    <s v="Đông Bắc Bộ"/>
    <x v="2"/>
    <x v="4"/>
    <n v="28.000502999999998"/>
  </r>
  <r>
    <x v="54"/>
    <s v="UBND Xã Bản Phố"/>
    <x v="1"/>
    <n v="61681818"/>
    <d v="2024-06-01T00:00:00"/>
    <x v="5"/>
    <x v="0"/>
    <s v="Tây Bắc Bộ"/>
    <x v="2"/>
    <x v="15"/>
    <n v="61.681818"/>
  </r>
  <r>
    <x v="10"/>
    <s v="UBND XÃ BÌNH CHÁNH"/>
    <x v="4"/>
    <n v="78902000"/>
    <d v="2024-06-01T00:00:00"/>
    <x v="5"/>
    <x v="0"/>
    <s v="Duyên hải Nam Trung Bộ"/>
    <x v="2"/>
    <x v="9"/>
    <n v="78.902000000000001"/>
  </r>
  <r>
    <x v="54"/>
    <s v="UBND XÃ CỐC LY"/>
    <x v="1"/>
    <n v="214545455"/>
    <d v="2024-06-01T00:00:00"/>
    <x v="5"/>
    <x v="0"/>
    <s v="Tây Bắc Bộ"/>
    <x v="2"/>
    <x v="15"/>
    <n v="214.545455"/>
  </r>
  <r>
    <x v="53"/>
    <s v="UBND XÃ CÔN MINH"/>
    <x v="2"/>
    <n v="69681818"/>
    <d v="2024-06-01T00:00:00"/>
    <x v="5"/>
    <x v="0"/>
    <s v="Đông Bắc Bộ"/>
    <x v="2"/>
    <x v="13"/>
    <n v="69.681818000000007"/>
  </r>
  <r>
    <x v="10"/>
    <s v="Ubnd Xã Đắc Tôi"/>
    <x v="0"/>
    <n v="63636364"/>
    <d v="2024-06-01T00:00:00"/>
    <x v="5"/>
    <x v="0"/>
    <s v="Duyên hải Nam Trung Bộ"/>
    <x v="2"/>
    <x v="1"/>
    <n v="63.636364"/>
  </r>
  <r>
    <x v="31"/>
    <s v="Ubnd Xã Ea Kmút"/>
    <x v="0"/>
    <n v="67077255"/>
    <d v="2024-06-01T00:00:00"/>
    <x v="5"/>
    <x v="0"/>
    <s v="Tây Nguyên"/>
    <x v="2"/>
    <x v="1"/>
    <n v="67.077254999999994"/>
  </r>
  <r>
    <x v="31"/>
    <s v="Ubnd Xã Ea Kmút"/>
    <x v="0"/>
    <n v="31543091"/>
    <d v="2024-06-01T00:00:00"/>
    <x v="5"/>
    <x v="0"/>
    <s v="Tây Nguyên"/>
    <x v="2"/>
    <x v="1"/>
    <n v="31.543091"/>
  </r>
  <r>
    <x v="60"/>
    <s v="Ubnd Xã Nấm Dẩn"/>
    <x v="4"/>
    <n v="183545455"/>
    <d v="2024-06-01T00:00:00"/>
    <x v="5"/>
    <x v="0"/>
    <s v="Đông Bắc Bộ"/>
    <x v="2"/>
    <x v="9"/>
    <n v="183.545455"/>
  </r>
  <r>
    <x v="20"/>
    <s v="UBND XÃ PHONG PHÚ"/>
    <x v="4"/>
    <n v="28855455"/>
    <d v="2024-06-01T00:00:00"/>
    <x v="5"/>
    <x v="0"/>
    <s v="Duyên hải Nam Trung Bộ"/>
    <x v="2"/>
    <x v="9"/>
    <n v="28.855454999999999"/>
  </r>
  <r>
    <x v="20"/>
    <s v="UBND XÃ PHONG PHÚ"/>
    <x v="4"/>
    <n v="24240909"/>
    <d v="2024-06-01T00:00:00"/>
    <x v="5"/>
    <x v="0"/>
    <s v="Duyên hải Nam Trung Bộ"/>
    <x v="2"/>
    <x v="9"/>
    <n v="24.240908999999998"/>
  </r>
  <r>
    <x v="0"/>
    <s v="Ubnd Xã Yên Hợp"/>
    <x v="0"/>
    <n v="57640909"/>
    <d v="2024-06-01T00:00:00"/>
    <x v="5"/>
    <x v="0"/>
    <s v="Bắc Trung Bộ"/>
    <x v="2"/>
    <x v="1"/>
    <n v="57.640909000000001"/>
  </r>
  <r>
    <x v="54"/>
    <s v="Ủy Ban Nhân Dân Xã Bản Phiệt"/>
    <x v="0"/>
    <n v="90735455"/>
    <d v="2024-06-01T00:00:00"/>
    <x v="5"/>
    <x v="0"/>
    <s v="Tây Bắc Bộ"/>
    <x v="2"/>
    <x v="1"/>
    <n v="90.735455000000002"/>
  </r>
  <r>
    <x v="13"/>
    <s v="Ủy Ban Nhân Dân Xã Liễu Đô"/>
    <x v="2"/>
    <n v="36532727"/>
    <d v="2024-06-01T00:00:00"/>
    <x v="5"/>
    <x v="0"/>
    <s v="Tây Bắc Bộ"/>
    <x v="2"/>
    <x v="1"/>
    <n v="36.532727000000001"/>
  </r>
  <r>
    <x v="48"/>
    <s v="Uỷ Ban Nhân Dân Xã Minh Đức"/>
    <x v="0"/>
    <n v="67709091"/>
    <d v="2024-06-01T00:00:00"/>
    <x v="5"/>
    <x v="0"/>
    <s v="Đông Bắc Bộ"/>
    <x v="2"/>
    <x v="1"/>
    <n v="67.709091000000001"/>
  </r>
  <r>
    <x v="0"/>
    <s v="Uỷ Ban Nhân Dân Xã Mỹ Sơn"/>
    <x v="3"/>
    <n v="90774545"/>
    <d v="2024-06-01T00:00:00"/>
    <x v="5"/>
    <x v="0"/>
    <s v="Bắc Trung Bộ"/>
    <x v="2"/>
    <x v="7"/>
    <n v="90.774545000000003"/>
  </r>
  <r>
    <x v="24"/>
    <s v="Uỷ Ban Nhân Dân Xã Phương Công"/>
    <x v="0"/>
    <n v="51336364"/>
    <d v="2024-06-01T00:00:00"/>
    <x v="5"/>
    <x v="0"/>
    <s v="ĐB Sông Hồng"/>
    <x v="2"/>
    <x v="1"/>
    <n v="51.336364000000003"/>
  </r>
  <r>
    <x v="12"/>
    <s v="Văn Phòng Hội Đồng Nhân Dân - Ủy Ban Nhân Dân Huyện Mường Tè"/>
    <x v="0"/>
    <n v="42752727"/>
    <d v="2024-06-01T00:00:00"/>
    <x v="5"/>
    <x v="0"/>
    <s v="Tây Bắc Bộ"/>
    <x v="2"/>
    <x v="1"/>
    <n v="42.752727"/>
  </r>
  <r>
    <x v="0"/>
    <s v="VIỆN KIỂM SÁT NHÂN DÂN TỈNH NGHỆ AN"/>
    <x v="2"/>
    <n v="86095455"/>
    <d v="2024-06-01T00:00:00"/>
    <x v="5"/>
    <x v="0"/>
    <s v="Bắc Trung Bộ"/>
    <x v="2"/>
    <x v="2"/>
    <n v="86.095455000000001"/>
  </r>
  <r>
    <x v="6"/>
    <s v="TRƯỜNG CAO ĐẲNG Y TẾ PHÚ THỌ"/>
    <x v="0"/>
    <n v="69875364"/>
    <d v="2024-06-01T00:00:00"/>
    <x v="5"/>
    <x v="0"/>
    <s v="Đông Bắc Bộ"/>
    <x v="4"/>
    <x v="0"/>
    <n v="69.875364000000005"/>
  </r>
  <r>
    <x v="18"/>
    <s v="Trường Mầm Non Hoa Phượng Vàng"/>
    <x v="4"/>
    <n v="18727273"/>
    <d v="2024-06-01T00:00:00"/>
    <x v="5"/>
    <x v="0"/>
    <s v="Tây Nguyên"/>
    <x v="4"/>
    <x v="9"/>
    <n v="18.727273"/>
  </r>
  <r>
    <x v="24"/>
    <s v="trường mầm non nam hà"/>
    <x v="1"/>
    <n v="226206000"/>
    <d v="2024-06-01T00:00:00"/>
    <x v="5"/>
    <x v="0"/>
    <s v="ĐB Sông Hồng"/>
    <x v="4"/>
    <x v="2"/>
    <n v="226.20599999999999"/>
  </r>
  <r>
    <x v="49"/>
    <s v="TRƯỜNG THCS THỚI LAI"/>
    <x v="2"/>
    <n v="8363636"/>
    <d v="2024-06-01T00:00:00"/>
    <x v="5"/>
    <x v="0"/>
    <s v="ĐB Sông Cửu Long"/>
    <x v="4"/>
    <x v="0"/>
    <n v="8.3636359999999996"/>
  </r>
  <r>
    <x v="53"/>
    <s v="Trường Tiểu Học Mỹ Phương"/>
    <x v="2"/>
    <n v="14504175"/>
    <d v="2024-06-01T00:00:00"/>
    <x v="5"/>
    <x v="0"/>
    <s v="Đông Bắc Bộ"/>
    <x v="4"/>
    <x v="0"/>
    <n v="14.504175"/>
  </r>
  <r>
    <x v="51"/>
    <s v="Trường Tiểu Học Mỹ Xá"/>
    <x v="1"/>
    <n v="67700745"/>
    <d v="2024-06-01T00:00:00"/>
    <x v="5"/>
    <x v="0"/>
    <s v="ĐB Sông Hồng"/>
    <x v="4"/>
    <x v="4"/>
    <n v="67.700744999999998"/>
  </r>
  <r>
    <x v="49"/>
    <s v="TRƯỜNG TIỂU HỌC NGUYỄN ĐÌNH CHIỂU"/>
    <x v="2"/>
    <n v="9000000"/>
    <d v="2024-06-01T00:00:00"/>
    <x v="5"/>
    <x v="0"/>
    <s v="ĐB Sông Cửu Long"/>
    <x v="4"/>
    <x v="0"/>
    <n v="9"/>
  </r>
  <r>
    <x v="39"/>
    <s v="Trường Tiểu Học Phan Văn Năm"/>
    <x v="0"/>
    <n v="9818182"/>
    <d v="2024-06-01T00:00:00"/>
    <x v="5"/>
    <x v="0"/>
    <s v="ĐB Sông Cửu Long"/>
    <x v="4"/>
    <x v="0"/>
    <n v="9.8181820000000002"/>
  </r>
  <r>
    <x v="34"/>
    <s v="TRƯỜNG TIỂU HỌC VÀ THCS CHIỀNG PHUNG"/>
    <x v="1"/>
    <n v="43545455"/>
    <d v="2024-06-01T00:00:00"/>
    <x v="5"/>
    <x v="0"/>
    <s v="Tây Bắc Bộ"/>
    <x v="4"/>
    <x v="13"/>
    <n v="43.545454999999997"/>
  </r>
  <r>
    <x v="13"/>
    <s v="Trường Tiểu Học Và Thcs Hoàng Văn Thọ"/>
    <x v="0"/>
    <n v="11287636"/>
    <d v="2024-06-01T00:00:00"/>
    <x v="5"/>
    <x v="0"/>
    <s v="Tây Bắc Bộ"/>
    <x v="4"/>
    <x v="0"/>
    <n v="11.287635999999999"/>
  </r>
  <r>
    <x v="6"/>
    <s v="Trường Trung Học Phổ Thông Minh Hòa"/>
    <x v="2"/>
    <n v="88763455"/>
    <d v="2024-06-01T00:00:00"/>
    <x v="5"/>
    <x v="0"/>
    <s v="Đông Bắc Bộ"/>
    <x v="4"/>
    <x v="4"/>
    <n v="88.763454999999993"/>
  </r>
  <r>
    <x v="13"/>
    <s v="Bệnh viện đa khoa tỉnh Yên Bái"/>
    <x v="2"/>
    <n v="79104545"/>
    <d v="2024-07-01T00:00:00"/>
    <x v="6"/>
    <x v="0"/>
    <s v="Tây Bắc Bộ"/>
    <x v="0"/>
    <x v="2"/>
    <n v="79.104545000000002"/>
  </r>
  <r>
    <x v="21"/>
    <s v="Công ty 1"/>
    <x v="0"/>
    <n v="116021000"/>
    <d v="2024-07-01T00:00:00"/>
    <x v="6"/>
    <x v="0"/>
    <s v="Đông Bắc Bộ"/>
    <x v="1"/>
    <x v="0"/>
    <n v="116.021"/>
  </r>
  <r>
    <x v="0"/>
    <s v="Công ty 42"/>
    <x v="0"/>
    <n v="37806909"/>
    <d v="2024-07-01T00:00:00"/>
    <x v="6"/>
    <x v="0"/>
    <s v="Bắc Trung Bộ"/>
    <x v="1"/>
    <x v="1"/>
    <n v="37.806908999999997"/>
  </r>
  <r>
    <x v="29"/>
    <s v="Công ty 46"/>
    <x v="0"/>
    <n v="531263573"/>
    <d v="2024-07-01T00:00:00"/>
    <x v="6"/>
    <x v="0"/>
    <s v="ĐB Sông Cửu Long"/>
    <x v="1"/>
    <x v="5"/>
    <n v="531.26357299999995"/>
  </r>
  <r>
    <x v="20"/>
    <s v="Công ty 28"/>
    <x v="2"/>
    <n v="95620000"/>
    <d v="2024-07-01T00:00:00"/>
    <x v="6"/>
    <x v="0"/>
    <s v="Duyên hải Nam Trung Bộ"/>
    <x v="1"/>
    <x v="0"/>
    <n v="95.62"/>
  </r>
  <r>
    <x v="7"/>
    <s v="Công ty 32"/>
    <x v="1"/>
    <n v="21060000"/>
    <d v="2024-07-01T00:00:00"/>
    <x v="6"/>
    <x v="0"/>
    <s v="Bắc Trung Bộ"/>
    <x v="1"/>
    <x v="10"/>
    <n v="21.06"/>
  </r>
  <r>
    <x v="32"/>
    <s v="Công ty 33"/>
    <x v="0"/>
    <n v="13310000"/>
    <d v="2024-07-01T00:00:00"/>
    <x v="6"/>
    <x v="0"/>
    <s v="ĐB Sông Cửu Long"/>
    <x v="1"/>
    <x v="1"/>
    <n v="13.31"/>
  </r>
  <r>
    <x v="49"/>
    <s v="Công ty 79"/>
    <x v="0"/>
    <n v="3240000"/>
    <d v="2024-07-01T00:00:00"/>
    <x v="6"/>
    <x v="0"/>
    <s v="ĐB Sông Cửu Long"/>
    <x v="1"/>
    <x v="0"/>
    <n v="3.24"/>
  </r>
  <r>
    <x v="0"/>
    <s v="Công ty 25"/>
    <x v="2"/>
    <n v="89934545"/>
    <d v="2024-07-01T00:00:00"/>
    <x v="6"/>
    <x v="0"/>
    <s v="Bắc Trung Bộ"/>
    <x v="1"/>
    <x v="0"/>
    <n v="89.934545"/>
  </r>
  <r>
    <x v="9"/>
    <s v="Công ty 35"/>
    <x v="0"/>
    <n v="359928000"/>
    <d v="2024-07-01T00:00:00"/>
    <x v="6"/>
    <x v="0"/>
    <s v="Duyên hải Nam Trung Bộ"/>
    <x v="1"/>
    <x v="5"/>
    <n v="359.928"/>
  </r>
  <r>
    <x v="26"/>
    <s v="Công ty 69"/>
    <x v="2"/>
    <n v="562970000"/>
    <d v="2024-07-01T00:00:00"/>
    <x v="6"/>
    <x v="0"/>
    <s v="Đông Nam Bộ"/>
    <x v="1"/>
    <x v="0"/>
    <n v="562.97"/>
  </r>
  <r>
    <x v="26"/>
    <s v="Công ty 70"/>
    <x v="2"/>
    <n v="551430000"/>
    <d v="2024-07-01T00:00:00"/>
    <x v="6"/>
    <x v="0"/>
    <s v="Đông Nam Bộ"/>
    <x v="1"/>
    <x v="0"/>
    <n v="551.42999999999995"/>
  </r>
  <r>
    <x v="7"/>
    <s v="Công ty 97"/>
    <x v="4"/>
    <n v="443682027"/>
    <d v="2024-07-01T00:00:00"/>
    <x v="6"/>
    <x v="0"/>
    <s v="Bắc Trung Bộ"/>
    <x v="1"/>
    <x v="3"/>
    <n v="443.68202700000001"/>
  </r>
  <r>
    <x v="27"/>
    <s v="Công ty 10"/>
    <x v="3"/>
    <n v="105944909"/>
    <d v="2024-07-01T00:00:00"/>
    <x v="6"/>
    <x v="0"/>
    <s v="Bắc Trung Bộ"/>
    <x v="1"/>
    <x v="7"/>
    <n v="105.944909"/>
  </r>
  <r>
    <x v="62"/>
    <s v="Công ty 15"/>
    <x v="4"/>
    <n v="1801818182"/>
    <d v="2024-07-01T00:00:00"/>
    <x v="6"/>
    <x v="0"/>
    <s v="Bắc Trung Bộ"/>
    <x v="1"/>
    <x v="3"/>
    <n v="1801.818182"/>
  </r>
  <r>
    <x v="11"/>
    <s v="Công ty 22"/>
    <x v="2"/>
    <n v="357564044"/>
    <d v="2024-07-01T00:00:00"/>
    <x v="6"/>
    <x v="0"/>
    <s v="Đông Nam Bộ"/>
    <x v="1"/>
    <x v="3"/>
    <n v="357.56404400000002"/>
  </r>
  <r>
    <x v="19"/>
    <s v="Công ty 31"/>
    <x v="0"/>
    <n v="123640455"/>
    <d v="2024-07-01T00:00:00"/>
    <x v="6"/>
    <x v="0"/>
    <s v="Duyên hải Nam Trung Bộ"/>
    <x v="1"/>
    <x v="1"/>
    <n v="123.640455"/>
  </r>
  <r>
    <x v="62"/>
    <s v="Công ty 39"/>
    <x v="4"/>
    <n v="1737818182"/>
    <d v="2024-07-01T00:00:00"/>
    <x v="6"/>
    <x v="0"/>
    <s v="Bắc Trung Bộ"/>
    <x v="1"/>
    <x v="3"/>
    <n v="1737.818182"/>
  </r>
  <r>
    <x v="14"/>
    <s v="Công ty 66"/>
    <x v="2"/>
    <n v="152200000"/>
    <d v="2024-07-01T00:00:00"/>
    <x v="6"/>
    <x v="0"/>
    <s v="ĐB Sông Hồng"/>
    <x v="1"/>
    <x v="2"/>
    <n v="152.19999999999999"/>
  </r>
  <r>
    <x v="14"/>
    <s v="Công ty 74"/>
    <x v="0"/>
    <n v="27127273"/>
    <d v="2024-07-01T00:00:00"/>
    <x v="6"/>
    <x v="0"/>
    <s v="ĐB Sông Hồng"/>
    <x v="1"/>
    <x v="1"/>
    <n v="27.127272999999999"/>
  </r>
  <r>
    <x v="0"/>
    <s v="Công ty 75"/>
    <x v="0"/>
    <n v="357057586"/>
    <d v="2024-07-01T00:00:00"/>
    <x v="6"/>
    <x v="0"/>
    <s v="Bắc Trung Bộ"/>
    <x v="1"/>
    <x v="1"/>
    <n v="357.05758600000001"/>
  </r>
  <r>
    <x v="6"/>
    <s v="Công ty 90"/>
    <x v="2"/>
    <n v="41815072"/>
    <d v="2024-07-01T00:00:00"/>
    <x v="6"/>
    <x v="0"/>
    <s v="Đông Bắc Bộ"/>
    <x v="1"/>
    <x v="16"/>
    <n v="41.815072000000001"/>
  </r>
  <r>
    <x v="6"/>
    <s v="Công ty 1"/>
    <x v="2"/>
    <n v="19090909"/>
    <d v="2024-07-01T00:00:00"/>
    <x v="6"/>
    <x v="0"/>
    <s v="Đông Bắc Bộ"/>
    <x v="1"/>
    <x v="1"/>
    <n v="19.090909"/>
  </r>
  <r>
    <x v="36"/>
    <s v="Công ty 5"/>
    <x v="0"/>
    <n v="55974282"/>
    <d v="2024-07-01T00:00:00"/>
    <x v="6"/>
    <x v="0"/>
    <s v="ĐB Sông Hồng"/>
    <x v="1"/>
    <x v="1"/>
    <n v="55.974282000000002"/>
  </r>
  <r>
    <x v="38"/>
    <s v="Công ty 14"/>
    <x v="0"/>
    <n v="16270000"/>
    <d v="2024-07-01T00:00:00"/>
    <x v="6"/>
    <x v="0"/>
    <s v="Tây Nguyên"/>
    <x v="1"/>
    <x v="1"/>
    <n v="16.27"/>
  </r>
  <r>
    <x v="47"/>
    <s v="Công ty 18"/>
    <x v="0"/>
    <n v="12970909"/>
    <d v="2024-07-01T00:00:00"/>
    <x v="6"/>
    <x v="0"/>
    <s v="Đông Bắc Bộ"/>
    <x v="1"/>
    <x v="1"/>
    <n v="12.970909000000001"/>
  </r>
  <r>
    <x v="62"/>
    <s v="Công ty 57"/>
    <x v="1"/>
    <n v="1666733345"/>
    <d v="2024-07-01T00:00:00"/>
    <x v="6"/>
    <x v="0"/>
    <s v="Bắc Trung Bộ"/>
    <x v="1"/>
    <x v="10"/>
    <n v="1666.7333450000001"/>
  </r>
  <r>
    <x v="47"/>
    <s v="Công ty 65"/>
    <x v="0"/>
    <n v="232275600"/>
    <d v="2024-07-01T00:00:00"/>
    <x v="6"/>
    <x v="0"/>
    <s v="Đông Bắc Bộ"/>
    <x v="1"/>
    <x v="1"/>
    <n v="232.2756"/>
  </r>
  <r>
    <x v="5"/>
    <s v="Công ty 68"/>
    <x v="0"/>
    <n v="21119455"/>
    <d v="2024-07-01T00:00:00"/>
    <x v="6"/>
    <x v="0"/>
    <s v="Đông Nam Bộ"/>
    <x v="1"/>
    <x v="0"/>
    <n v="21.119454999999999"/>
  </r>
  <r>
    <x v="38"/>
    <s v="Công ty 77"/>
    <x v="0"/>
    <n v="142803636"/>
    <d v="2024-07-01T00:00:00"/>
    <x v="6"/>
    <x v="0"/>
    <s v="Tây Nguyên"/>
    <x v="1"/>
    <x v="1"/>
    <n v="142.80363600000001"/>
  </r>
  <r>
    <x v="38"/>
    <s v="Công ty 78"/>
    <x v="0"/>
    <n v="103535500"/>
    <d v="2024-07-01T00:00:00"/>
    <x v="6"/>
    <x v="0"/>
    <s v="Tây Nguyên"/>
    <x v="1"/>
    <x v="1"/>
    <n v="103.5355"/>
  </r>
  <r>
    <x v="38"/>
    <s v="Công ty 79"/>
    <x v="0"/>
    <n v="75947000"/>
    <d v="2024-07-01T00:00:00"/>
    <x v="6"/>
    <x v="0"/>
    <s v="Tây Nguyên"/>
    <x v="1"/>
    <x v="1"/>
    <n v="75.947000000000003"/>
  </r>
  <r>
    <x v="38"/>
    <s v="Công ty 80"/>
    <x v="0"/>
    <n v="66971000"/>
    <d v="2024-07-01T00:00:00"/>
    <x v="6"/>
    <x v="0"/>
    <s v="Tây Nguyên"/>
    <x v="1"/>
    <x v="1"/>
    <n v="66.971000000000004"/>
  </r>
  <r>
    <x v="38"/>
    <s v="Công ty 81"/>
    <x v="0"/>
    <n v="115341000"/>
    <d v="2024-07-01T00:00:00"/>
    <x v="6"/>
    <x v="0"/>
    <s v="Tây Nguyên"/>
    <x v="1"/>
    <x v="1"/>
    <n v="115.34099999999999"/>
  </r>
  <r>
    <x v="0"/>
    <s v="Công ty 5"/>
    <x v="0"/>
    <n v="6772727"/>
    <d v="2024-07-01T00:00:00"/>
    <x v="6"/>
    <x v="0"/>
    <s v="Bắc Trung Bộ"/>
    <x v="1"/>
    <x v="1"/>
    <n v="6.7727269999999997"/>
  </r>
  <r>
    <x v="17"/>
    <s v="Công ty 10"/>
    <x v="2"/>
    <n v="37045909"/>
    <d v="2024-07-01T00:00:00"/>
    <x v="6"/>
    <x v="0"/>
    <s v="Duyên hải Nam Trung Bộ"/>
    <x v="1"/>
    <x v="0"/>
    <n v="37.045909000000002"/>
  </r>
  <r>
    <x v="16"/>
    <s v="Công ty 16"/>
    <x v="0"/>
    <n v="273940641"/>
    <d v="2024-07-01T00:00:00"/>
    <x v="6"/>
    <x v="0"/>
    <s v="ĐB Sông Hồng"/>
    <x v="1"/>
    <x v="1"/>
    <n v="273.94064100000003"/>
  </r>
  <r>
    <x v="0"/>
    <s v="Công ty 20"/>
    <x v="0"/>
    <n v="14580182"/>
    <d v="2024-07-01T00:00:00"/>
    <x v="6"/>
    <x v="0"/>
    <s v="Bắc Trung Bộ"/>
    <x v="1"/>
    <x v="0"/>
    <n v="14.580182000000001"/>
  </r>
  <r>
    <x v="42"/>
    <s v="Công ty 21"/>
    <x v="0"/>
    <n v="12349818"/>
    <d v="2024-07-01T00:00:00"/>
    <x v="6"/>
    <x v="0"/>
    <s v="Tây Bắc Bộ"/>
    <x v="1"/>
    <x v="0"/>
    <n v="12.349818000000001"/>
  </r>
  <r>
    <x v="0"/>
    <s v="Công ty 24"/>
    <x v="4"/>
    <n v="72477040"/>
    <d v="2024-07-01T00:00:00"/>
    <x v="6"/>
    <x v="0"/>
    <s v="Bắc Trung Bộ"/>
    <x v="1"/>
    <x v="3"/>
    <n v="72.477040000000002"/>
  </r>
  <r>
    <x v="20"/>
    <s v="Công ty 30"/>
    <x v="0"/>
    <n v="25763000"/>
    <d v="2024-07-01T00:00:00"/>
    <x v="6"/>
    <x v="0"/>
    <s v="Duyên hải Nam Trung Bộ"/>
    <x v="1"/>
    <x v="0"/>
    <n v="25.763000000000002"/>
  </r>
  <r>
    <x v="48"/>
    <s v="Công ty 46"/>
    <x v="1"/>
    <n v="29610236"/>
    <d v="2024-07-01T00:00:00"/>
    <x v="6"/>
    <x v="0"/>
    <s v="Đông Bắc Bộ"/>
    <x v="1"/>
    <x v="2"/>
    <n v="29.610236"/>
  </r>
  <r>
    <x v="40"/>
    <s v="Công ty 48"/>
    <x v="1"/>
    <n v="14641819"/>
    <d v="2024-07-01T00:00:00"/>
    <x v="6"/>
    <x v="0"/>
    <s v="ĐB Sông Cửu Long"/>
    <x v="1"/>
    <x v="2"/>
    <n v="14.641819"/>
  </r>
  <r>
    <x v="25"/>
    <s v="Công ty 59"/>
    <x v="1"/>
    <n v="28710000"/>
    <d v="2024-07-01T00:00:00"/>
    <x v="6"/>
    <x v="0"/>
    <s v="Tây Nguyên"/>
    <x v="1"/>
    <x v="2"/>
    <n v="28.71"/>
  </r>
  <r>
    <x v="21"/>
    <s v="Công ty 70"/>
    <x v="0"/>
    <n v="504933000"/>
    <d v="2024-07-01T00:00:00"/>
    <x v="6"/>
    <x v="0"/>
    <s v="Đông Bắc Bộ"/>
    <x v="1"/>
    <x v="16"/>
    <n v="504.93299999999999"/>
  </r>
  <r>
    <x v="21"/>
    <s v="Công ty 71"/>
    <x v="2"/>
    <n v="105163527"/>
    <d v="2024-07-01T00:00:00"/>
    <x v="6"/>
    <x v="0"/>
    <s v="Đông Bắc Bộ"/>
    <x v="1"/>
    <x v="1"/>
    <n v="105.163527"/>
  </r>
  <r>
    <x v="0"/>
    <s v="Công ty 81"/>
    <x v="2"/>
    <n v="7721818"/>
    <d v="2024-07-01T00:00:00"/>
    <x v="6"/>
    <x v="0"/>
    <s v="Bắc Trung Bộ"/>
    <x v="1"/>
    <x v="2"/>
    <n v="7.7218179999999998"/>
  </r>
  <r>
    <x v="19"/>
    <s v="Công ty 96"/>
    <x v="0"/>
    <n v="167680000"/>
    <d v="2024-07-01T00:00:00"/>
    <x v="6"/>
    <x v="0"/>
    <s v="Duyên hải Nam Trung Bộ"/>
    <x v="1"/>
    <x v="5"/>
    <n v="167.68"/>
  </r>
  <r>
    <x v="0"/>
    <s v="Công ty 27"/>
    <x v="1"/>
    <n v="248181818"/>
    <d v="2024-07-01T00:00:00"/>
    <x v="6"/>
    <x v="0"/>
    <s v="Bắc Trung Bộ"/>
    <x v="1"/>
    <x v="15"/>
    <n v="248.18181799999999"/>
  </r>
  <r>
    <x v="34"/>
    <s v="Công ty 29"/>
    <x v="1"/>
    <n v="109090909"/>
    <d v="2024-07-01T00:00:00"/>
    <x v="6"/>
    <x v="0"/>
    <s v="Tây Bắc Bộ"/>
    <x v="1"/>
    <x v="13"/>
    <n v="109.090909"/>
  </r>
  <r>
    <x v="33"/>
    <s v="Công ty 35"/>
    <x v="0"/>
    <n v="30045455"/>
    <d v="2024-07-01T00:00:00"/>
    <x v="6"/>
    <x v="0"/>
    <s v="Đông Bắc Bộ"/>
    <x v="1"/>
    <x v="0"/>
    <n v="30.045455"/>
  </r>
  <r>
    <x v="4"/>
    <s v="Công ty 43"/>
    <x v="0"/>
    <n v="11700000"/>
    <d v="2024-07-01T00:00:00"/>
    <x v="6"/>
    <x v="0"/>
    <s v="Đông Nam Bộ"/>
    <x v="1"/>
    <x v="1"/>
    <n v="11.7"/>
  </r>
  <r>
    <x v="28"/>
    <s v="Công ty 85"/>
    <x v="4"/>
    <n v="124289091"/>
    <d v="2024-07-01T00:00:00"/>
    <x v="6"/>
    <x v="0"/>
    <s v="ĐB Sông Hồng"/>
    <x v="1"/>
    <x v="3"/>
    <n v="124.289091"/>
  </r>
  <r>
    <x v="1"/>
    <s v="Công ty 97"/>
    <x v="0"/>
    <n v="9961636"/>
    <d v="2024-07-01T00:00:00"/>
    <x v="6"/>
    <x v="0"/>
    <s v="Duyên hải Nam Trung Bộ"/>
    <x v="1"/>
    <x v="0"/>
    <n v="9.9616360000000004"/>
  </r>
  <r>
    <x v="8"/>
    <s v="Công ty 15"/>
    <x v="0"/>
    <n v="44318182"/>
    <d v="2024-07-01T00:00:00"/>
    <x v="6"/>
    <x v="0"/>
    <s v="Đông Nam Bộ"/>
    <x v="1"/>
    <x v="5"/>
    <n v="44.318182"/>
  </r>
  <r>
    <x v="34"/>
    <s v="Công ty 24"/>
    <x v="1"/>
    <n v="65454545"/>
    <d v="2024-07-01T00:00:00"/>
    <x v="6"/>
    <x v="0"/>
    <s v="Tây Bắc Bộ"/>
    <x v="1"/>
    <x v="13"/>
    <n v="65.454544999999996"/>
  </r>
  <r>
    <x v="8"/>
    <s v="Công ty 55"/>
    <x v="0"/>
    <n v="99615273"/>
    <d v="2024-07-01T00:00:00"/>
    <x v="6"/>
    <x v="0"/>
    <s v="Đông Nam Bộ"/>
    <x v="1"/>
    <x v="5"/>
    <n v="99.615273000000002"/>
  </r>
  <r>
    <x v="34"/>
    <s v="Công ty 57"/>
    <x v="1"/>
    <n v="69363636"/>
    <d v="2024-07-01T00:00:00"/>
    <x v="6"/>
    <x v="0"/>
    <s v="Tây Bắc Bộ"/>
    <x v="1"/>
    <x v="13"/>
    <n v="69.363636"/>
  </r>
  <r>
    <x v="38"/>
    <s v="Công ty 75"/>
    <x v="1"/>
    <n v="498985000"/>
    <d v="2024-07-01T00:00:00"/>
    <x v="6"/>
    <x v="0"/>
    <s v="Tây Nguyên"/>
    <x v="1"/>
    <x v="11"/>
    <n v="498.98500000000001"/>
  </r>
  <r>
    <x v="62"/>
    <s v="Công ty 76"/>
    <x v="2"/>
    <n v="132011367"/>
    <d v="2024-07-01T00:00:00"/>
    <x v="6"/>
    <x v="0"/>
    <s v="Bắc Trung Bộ"/>
    <x v="1"/>
    <x v="0"/>
    <n v="132.01136700000001"/>
  </r>
  <r>
    <x v="33"/>
    <s v="Công ty 81"/>
    <x v="4"/>
    <n v="109090909"/>
    <d v="2024-07-01T00:00:00"/>
    <x v="6"/>
    <x v="0"/>
    <s v="Đông Bắc Bộ"/>
    <x v="1"/>
    <x v="3"/>
    <n v="109.090909"/>
  </r>
  <r>
    <x v="38"/>
    <s v="Công ty 26"/>
    <x v="1"/>
    <n v="50023752"/>
    <d v="2024-07-01T00:00:00"/>
    <x v="6"/>
    <x v="0"/>
    <s v="Tây Nguyên"/>
    <x v="1"/>
    <x v="2"/>
    <n v="50.023752000000002"/>
  </r>
  <r>
    <x v="5"/>
    <s v="Công ty 27"/>
    <x v="0"/>
    <n v="95714250"/>
    <d v="2024-07-01T00:00:00"/>
    <x v="6"/>
    <x v="0"/>
    <s v="Đông Nam Bộ"/>
    <x v="1"/>
    <x v="1"/>
    <n v="95.714250000000007"/>
  </r>
  <r>
    <x v="25"/>
    <s v="Công ty 51"/>
    <x v="0"/>
    <n v="1019243029"/>
    <d v="2024-07-01T00:00:00"/>
    <x v="6"/>
    <x v="0"/>
    <s v="Tây Nguyên"/>
    <x v="1"/>
    <x v="0"/>
    <n v="1019.243029"/>
  </r>
  <r>
    <x v="38"/>
    <s v="Công ty 53"/>
    <x v="0"/>
    <n v="11532727"/>
    <d v="2024-07-01T00:00:00"/>
    <x v="6"/>
    <x v="0"/>
    <s v="Tây Nguyên"/>
    <x v="1"/>
    <x v="0"/>
    <n v="11.532727"/>
  </r>
  <r>
    <x v="43"/>
    <s v="Công ty 8"/>
    <x v="4"/>
    <n v="578099455"/>
    <d v="2024-07-01T00:00:00"/>
    <x v="6"/>
    <x v="0"/>
    <s v="Đông Nam Bộ"/>
    <x v="1"/>
    <x v="3"/>
    <n v="578.09945500000003"/>
  </r>
  <r>
    <x v="34"/>
    <s v="Công ty 39"/>
    <x v="1"/>
    <n v="38348182"/>
    <d v="2024-07-01T00:00:00"/>
    <x v="6"/>
    <x v="0"/>
    <s v="Tây Bắc Bộ"/>
    <x v="1"/>
    <x v="13"/>
    <n v="38.348182000000001"/>
  </r>
  <r>
    <x v="34"/>
    <s v="Công ty 40"/>
    <x v="1"/>
    <n v="52191182"/>
    <d v="2024-07-01T00:00:00"/>
    <x v="6"/>
    <x v="0"/>
    <s v="Tây Bắc Bộ"/>
    <x v="1"/>
    <x v="13"/>
    <n v="52.191181999999998"/>
  </r>
  <r>
    <x v="1"/>
    <s v="Công ty 42"/>
    <x v="2"/>
    <n v="25563647"/>
    <d v="2024-07-01T00:00:00"/>
    <x v="6"/>
    <x v="0"/>
    <s v="Duyên hải Nam Trung Bộ"/>
    <x v="1"/>
    <x v="18"/>
    <n v="25.563647"/>
  </r>
  <r>
    <x v="6"/>
    <s v="Công ty 48"/>
    <x v="1"/>
    <n v="43658180"/>
    <d v="2024-07-01T00:00:00"/>
    <x v="6"/>
    <x v="0"/>
    <s v="Đông Bắc Bộ"/>
    <x v="1"/>
    <x v="2"/>
    <n v="43.658180000000002"/>
  </r>
  <r>
    <x v="0"/>
    <s v="Công ty 95"/>
    <x v="0"/>
    <n v="28522045"/>
    <d v="2024-07-01T00:00:00"/>
    <x v="6"/>
    <x v="0"/>
    <s v="Bắc Trung Bộ"/>
    <x v="1"/>
    <x v="0"/>
    <n v="28.522044999999999"/>
  </r>
  <r>
    <x v="46"/>
    <s v="Công ty 96"/>
    <x v="1"/>
    <n v="585773172"/>
    <d v="2024-07-01T00:00:00"/>
    <x v="6"/>
    <x v="0"/>
    <s v="ĐB Sông Cửu Long"/>
    <x v="1"/>
    <x v="2"/>
    <n v="585.77317200000005"/>
  </r>
  <r>
    <x v="45"/>
    <s v="Công ty 3"/>
    <x v="0"/>
    <n v="25474000"/>
    <d v="2024-07-01T00:00:00"/>
    <x v="6"/>
    <x v="0"/>
    <s v="ĐB Sông Cửu Long"/>
    <x v="1"/>
    <x v="1"/>
    <n v="25.474"/>
  </r>
  <r>
    <x v="41"/>
    <s v="Công ty 44"/>
    <x v="0"/>
    <n v="25348800"/>
    <d v="2024-07-01T00:00:00"/>
    <x v="6"/>
    <x v="0"/>
    <s v="Đông Bắc Bộ"/>
    <x v="1"/>
    <x v="1"/>
    <n v="25.348800000000001"/>
  </r>
  <r>
    <x v="45"/>
    <s v="Công ty 44"/>
    <x v="0"/>
    <n v="10150000"/>
    <d v="2024-07-01T00:00:00"/>
    <x v="6"/>
    <x v="0"/>
    <s v="ĐB Sông Cửu Long"/>
    <x v="1"/>
    <x v="1"/>
    <n v="10.15"/>
  </r>
  <r>
    <x v="16"/>
    <s v="Công ty 92"/>
    <x v="2"/>
    <n v="43636364"/>
    <d v="2024-07-01T00:00:00"/>
    <x v="6"/>
    <x v="0"/>
    <s v="ĐB Sông Hồng"/>
    <x v="1"/>
    <x v="2"/>
    <n v="43.636364"/>
  </r>
  <r>
    <x v="46"/>
    <s v="Công ty 84"/>
    <x v="1"/>
    <n v="42979909"/>
    <d v="2024-07-01T00:00:00"/>
    <x v="6"/>
    <x v="0"/>
    <s v="ĐB Sông Cửu Long"/>
    <x v="1"/>
    <x v="2"/>
    <n v="42.979908999999999"/>
  </r>
  <r>
    <x v="38"/>
    <s v="Công ty 85"/>
    <x v="4"/>
    <n v="254376446"/>
    <d v="2024-07-01T00:00:00"/>
    <x v="6"/>
    <x v="0"/>
    <s v="Tây Nguyên"/>
    <x v="1"/>
    <x v="9"/>
    <n v="254.37644599999999"/>
  </r>
  <r>
    <x v="46"/>
    <s v="Công ty 91"/>
    <x v="4"/>
    <n v="108238600"/>
    <d v="2024-07-01T00:00:00"/>
    <x v="6"/>
    <x v="0"/>
    <s v="ĐB Sông Cửu Long"/>
    <x v="1"/>
    <x v="3"/>
    <n v="108.23860000000001"/>
  </r>
  <r>
    <x v="47"/>
    <s v="Công ty 98"/>
    <x v="0"/>
    <n v="13009091"/>
    <d v="2024-07-01T00:00:00"/>
    <x v="6"/>
    <x v="0"/>
    <s v="Đông Bắc Bộ"/>
    <x v="1"/>
    <x v="0"/>
    <n v="13.009091"/>
  </r>
  <r>
    <x v="32"/>
    <s v="Công ty 85"/>
    <x v="2"/>
    <n v="71639091"/>
    <d v="2024-07-01T00:00:00"/>
    <x v="6"/>
    <x v="0"/>
    <s v="ĐB Sông Cửu Long"/>
    <x v="1"/>
    <x v="0"/>
    <n v="71.639090999999993"/>
  </r>
  <r>
    <x v="53"/>
    <s v="Công ty 93"/>
    <x v="2"/>
    <n v="209090909"/>
    <d v="2024-07-01T00:00:00"/>
    <x v="6"/>
    <x v="0"/>
    <s v="Đông Bắc Bộ"/>
    <x v="1"/>
    <x v="5"/>
    <n v="209.09090900000001"/>
  </r>
  <r>
    <x v="38"/>
    <s v="Doanh nghiệp 28"/>
    <x v="1"/>
    <n v="97048945"/>
    <d v="2024-07-01T00:00:00"/>
    <x v="6"/>
    <x v="0"/>
    <s v="Tây Nguyên"/>
    <x v="1"/>
    <x v="15"/>
    <n v="97.048945000000003"/>
  </r>
  <r>
    <x v="32"/>
    <s v="Doanh nghiệp 31"/>
    <x v="0"/>
    <n v="19680000"/>
    <d v="2024-07-01T00:00:00"/>
    <x v="6"/>
    <x v="0"/>
    <s v="ĐB Sông Cửu Long"/>
    <x v="1"/>
    <x v="1"/>
    <n v="19.68"/>
  </r>
  <r>
    <x v="47"/>
    <s v="Doanh nghiệp 11"/>
    <x v="0"/>
    <n v="122196364"/>
    <d v="2024-07-01T00:00:00"/>
    <x v="6"/>
    <x v="0"/>
    <s v="Đông Bắc Bộ"/>
    <x v="1"/>
    <x v="1"/>
    <n v="122.196364"/>
  </r>
  <r>
    <x v="0"/>
    <s v="Doanh nghiệp 8"/>
    <x v="1"/>
    <n v="44441818"/>
    <d v="2024-07-01T00:00:00"/>
    <x v="6"/>
    <x v="0"/>
    <s v="Bắc Trung Bộ"/>
    <x v="1"/>
    <x v="2"/>
    <n v="44.441817999999998"/>
  </r>
  <r>
    <x v="6"/>
    <s v="Doanh nghiệp 9"/>
    <x v="1"/>
    <n v="52181818"/>
    <d v="2024-07-01T00:00:00"/>
    <x v="6"/>
    <x v="0"/>
    <s v="Đông Bắc Bộ"/>
    <x v="1"/>
    <x v="2"/>
    <n v="52.181818"/>
  </r>
  <r>
    <x v="6"/>
    <s v="Doanh nghiệp 10"/>
    <x v="2"/>
    <n v="136686509"/>
    <d v="2024-07-01T00:00:00"/>
    <x v="6"/>
    <x v="0"/>
    <s v="Đông Bắc Bộ"/>
    <x v="1"/>
    <x v="2"/>
    <n v="136.686509"/>
  </r>
  <r>
    <x v="17"/>
    <s v="Doanh nghiệp 11"/>
    <x v="1"/>
    <n v="24960000"/>
    <d v="2024-07-01T00:00:00"/>
    <x v="6"/>
    <x v="0"/>
    <s v="Duyên hải Nam Trung Bộ"/>
    <x v="1"/>
    <x v="2"/>
    <n v="24.96"/>
  </r>
  <r>
    <x v="48"/>
    <s v="Doanh nghiệp 10"/>
    <x v="0"/>
    <n v="532148725"/>
    <d v="2024-07-01T00:00:00"/>
    <x v="6"/>
    <x v="0"/>
    <s v="Đông Bắc Bộ"/>
    <x v="1"/>
    <x v="14"/>
    <n v="532.14872500000001"/>
  </r>
  <r>
    <x v="30"/>
    <s v="Doanh nghiệp 27"/>
    <x v="1"/>
    <n v="90650000"/>
    <d v="2024-07-01T00:00:00"/>
    <x v="6"/>
    <x v="0"/>
    <s v="ĐB Sông Cửu Long"/>
    <x v="1"/>
    <x v="2"/>
    <n v="90.65"/>
  </r>
  <r>
    <x v="53"/>
    <s v="Doanh nghiệp 6"/>
    <x v="0"/>
    <n v="55034545"/>
    <d v="2024-07-01T00:00:00"/>
    <x v="6"/>
    <x v="0"/>
    <s v="Đông Bắc Bộ"/>
    <x v="1"/>
    <x v="16"/>
    <n v="55.034545000000001"/>
  </r>
  <r>
    <x v="60"/>
    <s v="Tập đoàn 10"/>
    <x v="0"/>
    <n v="109545176"/>
    <d v="2024-07-01T00:00:00"/>
    <x v="6"/>
    <x v="0"/>
    <s v="Đông Bắc Bộ"/>
    <x v="1"/>
    <x v="0"/>
    <n v="109.545176"/>
  </r>
  <r>
    <x v="27"/>
    <s v="Tập đoàn 14"/>
    <x v="0"/>
    <n v="110036493"/>
    <d v="2024-07-01T00:00:00"/>
    <x v="6"/>
    <x v="0"/>
    <s v="Bắc Trung Bộ"/>
    <x v="1"/>
    <x v="0"/>
    <n v="110.03649299999999"/>
  </r>
  <r>
    <x v="51"/>
    <s v="Tập đoàn 46"/>
    <x v="3"/>
    <n v="78590000"/>
    <d v="2024-07-01T00:00:00"/>
    <x v="6"/>
    <x v="0"/>
    <s v="ĐB Sông Hồng"/>
    <x v="1"/>
    <x v="18"/>
    <n v="78.59"/>
  </r>
  <r>
    <x v="51"/>
    <s v="Tập đoàn 47"/>
    <x v="3"/>
    <n v="77288273"/>
    <d v="2024-07-01T00:00:00"/>
    <x v="6"/>
    <x v="0"/>
    <s v="ĐB Sông Hồng"/>
    <x v="1"/>
    <x v="7"/>
    <n v="77.288273000000004"/>
  </r>
  <r>
    <x v="0"/>
    <s v="Tập đoàn 64"/>
    <x v="0"/>
    <n v="7625000"/>
    <d v="2024-07-01T00:00:00"/>
    <x v="6"/>
    <x v="0"/>
    <s v="Bắc Trung Bộ"/>
    <x v="1"/>
    <x v="0"/>
    <n v="7.625"/>
  </r>
  <r>
    <x v="0"/>
    <s v="Tập đoàn 65"/>
    <x v="2"/>
    <n v="18733091"/>
    <d v="2024-07-01T00:00:00"/>
    <x v="6"/>
    <x v="0"/>
    <s v="Bắc Trung Bộ"/>
    <x v="1"/>
    <x v="13"/>
    <n v="18.733091000000002"/>
  </r>
  <r>
    <x v="6"/>
    <s v="Tập đoàn 84"/>
    <x v="0"/>
    <n v="88292909"/>
    <d v="2024-07-01T00:00:00"/>
    <x v="6"/>
    <x v="0"/>
    <s v="Đông Bắc Bộ"/>
    <x v="1"/>
    <x v="16"/>
    <n v="88.292908999999995"/>
  </r>
  <r>
    <x v="22"/>
    <s v="Tập đoàn 84"/>
    <x v="2"/>
    <n v="65727056"/>
    <d v="2024-07-01T00:00:00"/>
    <x v="6"/>
    <x v="0"/>
    <s v="Bắc Trung Bộ"/>
    <x v="1"/>
    <x v="1"/>
    <n v="65.727056000000005"/>
  </r>
  <r>
    <x v="62"/>
    <s v="Tập đoàn 94"/>
    <x v="1"/>
    <n v="151977545"/>
    <d v="2024-07-01T00:00:00"/>
    <x v="6"/>
    <x v="0"/>
    <s v="Bắc Trung Bộ"/>
    <x v="1"/>
    <x v="2"/>
    <n v="151.97754499999999"/>
  </r>
  <r>
    <x v="40"/>
    <s v="Tập đoàn 93"/>
    <x v="4"/>
    <n v="33150000"/>
    <d v="2024-07-01T00:00:00"/>
    <x v="6"/>
    <x v="0"/>
    <s v="ĐB Sông Cửu Long"/>
    <x v="1"/>
    <x v="3"/>
    <n v="33.15"/>
  </r>
  <r>
    <x v="55"/>
    <s v="Tập đoàn 94"/>
    <x v="0"/>
    <n v="11544636"/>
    <d v="2024-07-01T00:00:00"/>
    <x v="6"/>
    <x v="0"/>
    <s v="ĐB Sông Hồng"/>
    <x v="1"/>
    <x v="1"/>
    <n v="11.544636000000001"/>
  </r>
  <r>
    <x v="33"/>
    <s v="Tập đoàn 91"/>
    <x v="1"/>
    <n v="45050000"/>
    <d v="2024-07-01T00:00:00"/>
    <x v="6"/>
    <x v="0"/>
    <s v="Đông Bắc Bộ"/>
    <x v="1"/>
    <x v="13"/>
    <n v="45.05"/>
  </r>
  <r>
    <x v="8"/>
    <s v="Tập đoàn 92"/>
    <x v="0"/>
    <n v="77277273"/>
    <d v="2024-07-01T00:00:00"/>
    <x v="6"/>
    <x v="0"/>
    <s v="Đông Nam Bộ"/>
    <x v="1"/>
    <x v="1"/>
    <n v="77.277272999999994"/>
  </r>
  <r>
    <x v="33"/>
    <s v="Tập đoàn 93"/>
    <x v="1"/>
    <n v="12363636"/>
    <d v="2024-07-01T00:00:00"/>
    <x v="6"/>
    <x v="0"/>
    <s v="Đông Bắc Bộ"/>
    <x v="1"/>
    <x v="13"/>
    <n v="12.363636"/>
  </r>
  <r>
    <x v="39"/>
    <s v="Tập đoàn 92"/>
    <x v="4"/>
    <n v="18070000"/>
    <d v="2024-07-01T00:00:00"/>
    <x v="6"/>
    <x v="0"/>
    <s v="ĐB Sông Cửu Long"/>
    <x v="1"/>
    <x v="9"/>
    <n v="18.07"/>
  </r>
  <r>
    <x v="3"/>
    <s v="BỘ CHỈ HUY BỘ ĐỘI BIÊN PHÒNG TỈNH LONG AN"/>
    <x v="0"/>
    <n v="35865000"/>
    <d v="2024-07-01T00:00:00"/>
    <x v="6"/>
    <x v="0"/>
    <s v="ĐB Sông Cửu Long"/>
    <x v="2"/>
    <x v="0"/>
    <n v="35.865000000000002"/>
  </r>
  <r>
    <x v="41"/>
    <s v="BỘ CHỈ HUY QUÂN SỰ TỈNH CAO BẰNG"/>
    <x v="1"/>
    <n v="436200000"/>
    <d v="2024-07-01T00:00:00"/>
    <x v="6"/>
    <x v="0"/>
    <s v="Đông Bắc Bộ"/>
    <x v="2"/>
    <x v="10"/>
    <n v="436.2"/>
  </r>
  <r>
    <x v="18"/>
    <s v="Công ty 37"/>
    <x v="3"/>
    <n v="162145455"/>
    <d v="2024-07-01T00:00:00"/>
    <x v="6"/>
    <x v="0"/>
    <s v="Tây Nguyên"/>
    <x v="1"/>
    <x v="7"/>
    <n v="162.145455"/>
  </r>
  <r>
    <x v="42"/>
    <s v="Công ty 67"/>
    <x v="4"/>
    <n v="107058182"/>
    <d v="2024-07-01T00:00:00"/>
    <x v="6"/>
    <x v="0"/>
    <s v="Tây Bắc Bộ"/>
    <x v="1"/>
    <x v="9"/>
    <n v="107.058182"/>
  </r>
  <r>
    <x v="42"/>
    <s v="Công ty 68"/>
    <x v="4"/>
    <n v="400909091"/>
    <d v="2024-07-01T00:00:00"/>
    <x v="6"/>
    <x v="0"/>
    <s v="Tây Bắc Bộ"/>
    <x v="1"/>
    <x v="9"/>
    <n v="400.90909099999999"/>
  </r>
  <r>
    <x v="42"/>
    <s v="Công ty 69"/>
    <x v="4"/>
    <n v="57127273"/>
    <d v="2024-07-01T00:00:00"/>
    <x v="6"/>
    <x v="0"/>
    <s v="Tây Bắc Bộ"/>
    <x v="1"/>
    <x v="9"/>
    <n v="57.127273000000002"/>
  </r>
  <r>
    <x v="42"/>
    <s v="Công ty 70"/>
    <x v="4"/>
    <n v="381054545"/>
    <d v="2024-07-01T00:00:00"/>
    <x v="6"/>
    <x v="0"/>
    <s v="Tây Bắc Bộ"/>
    <x v="1"/>
    <x v="9"/>
    <n v="381.05454500000002"/>
  </r>
  <r>
    <x v="6"/>
    <s v="Công An Huyện Hạ Hoà"/>
    <x v="0"/>
    <n v="45310000"/>
    <d v="2024-07-01T00:00:00"/>
    <x v="6"/>
    <x v="0"/>
    <s v="Đông Bắc Bộ"/>
    <x v="2"/>
    <x v="1"/>
    <n v="45.31"/>
  </r>
  <r>
    <x v="13"/>
    <s v="Công An Xã Bảo Ái"/>
    <x v="2"/>
    <n v="8959091"/>
    <d v="2024-07-01T00:00:00"/>
    <x v="6"/>
    <x v="0"/>
    <s v="Tây Bắc Bộ"/>
    <x v="2"/>
    <x v="1"/>
    <n v="8.9590910000000008"/>
  </r>
  <r>
    <x v="49"/>
    <s v="Công An Xã Long Mỹ"/>
    <x v="2"/>
    <n v="21027273"/>
    <d v="2024-07-01T00:00:00"/>
    <x v="6"/>
    <x v="0"/>
    <s v="ĐB Sông Cửu Long"/>
    <x v="2"/>
    <x v="1"/>
    <n v="21.027273000000001"/>
  </r>
  <r>
    <x v="53"/>
    <s v="TRƯỜNG TIỂU HỌC SỐ 1 VÕ LAO"/>
    <x v="0"/>
    <n v="10000000"/>
    <d v="2024-07-01T00:00:00"/>
    <x v="6"/>
    <x v="0"/>
    <s v="Đông Bắc Bộ"/>
    <x v="4"/>
    <x v="10"/>
    <n v="10"/>
  </r>
  <r>
    <x v="35"/>
    <s v="Đoàn Tncs Hồ Chí Minh Huyện Hữu Lũng"/>
    <x v="4"/>
    <n v="53238000"/>
    <d v="2024-07-01T00:00:00"/>
    <x v="6"/>
    <x v="0"/>
    <s v="Đông Bắc Bộ"/>
    <x v="2"/>
    <x v="9"/>
    <n v="53.238"/>
  </r>
  <r>
    <x v="59"/>
    <s v="Đoàn Tncs Hồ Chí Minh Tỉnh Vĩnh Phúc"/>
    <x v="2"/>
    <n v="27909091"/>
    <d v="2024-07-01T00:00:00"/>
    <x v="6"/>
    <x v="0"/>
    <s v="ĐB Sông Hồng"/>
    <x v="2"/>
    <x v="9"/>
    <n v="27.909091"/>
  </r>
  <r>
    <x v="40"/>
    <s v="NGÂN HÀNG NÔNG NGHIỆP VÀ PHÁT TRIỂN NÔNG THÔN VIỆT NAM - CHI NHÁNH TỈNH TRÀ VINH"/>
    <x v="1"/>
    <n v="221469843"/>
    <d v="2024-07-01T00:00:00"/>
    <x v="6"/>
    <x v="0"/>
    <s v="ĐB Sông Cửu Long"/>
    <x v="3"/>
    <x v="2"/>
    <n v="221.469843"/>
  </r>
  <r>
    <x v="13"/>
    <s v="Ngân Hàng Nông Nghiệp Và Ptnn Việt Nam Chi Nhánh Huyện Văn Chấn Yên Bái"/>
    <x v="1"/>
    <n v="13636364"/>
    <d v="2024-07-01T00:00:00"/>
    <x v="6"/>
    <x v="0"/>
    <s v="Tây Bắc Bộ"/>
    <x v="3"/>
    <x v="2"/>
    <n v="13.636364"/>
  </r>
  <r>
    <x v="29"/>
    <s v="NGÂN HÀNG THƯƠNG MẠI CỔ PHẦN ĐÔNG NAM Á-CHI NHÁNH TIỀN GIANG"/>
    <x v="1"/>
    <n v="20110909"/>
    <d v="2024-07-01T00:00:00"/>
    <x v="6"/>
    <x v="0"/>
    <s v="ĐB Sông Cửu Long"/>
    <x v="3"/>
    <x v="2"/>
    <n v="20.110908999999999"/>
  </r>
  <r>
    <x v="54"/>
    <s v="PHÒNG NÔNG NGHIỆP VÀ PHÁT TRIỂN NÔNG THÔN HUYỆN BẢO THẮNG"/>
    <x v="0"/>
    <n v="371268182"/>
    <d v="2024-07-01T00:00:00"/>
    <x v="6"/>
    <x v="0"/>
    <s v="Tây Bắc Bộ"/>
    <x v="2"/>
    <x v="1"/>
    <n v="371.26818200000002"/>
  </r>
  <r>
    <x v="8"/>
    <s v="Quân Khu 7"/>
    <x v="0"/>
    <n v="11161818182"/>
    <d v="2024-07-01T00:00:00"/>
    <x v="6"/>
    <x v="0"/>
    <s v="Đông Nam Bộ"/>
    <x v="2"/>
    <x v="5"/>
    <n v="11161.818182000001"/>
  </r>
  <r>
    <x v="6"/>
    <s v="Sở Tài Chính Tỉnh Phú Thọ"/>
    <x v="0"/>
    <n v="167090909"/>
    <d v="2024-07-01T00:00:00"/>
    <x v="6"/>
    <x v="0"/>
    <s v="Đông Bắc Bộ"/>
    <x v="2"/>
    <x v="1"/>
    <n v="167.09090900000001"/>
  </r>
  <r>
    <x v="6"/>
    <s v="TRUNG TÂM Y TẾ HUYỆN HẠ HOÀ"/>
    <x v="2"/>
    <n v="75308000"/>
    <d v="2024-07-01T00:00:00"/>
    <x v="6"/>
    <x v="0"/>
    <s v="Đông Bắc Bộ"/>
    <x v="2"/>
    <x v="2"/>
    <n v="75.308000000000007"/>
  </r>
  <r>
    <x v="32"/>
    <s v="Trung Tâm Y Tế Huyện Tân Hồng"/>
    <x v="2"/>
    <n v="31349091"/>
    <d v="2024-07-01T00:00:00"/>
    <x v="6"/>
    <x v="0"/>
    <s v="ĐB Sông Cửu Long"/>
    <x v="2"/>
    <x v="2"/>
    <n v="31.349091000000001"/>
  </r>
  <r>
    <x v="24"/>
    <s v="TRUNG TÂM Y TẾ HUYỆN THÁI THỤY"/>
    <x v="1"/>
    <n v="82150000"/>
    <d v="2024-07-01T00:00:00"/>
    <x v="6"/>
    <x v="0"/>
    <s v="ĐB Sông Hồng"/>
    <x v="2"/>
    <x v="2"/>
    <n v="82.15"/>
  </r>
  <r>
    <x v="30"/>
    <s v="TRUNG TÂM Y TẾ HUYỆN THOẠI SƠN"/>
    <x v="0"/>
    <n v="19080000"/>
    <d v="2024-07-01T00:00:00"/>
    <x v="6"/>
    <x v="0"/>
    <s v="ĐB Sông Cửu Long"/>
    <x v="2"/>
    <x v="0"/>
    <n v="19.079999999999998"/>
  </r>
  <r>
    <x v="0"/>
    <s v="Ubnd Huyện Nghi Lộc"/>
    <x v="1"/>
    <n v="41400000"/>
    <d v="2024-07-01T00:00:00"/>
    <x v="6"/>
    <x v="0"/>
    <s v="Bắc Trung Bộ"/>
    <x v="2"/>
    <x v="13"/>
    <n v="41.4"/>
  </r>
  <r>
    <x v="0"/>
    <s v="Ubnd Phường Mai Hùng"/>
    <x v="0"/>
    <n v="45307273"/>
    <d v="2024-07-01T00:00:00"/>
    <x v="6"/>
    <x v="0"/>
    <s v="Bắc Trung Bộ"/>
    <x v="2"/>
    <x v="0"/>
    <n v="45.307273000000002"/>
  </r>
  <r>
    <x v="0"/>
    <s v="Ubnd Phường Mai Hùng"/>
    <x v="0"/>
    <n v="44115455"/>
    <d v="2024-07-01T00:00:00"/>
    <x v="6"/>
    <x v="0"/>
    <s v="Bắc Trung Bộ"/>
    <x v="2"/>
    <x v="0"/>
    <n v="44.115454999999997"/>
  </r>
  <r>
    <x v="0"/>
    <s v="Ubnd Phường Mai Hùng"/>
    <x v="0"/>
    <n v="7450000"/>
    <d v="2024-07-01T00:00:00"/>
    <x v="6"/>
    <x v="0"/>
    <s v="Bắc Trung Bộ"/>
    <x v="2"/>
    <x v="0"/>
    <n v="7.45"/>
  </r>
  <r>
    <x v="41"/>
    <s v="UBND THỊ TRẤN THANH NHẬT"/>
    <x v="4"/>
    <n v="84090909"/>
    <d v="2024-07-01T00:00:00"/>
    <x v="6"/>
    <x v="0"/>
    <s v="Đông Bắc Bộ"/>
    <x v="2"/>
    <x v="9"/>
    <n v="84.090908999999996"/>
  </r>
  <r>
    <x v="45"/>
    <s v="UBND XÃ ĐẠI ÂN 2"/>
    <x v="0"/>
    <n v="45309091"/>
    <d v="2024-07-01T00:00:00"/>
    <x v="6"/>
    <x v="0"/>
    <s v="ĐB Sông Cửu Long"/>
    <x v="2"/>
    <x v="1"/>
    <n v="45.309091000000002"/>
  </r>
  <r>
    <x v="29"/>
    <s v="Ubnd Xã Hiệp Đức"/>
    <x v="0"/>
    <n v="90477273"/>
    <d v="2024-07-01T00:00:00"/>
    <x v="6"/>
    <x v="0"/>
    <s v="ĐB Sông Cửu Long"/>
    <x v="2"/>
    <x v="1"/>
    <n v="90.477272999999997"/>
  </r>
  <r>
    <x v="18"/>
    <s v="Ubnd Xã Kiến Thành"/>
    <x v="4"/>
    <n v="29818182"/>
    <d v="2024-07-01T00:00:00"/>
    <x v="6"/>
    <x v="0"/>
    <s v="Tây Nguyên"/>
    <x v="2"/>
    <x v="9"/>
    <n v="29.818182"/>
  </r>
  <r>
    <x v="33"/>
    <s v="Ubnd Xã Việt Ngọc"/>
    <x v="0"/>
    <n v="21900000"/>
    <d v="2024-07-01T00:00:00"/>
    <x v="6"/>
    <x v="0"/>
    <s v="Đông Bắc Bộ"/>
    <x v="2"/>
    <x v="5"/>
    <n v="21.9"/>
  </r>
  <r>
    <x v="4"/>
    <s v="ủy BAN MẶT TRẬN TỔ QUỐC THỊ TRẤN NGỌC LẶC"/>
    <x v="0"/>
    <n v="13590000"/>
    <d v="2024-07-01T00:00:00"/>
    <x v="6"/>
    <x v="0"/>
    <s v="Đông Nam Bộ"/>
    <x v="2"/>
    <x v="1"/>
    <n v="13.59"/>
  </r>
  <r>
    <x v="40"/>
    <s v="UỶ BAN NHÂN DÂN XÃ ĐỊNH AN"/>
    <x v="2"/>
    <n v="3960000"/>
    <d v="2024-07-01T00:00:00"/>
    <x v="6"/>
    <x v="0"/>
    <s v="ĐB Sông Cửu Long"/>
    <x v="2"/>
    <x v="2"/>
    <n v="3.96"/>
  </r>
  <r>
    <x v="35"/>
    <s v="Uỷ Ban Nhân Dân Xã Đội Cấn"/>
    <x v="4"/>
    <n v="36360000"/>
    <d v="2024-07-01T00:00:00"/>
    <x v="6"/>
    <x v="0"/>
    <s v="Đông Bắc Bộ"/>
    <x v="2"/>
    <x v="9"/>
    <n v="36.36"/>
  </r>
  <r>
    <x v="24"/>
    <s v="UỶ BAN NHÂN DÂN XÃ ĐÔNG MỸ"/>
    <x v="0"/>
    <n v="87563636"/>
    <d v="2024-07-01T00:00:00"/>
    <x v="6"/>
    <x v="0"/>
    <s v="ĐB Sông Hồng"/>
    <x v="2"/>
    <x v="1"/>
    <n v="87.563636000000002"/>
  </r>
  <r>
    <x v="39"/>
    <s v="Uỷ Ban Nhân Dân Xã Đông Thành"/>
    <x v="0"/>
    <n v="86058000"/>
    <d v="2024-07-01T00:00:00"/>
    <x v="6"/>
    <x v="0"/>
    <s v="ĐB Sông Cửu Long"/>
    <x v="2"/>
    <x v="1"/>
    <n v="86.058000000000007"/>
  </r>
  <r>
    <x v="20"/>
    <s v="UỶ BAN NHÂN DÂN XÃ HÀM MỸ"/>
    <x v="4"/>
    <n v="180381347"/>
    <d v="2024-07-01T00:00:00"/>
    <x v="6"/>
    <x v="0"/>
    <s v="Duyên hải Nam Trung Bộ"/>
    <x v="2"/>
    <x v="9"/>
    <n v="180.38134700000001"/>
  </r>
  <r>
    <x v="41"/>
    <s v="Ủy Ban Nhân Dân Xã Lê Lợi"/>
    <x v="0"/>
    <n v="63636364"/>
    <d v="2024-07-01T00:00:00"/>
    <x v="6"/>
    <x v="0"/>
    <s v="Đông Bắc Bộ"/>
    <x v="2"/>
    <x v="5"/>
    <n v="63.636364"/>
  </r>
  <r>
    <x v="6"/>
    <s v="ỦY BAN NHÂN DÂN XÃ PHÚ LỘC"/>
    <x v="0"/>
    <n v="13767273"/>
    <d v="2024-07-01T00:00:00"/>
    <x v="6"/>
    <x v="0"/>
    <s v="Đông Bắc Bộ"/>
    <x v="2"/>
    <x v="1"/>
    <n v="13.767272999999999"/>
  </r>
  <r>
    <x v="53"/>
    <s v="ỦY BAN NHÂN DÂN XÃ QUẢNG BẠCH"/>
    <x v="0"/>
    <n v="54954545"/>
    <d v="2024-07-01T00:00:00"/>
    <x v="6"/>
    <x v="0"/>
    <s v="Đông Bắc Bộ"/>
    <x v="2"/>
    <x v="1"/>
    <n v="54.954545000000003"/>
  </r>
  <r>
    <x v="56"/>
    <s v="Ủy Ban Nhân Dân Xã Tam Giang Tây"/>
    <x v="4"/>
    <n v="269890909"/>
    <d v="2024-07-01T00:00:00"/>
    <x v="6"/>
    <x v="0"/>
    <s v="ĐB Sông Cửu Long"/>
    <x v="2"/>
    <x v="3"/>
    <n v="269.89090900000002"/>
  </r>
  <r>
    <x v="6"/>
    <s v="ỦY BAN NHÂN DÂN XÃ TIÊN LƯƠNG"/>
    <x v="4"/>
    <n v="175531818"/>
    <d v="2024-07-01T00:00:00"/>
    <x v="6"/>
    <x v="0"/>
    <s v="Đông Bắc Bộ"/>
    <x v="2"/>
    <x v="9"/>
    <n v="175.53181799999999"/>
  </r>
  <r>
    <x v="53"/>
    <s v="VĂN PHÒNG HĐND VÀ UBND HUYỆN CHỢ ĐỒN"/>
    <x v="2"/>
    <n v="15404545"/>
    <d v="2024-07-01T00:00:00"/>
    <x v="6"/>
    <x v="0"/>
    <s v="Đông Bắc Bộ"/>
    <x v="2"/>
    <x v="0"/>
    <n v="15.404545000000001"/>
  </r>
  <r>
    <x v="22"/>
    <s v="VĂN PHÒNG HĐND VÀ UBND HUYỆN NAM ĐÔNG"/>
    <x v="0"/>
    <n v="167727273"/>
    <d v="2024-07-01T00:00:00"/>
    <x v="6"/>
    <x v="0"/>
    <s v="Bắc Trung Bộ"/>
    <x v="2"/>
    <x v="1"/>
    <n v="167.727273"/>
  </r>
  <r>
    <x v="31"/>
    <s v="Văn Phòng Uỷ Ban Nhân Dân Tỉnh Đắk Lắk"/>
    <x v="0"/>
    <n v="81387636"/>
    <d v="2024-07-01T00:00:00"/>
    <x v="6"/>
    <x v="0"/>
    <s v="Tây Nguyên"/>
    <x v="2"/>
    <x v="14"/>
    <n v="81.387636000000001"/>
  </r>
  <r>
    <x v="40"/>
    <s v="Viện Kiểm Sát Nhân Dân Tỉnh Trà Vinh"/>
    <x v="2"/>
    <n v="26363636"/>
    <d v="2024-07-01T00:00:00"/>
    <x v="6"/>
    <x v="0"/>
    <s v="ĐB Sông Cửu Long"/>
    <x v="2"/>
    <x v="2"/>
    <n v="26.363636"/>
  </r>
  <r>
    <x v="16"/>
    <s v="trường TIỂU HỌC ĐẠO LÝ"/>
    <x v="0"/>
    <n v="26909091"/>
    <d v="2024-07-01T00:00:00"/>
    <x v="6"/>
    <x v="0"/>
    <s v="ĐB Sông Hồng"/>
    <x v="4"/>
    <x v="5"/>
    <n v="26.909091"/>
  </r>
  <r>
    <x v="16"/>
    <s v="Tiểu học xã Xuân Khê"/>
    <x v="0"/>
    <n v="13454545"/>
    <d v="2024-07-01T00:00:00"/>
    <x v="6"/>
    <x v="0"/>
    <s v="ĐB Sông Hồng"/>
    <x v="2"/>
    <x v="5"/>
    <n v="13.454545"/>
  </r>
  <r>
    <x v="6"/>
    <s v="TRƯỜNG CAO ĐẲNG Y TẾ PHÚ THỌ"/>
    <x v="2"/>
    <n v="18114545"/>
    <d v="2024-07-01T00:00:00"/>
    <x v="6"/>
    <x v="0"/>
    <s v="Đông Bắc Bộ"/>
    <x v="4"/>
    <x v="7"/>
    <n v="18.114545"/>
  </r>
  <r>
    <x v="15"/>
    <s v="Trường Đại học Nha Trang"/>
    <x v="0"/>
    <n v="586745455"/>
    <d v="2024-07-01T00:00:00"/>
    <x v="6"/>
    <x v="0"/>
    <s v="Duyên hải Nam Trung Bộ"/>
    <x v="4"/>
    <x v="5"/>
    <n v="586.74545499999999"/>
  </r>
  <r>
    <x v="0"/>
    <s v="TRƯỜNG ĐẠI HỌC Y KHOA VINH"/>
    <x v="1"/>
    <n v="87981818"/>
    <d v="2024-07-01T00:00:00"/>
    <x v="6"/>
    <x v="0"/>
    <s v="Bắc Trung Bộ"/>
    <x v="4"/>
    <x v="13"/>
    <n v="87.981818000000004"/>
  </r>
  <r>
    <x v="16"/>
    <s v="Trường Mầm Non Xã Chân Lý"/>
    <x v="0"/>
    <n v="26909091"/>
    <d v="2024-07-01T00:00:00"/>
    <x v="6"/>
    <x v="0"/>
    <s v="ĐB Sông Hồng"/>
    <x v="4"/>
    <x v="5"/>
    <n v="26.909091"/>
  </r>
  <r>
    <x v="16"/>
    <s v="Trường Mầm Non Xã Đạo Lý"/>
    <x v="0"/>
    <n v="13454545"/>
    <d v="2024-07-01T00:00:00"/>
    <x v="6"/>
    <x v="0"/>
    <s v="ĐB Sông Hồng"/>
    <x v="4"/>
    <x v="5"/>
    <n v="13.454545"/>
  </r>
  <r>
    <x v="16"/>
    <s v="Trường Mầm Non Xã Hợp Lý"/>
    <x v="0"/>
    <n v="26909091"/>
    <d v="2024-07-01T00:00:00"/>
    <x v="6"/>
    <x v="0"/>
    <s v="ĐB Sông Hồng"/>
    <x v="4"/>
    <x v="5"/>
    <n v="26.909091"/>
  </r>
  <r>
    <x v="16"/>
    <s v="Trường Mầm Non Xã Nhân Bình"/>
    <x v="0"/>
    <n v="26909091"/>
    <d v="2024-07-01T00:00:00"/>
    <x v="6"/>
    <x v="0"/>
    <s v="ĐB Sông Hồng"/>
    <x v="4"/>
    <x v="5"/>
    <n v="26.909091"/>
  </r>
  <r>
    <x v="16"/>
    <s v="Trường Mầm Non Xã Nhân Nghĩa"/>
    <x v="0"/>
    <n v="13454545"/>
    <d v="2024-07-01T00:00:00"/>
    <x v="6"/>
    <x v="0"/>
    <s v="ĐB Sông Hồng"/>
    <x v="4"/>
    <x v="5"/>
    <n v="13.454545"/>
  </r>
  <r>
    <x v="16"/>
    <s v="TRƯỜNG MẦM NON XÃ TIẾN THẮNG"/>
    <x v="0"/>
    <n v="26909091"/>
    <d v="2024-07-01T00:00:00"/>
    <x v="6"/>
    <x v="0"/>
    <s v="ĐB Sông Hồng"/>
    <x v="4"/>
    <x v="5"/>
    <n v="26.909091"/>
  </r>
  <r>
    <x v="52"/>
    <s v="Trường Thcs Đại Phúc"/>
    <x v="0"/>
    <n v="33461818"/>
    <d v="2024-07-01T00:00:00"/>
    <x v="6"/>
    <x v="0"/>
    <s v="ĐB Sông Hồng"/>
    <x v="4"/>
    <x v="0"/>
    <n v="33.461818000000001"/>
  </r>
  <r>
    <x v="43"/>
    <s v="TRƯỜNG THCS TRẢNG DÀI"/>
    <x v="0"/>
    <n v="45100000"/>
    <d v="2024-07-01T00:00:00"/>
    <x v="6"/>
    <x v="0"/>
    <s v="Đông Nam Bộ"/>
    <x v="4"/>
    <x v="0"/>
    <n v="45.1"/>
  </r>
  <r>
    <x v="6"/>
    <s v="Trường Tiểu Học Cổ Tiết"/>
    <x v="0"/>
    <n v="29818182"/>
    <d v="2024-07-01T00:00:00"/>
    <x v="6"/>
    <x v="0"/>
    <s v="Đông Bắc Bộ"/>
    <x v="4"/>
    <x v="0"/>
    <n v="29.818182"/>
  </r>
  <r>
    <x v="16"/>
    <s v="Trường Tiểu học Nhân Hậu"/>
    <x v="0"/>
    <n v="13454545"/>
    <d v="2024-07-01T00:00:00"/>
    <x v="6"/>
    <x v="0"/>
    <s v="ĐB Sông Hồng"/>
    <x v="4"/>
    <x v="5"/>
    <n v="13.454545"/>
  </r>
  <r>
    <x v="16"/>
    <s v="Trường tiểu học Nhân Hòa"/>
    <x v="0"/>
    <n v="13454545"/>
    <d v="2024-07-01T00:00:00"/>
    <x v="6"/>
    <x v="0"/>
    <s v="ĐB Sông Hồng"/>
    <x v="4"/>
    <x v="5"/>
    <n v="13.454545"/>
  </r>
  <r>
    <x v="16"/>
    <s v="Trường Tiểu Học Thanh Hải"/>
    <x v="0"/>
    <n v="446242727"/>
    <d v="2024-07-01T00:00:00"/>
    <x v="6"/>
    <x v="0"/>
    <s v="ĐB Sông Hồng"/>
    <x v="4"/>
    <x v="5"/>
    <n v="446.242727"/>
  </r>
  <r>
    <x v="62"/>
    <s v="Trường Tiểu Học Và Thcs Gio Hải Số"/>
    <x v="0"/>
    <n v="168132500"/>
    <d v="2024-07-01T00:00:00"/>
    <x v="6"/>
    <x v="0"/>
    <s v="Bắc Trung Bộ"/>
    <x v="4"/>
    <x v="14"/>
    <n v="168.13249999999999"/>
  </r>
  <r>
    <x v="16"/>
    <s v="TRƯỜNG TIỂU HỌC XÃ CHÂN LÝ"/>
    <x v="0"/>
    <n v="13454545"/>
    <d v="2024-07-01T00:00:00"/>
    <x v="6"/>
    <x v="0"/>
    <s v="ĐB Sông Hồng"/>
    <x v="4"/>
    <x v="5"/>
    <n v="13.454545"/>
  </r>
  <r>
    <x v="16"/>
    <s v="TRƯỜNG TIỂU HỌC XÃ HỢP LÝ"/>
    <x v="0"/>
    <n v="13454545"/>
    <d v="2024-07-01T00:00:00"/>
    <x v="6"/>
    <x v="0"/>
    <s v="ĐB Sông Hồng"/>
    <x v="4"/>
    <x v="5"/>
    <n v="13.454545"/>
  </r>
  <r>
    <x v="16"/>
    <s v="TRƯỜNG TIỀU HỌC XÃ NGUYÊN LÝ"/>
    <x v="0"/>
    <n v="13454545"/>
    <d v="2024-07-01T00:00:00"/>
    <x v="6"/>
    <x v="0"/>
    <s v="ĐB Sông Hồng"/>
    <x v="4"/>
    <x v="5"/>
    <n v="13.454545"/>
  </r>
  <r>
    <x v="16"/>
    <s v="TRƯỜNG TIỂU HỌC XÃ NHÂN THỊNH"/>
    <x v="0"/>
    <n v="13454545"/>
    <d v="2024-07-01T00:00:00"/>
    <x v="6"/>
    <x v="0"/>
    <s v="ĐB Sông Hồng"/>
    <x v="4"/>
    <x v="5"/>
    <n v="13.454545"/>
  </r>
  <r>
    <x v="16"/>
    <s v="TRƯỜNG TIỂU HỌC XÃ PHÚ PHÚC"/>
    <x v="0"/>
    <n v="13454545"/>
    <d v="2024-07-01T00:00:00"/>
    <x v="6"/>
    <x v="0"/>
    <s v="ĐB Sông Hồng"/>
    <x v="4"/>
    <x v="5"/>
    <n v="13.454545"/>
  </r>
  <r>
    <x v="16"/>
    <s v="TRƯỜNG TIỂU HỌC XÃ TIẾN THẮNG"/>
    <x v="0"/>
    <n v="13454545"/>
    <d v="2024-07-01T00:00:00"/>
    <x v="6"/>
    <x v="0"/>
    <s v="ĐB Sông Hồng"/>
    <x v="4"/>
    <x v="5"/>
    <n v="13.454545"/>
  </r>
  <r>
    <x v="16"/>
    <s v="Trường Tiểu Học Xã Trần Hưng Đạo"/>
    <x v="0"/>
    <n v="13454545"/>
    <d v="2024-07-01T00:00:00"/>
    <x v="6"/>
    <x v="0"/>
    <s v="ĐB Sông Hồng"/>
    <x v="4"/>
    <x v="5"/>
    <n v="13.454545"/>
  </r>
  <r>
    <x v="16"/>
    <s v="Trường Tiểu Học Xã Văn Lý"/>
    <x v="0"/>
    <n v="13454545"/>
    <d v="2024-07-01T00:00:00"/>
    <x v="6"/>
    <x v="0"/>
    <s v="ĐB Sông Hồng"/>
    <x v="4"/>
    <x v="5"/>
    <n v="13.454545"/>
  </r>
  <r>
    <x v="13"/>
    <s v="Bệnh viện đa khoa tỉnh Yên Bái"/>
    <x v="2"/>
    <n v="77536364"/>
    <d v="2024-08-01T00:00:00"/>
    <x v="7"/>
    <x v="0"/>
    <s v="Tây Bắc Bộ"/>
    <x v="0"/>
    <x v="2"/>
    <n v="77.536364000000006"/>
  </r>
  <r>
    <x v="14"/>
    <s v="Công ty 1"/>
    <x v="0"/>
    <n v="510000000"/>
    <d v="2024-08-01T00:00:00"/>
    <x v="7"/>
    <x v="0"/>
    <s v="ĐB Sông Hồng"/>
    <x v="1"/>
    <x v="5"/>
    <n v="510"/>
  </r>
  <r>
    <x v="19"/>
    <s v="Công ty 1"/>
    <x v="4"/>
    <n v="240909091"/>
    <d v="2024-08-01T00:00:00"/>
    <x v="7"/>
    <x v="0"/>
    <s v="Duyên hải Nam Trung Bộ"/>
    <x v="1"/>
    <x v="3"/>
    <n v="240.90909099999999"/>
  </r>
  <r>
    <x v="5"/>
    <s v="Công ty 10"/>
    <x v="0"/>
    <n v="197786219"/>
    <d v="2024-08-01T00:00:00"/>
    <x v="7"/>
    <x v="0"/>
    <s v="Đông Nam Bộ"/>
    <x v="1"/>
    <x v="0"/>
    <n v="197.78621899999999"/>
  </r>
  <r>
    <x v="42"/>
    <s v="Công ty 75"/>
    <x v="4"/>
    <n v="79545455"/>
    <d v="2024-08-01T00:00:00"/>
    <x v="7"/>
    <x v="0"/>
    <s v="Tây Bắc Bộ"/>
    <x v="1"/>
    <x v="9"/>
    <n v="79.545455000000004"/>
  </r>
  <r>
    <x v="42"/>
    <s v="Công ty 76"/>
    <x v="4"/>
    <n v="164772727"/>
    <d v="2024-08-01T00:00:00"/>
    <x v="7"/>
    <x v="0"/>
    <s v="Tây Bắc Bộ"/>
    <x v="1"/>
    <x v="9"/>
    <n v="164.772727"/>
  </r>
  <r>
    <x v="41"/>
    <s v="Công ty 41"/>
    <x v="0"/>
    <n v="84737273"/>
    <d v="2024-08-01T00:00:00"/>
    <x v="7"/>
    <x v="0"/>
    <s v="Đông Bắc Bộ"/>
    <x v="1"/>
    <x v="5"/>
    <n v="84.737273000000002"/>
  </r>
  <r>
    <x v="9"/>
    <s v="Công ty 64"/>
    <x v="0"/>
    <n v="507272727"/>
    <d v="2024-08-01T00:00:00"/>
    <x v="7"/>
    <x v="0"/>
    <s v="Duyên hải Nam Trung Bộ"/>
    <x v="1"/>
    <x v="5"/>
    <n v="507.27272699999997"/>
  </r>
  <r>
    <x v="41"/>
    <s v="Công ty 69"/>
    <x v="4"/>
    <n v="808363636"/>
    <d v="2024-08-01T00:00:00"/>
    <x v="7"/>
    <x v="0"/>
    <s v="Đông Bắc Bộ"/>
    <x v="1"/>
    <x v="9"/>
    <n v="808.36363600000004"/>
  </r>
  <r>
    <x v="21"/>
    <s v="Công ty 73"/>
    <x v="0"/>
    <n v="2454496727"/>
    <d v="2024-08-01T00:00:00"/>
    <x v="7"/>
    <x v="0"/>
    <s v="Đông Bắc Bộ"/>
    <x v="1"/>
    <x v="1"/>
    <n v="2454.4967270000002"/>
  </r>
  <r>
    <x v="5"/>
    <s v="Công ty 75"/>
    <x v="0"/>
    <n v="16378182"/>
    <d v="2024-08-01T00:00:00"/>
    <x v="7"/>
    <x v="0"/>
    <s v="Đông Nam Bộ"/>
    <x v="1"/>
    <x v="1"/>
    <n v="16.378181999999999"/>
  </r>
  <r>
    <x v="24"/>
    <s v="Công ty 8"/>
    <x v="0"/>
    <n v="861700000"/>
    <d v="2024-08-01T00:00:00"/>
    <x v="7"/>
    <x v="0"/>
    <s v="ĐB Sông Hồng"/>
    <x v="1"/>
    <x v="5"/>
    <n v="861.7"/>
  </r>
  <r>
    <x v="42"/>
    <s v="Công ty 33"/>
    <x v="0"/>
    <n v="20540000"/>
    <d v="2024-08-01T00:00:00"/>
    <x v="7"/>
    <x v="0"/>
    <s v="Tây Bắc Bộ"/>
    <x v="1"/>
    <x v="1"/>
    <n v="20.54"/>
  </r>
  <r>
    <x v="9"/>
    <s v="Công ty 68"/>
    <x v="2"/>
    <n v="15065455"/>
    <d v="2024-08-01T00:00:00"/>
    <x v="7"/>
    <x v="0"/>
    <s v="Duyên hải Nam Trung Bộ"/>
    <x v="1"/>
    <x v="4"/>
    <n v="15.065455"/>
  </r>
  <r>
    <x v="35"/>
    <s v="Công ty 80"/>
    <x v="1"/>
    <n v="22574000"/>
    <d v="2024-08-01T00:00:00"/>
    <x v="7"/>
    <x v="0"/>
    <s v="Đông Bắc Bộ"/>
    <x v="1"/>
    <x v="2"/>
    <n v="22.574000000000002"/>
  </r>
  <r>
    <x v="33"/>
    <s v="Công ty 81"/>
    <x v="1"/>
    <n v="43150000"/>
    <d v="2024-08-01T00:00:00"/>
    <x v="7"/>
    <x v="0"/>
    <s v="Đông Bắc Bộ"/>
    <x v="1"/>
    <x v="2"/>
    <n v="43.15"/>
  </r>
  <r>
    <x v="43"/>
    <s v="Công ty 85"/>
    <x v="1"/>
    <n v="16763236015"/>
    <d v="2024-08-01T00:00:00"/>
    <x v="7"/>
    <x v="0"/>
    <s v="Đông Nam Bộ"/>
    <x v="1"/>
    <x v="11"/>
    <n v="16763.236014999999"/>
  </r>
  <r>
    <x v="7"/>
    <s v="Công ty 98"/>
    <x v="4"/>
    <n v="483563636"/>
    <d v="2024-08-01T00:00:00"/>
    <x v="7"/>
    <x v="0"/>
    <s v="Bắc Trung Bộ"/>
    <x v="1"/>
    <x v="3"/>
    <n v="483.56363599999997"/>
  </r>
  <r>
    <x v="1"/>
    <s v="Công ty 25"/>
    <x v="0"/>
    <n v="19090909"/>
    <d v="2024-08-01T00:00:00"/>
    <x v="7"/>
    <x v="0"/>
    <s v="Duyên hải Nam Trung Bộ"/>
    <x v="1"/>
    <x v="0"/>
    <n v="19.090909"/>
  </r>
  <r>
    <x v="6"/>
    <s v="Công ty 9"/>
    <x v="0"/>
    <n v="13352182"/>
    <d v="2024-08-01T00:00:00"/>
    <x v="7"/>
    <x v="0"/>
    <s v="Đông Bắc Bộ"/>
    <x v="1"/>
    <x v="1"/>
    <n v="13.352182000000001"/>
  </r>
  <r>
    <x v="2"/>
    <s v="Công ty 20"/>
    <x v="0"/>
    <n v="24914500"/>
    <d v="2024-08-01T00:00:00"/>
    <x v="7"/>
    <x v="0"/>
    <s v="ĐB Sông Cửu Long"/>
    <x v="1"/>
    <x v="1"/>
    <n v="24.9145"/>
  </r>
  <r>
    <x v="46"/>
    <s v="Công ty 40"/>
    <x v="4"/>
    <n v="103676500"/>
    <d v="2024-08-01T00:00:00"/>
    <x v="7"/>
    <x v="0"/>
    <s v="ĐB Sông Cửu Long"/>
    <x v="1"/>
    <x v="3"/>
    <n v="103.6765"/>
  </r>
  <r>
    <x v="37"/>
    <s v="Công ty 29"/>
    <x v="2"/>
    <n v="29248364"/>
    <d v="2024-08-01T00:00:00"/>
    <x v="7"/>
    <x v="0"/>
    <s v="ĐB Sông Cửu Long"/>
    <x v="1"/>
    <x v="2"/>
    <n v="29.248363999999999"/>
  </r>
  <r>
    <x v="0"/>
    <s v="Công ty 43"/>
    <x v="2"/>
    <n v="4363636"/>
    <d v="2024-08-01T00:00:00"/>
    <x v="7"/>
    <x v="0"/>
    <s v="Bắc Trung Bộ"/>
    <x v="1"/>
    <x v="2"/>
    <n v="4.3636359999999996"/>
  </r>
  <r>
    <x v="17"/>
    <s v="Công ty 56"/>
    <x v="1"/>
    <n v="38215000"/>
    <d v="2024-08-01T00:00:00"/>
    <x v="7"/>
    <x v="0"/>
    <s v="Duyên hải Nam Trung Bộ"/>
    <x v="1"/>
    <x v="2"/>
    <n v="38.215000000000003"/>
  </r>
  <r>
    <x v="0"/>
    <s v="Công ty 65"/>
    <x v="0"/>
    <n v="13101818"/>
    <d v="2024-08-01T00:00:00"/>
    <x v="7"/>
    <x v="0"/>
    <s v="Bắc Trung Bộ"/>
    <x v="1"/>
    <x v="1"/>
    <n v="13.101818"/>
  </r>
  <r>
    <x v="0"/>
    <s v="Công ty 66"/>
    <x v="0"/>
    <n v="13406364"/>
    <d v="2024-08-01T00:00:00"/>
    <x v="7"/>
    <x v="0"/>
    <s v="Bắc Trung Bộ"/>
    <x v="1"/>
    <x v="1"/>
    <n v="13.406364"/>
  </r>
  <r>
    <x v="30"/>
    <s v="Công ty 1"/>
    <x v="3"/>
    <n v="21116000"/>
    <d v="2024-08-01T00:00:00"/>
    <x v="7"/>
    <x v="0"/>
    <s v="ĐB Sông Cửu Long"/>
    <x v="1"/>
    <x v="8"/>
    <n v="21.116"/>
  </r>
  <r>
    <x v="20"/>
    <s v="Công ty 13"/>
    <x v="0"/>
    <n v="25133200"/>
    <d v="2024-08-01T00:00:00"/>
    <x v="7"/>
    <x v="0"/>
    <s v="Duyên hải Nam Trung Bộ"/>
    <x v="1"/>
    <x v="1"/>
    <n v="25.133199999999999"/>
  </r>
  <r>
    <x v="31"/>
    <s v="Công ty 41"/>
    <x v="0"/>
    <n v="102263636"/>
    <d v="2024-08-01T00:00:00"/>
    <x v="7"/>
    <x v="0"/>
    <s v="Tây Nguyên"/>
    <x v="1"/>
    <x v="1"/>
    <n v="102.26363600000001"/>
  </r>
  <r>
    <x v="5"/>
    <s v="Công ty 44"/>
    <x v="0"/>
    <n v="36236364"/>
    <d v="2024-08-01T00:00:00"/>
    <x v="7"/>
    <x v="0"/>
    <s v="Đông Nam Bộ"/>
    <x v="1"/>
    <x v="0"/>
    <n v="36.236364000000002"/>
  </r>
  <r>
    <x v="32"/>
    <s v="Công ty 49"/>
    <x v="1"/>
    <n v="56263636"/>
    <d v="2024-08-01T00:00:00"/>
    <x v="7"/>
    <x v="0"/>
    <s v="ĐB Sông Cửu Long"/>
    <x v="1"/>
    <x v="2"/>
    <n v="56.263635999999998"/>
  </r>
  <r>
    <x v="14"/>
    <s v="Công ty 62"/>
    <x v="4"/>
    <n v="175200000"/>
    <d v="2024-08-01T00:00:00"/>
    <x v="7"/>
    <x v="0"/>
    <s v="ĐB Sông Hồng"/>
    <x v="1"/>
    <x v="10"/>
    <n v="175.2"/>
  </r>
  <r>
    <x v="56"/>
    <s v="Công ty 64"/>
    <x v="4"/>
    <n v="94217137"/>
    <d v="2024-08-01T00:00:00"/>
    <x v="7"/>
    <x v="0"/>
    <s v="ĐB Sông Cửu Long"/>
    <x v="1"/>
    <x v="9"/>
    <n v="94.217136999999994"/>
  </r>
  <r>
    <x v="0"/>
    <s v="Công ty 67"/>
    <x v="2"/>
    <n v="7508909"/>
    <d v="2024-08-01T00:00:00"/>
    <x v="7"/>
    <x v="0"/>
    <s v="Bắc Trung Bộ"/>
    <x v="1"/>
    <x v="1"/>
    <n v="7.5089090000000001"/>
  </r>
  <r>
    <x v="9"/>
    <s v="Công ty 12"/>
    <x v="4"/>
    <n v="193197273"/>
    <d v="2024-08-01T00:00:00"/>
    <x v="7"/>
    <x v="0"/>
    <s v="Duyên hải Nam Trung Bộ"/>
    <x v="1"/>
    <x v="10"/>
    <n v="193.197273"/>
  </r>
  <r>
    <x v="0"/>
    <s v="Công ty 19"/>
    <x v="0"/>
    <n v="9518182"/>
    <d v="2024-08-01T00:00:00"/>
    <x v="7"/>
    <x v="0"/>
    <s v="Bắc Trung Bộ"/>
    <x v="1"/>
    <x v="5"/>
    <n v="9.5181819999999995"/>
  </r>
  <r>
    <x v="19"/>
    <s v="Công ty 52"/>
    <x v="4"/>
    <n v="312545455"/>
    <d v="2024-08-01T00:00:00"/>
    <x v="7"/>
    <x v="0"/>
    <s v="Duyên hải Nam Trung Bộ"/>
    <x v="1"/>
    <x v="3"/>
    <n v="312.545455"/>
  </r>
  <r>
    <x v="14"/>
    <s v="Công ty 72"/>
    <x v="4"/>
    <n v="95000000"/>
    <d v="2024-08-01T00:00:00"/>
    <x v="7"/>
    <x v="0"/>
    <s v="ĐB Sông Hồng"/>
    <x v="1"/>
    <x v="10"/>
    <n v="95"/>
  </r>
  <r>
    <x v="14"/>
    <s v="Công ty 73"/>
    <x v="4"/>
    <n v="85000000"/>
    <d v="2024-08-01T00:00:00"/>
    <x v="7"/>
    <x v="0"/>
    <s v="ĐB Sông Hồng"/>
    <x v="1"/>
    <x v="10"/>
    <n v="85"/>
  </r>
  <r>
    <x v="47"/>
    <s v="Công ty 78"/>
    <x v="1"/>
    <n v="50629432"/>
    <d v="2024-08-01T00:00:00"/>
    <x v="7"/>
    <x v="0"/>
    <s v="Đông Bắc Bộ"/>
    <x v="1"/>
    <x v="10"/>
    <n v="50.629432000000001"/>
  </r>
  <r>
    <x v="47"/>
    <s v="Công ty 79"/>
    <x v="1"/>
    <n v="49645334"/>
    <d v="2024-08-01T00:00:00"/>
    <x v="7"/>
    <x v="0"/>
    <s v="Đông Bắc Bộ"/>
    <x v="1"/>
    <x v="10"/>
    <n v="49.645333999999998"/>
  </r>
  <r>
    <x v="29"/>
    <s v="Công ty 98"/>
    <x v="0"/>
    <n v="8309764"/>
    <d v="2024-08-01T00:00:00"/>
    <x v="7"/>
    <x v="0"/>
    <s v="ĐB Sông Cửu Long"/>
    <x v="1"/>
    <x v="1"/>
    <n v="8.3097639999999995"/>
  </r>
  <r>
    <x v="5"/>
    <s v="Công ty 21"/>
    <x v="0"/>
    <n v="17812600"/>
    <d v="2024-08-01T00:00:00"/>
    <x v="7"/>
    <x v="0"/>
    <s v="Đông Nam Bộ"/>
    <x v="1"/>
    <x v="0"/>
    <n v="17.8126"/>
  </r>
  <r>
    <x v="25"/>
    <s v="Công ty 52"/>
    <x v="2"/>
    <n v="590094400"/>
    <d v="2024-08-01T00:00:00"/>
    <x v="7"/>
    <x v="0"/>
    <s v="Tây Nguyên"/>
    <x v="1"/>
    <x v="0"/>
    <n v="590.09439999999995"/>
  </r>
  <r>
    <x v="39"/>
    <s v="Công ty 57"/>
    <x v="0"/>
    <n v="26638179"/>
    <d v="2024-08-01T00:00:00"/>
    <x v="7"/>
    <x v="0"/>
    <s v="ĐB Sông Cửu Long"/>
    <x v="1"/>
    <x v="1"/>
    <n v="26.638179000000001"/>
  </r>
  <r>
    <x v="14"/>
    <s v="Công ty 70"/>
    <x v="1"/>
    <n v="136800000"/>
    <d v="2024-08-01T00:00:00"/>
    <x v="7"/>
    <x v="0"/>
    <s v="ĐB Sông Hồng"/>
    <x v="1"/>
    <x v="2"/>
    <n v="136.80000000000001"/>
  </r>
  <r>
    <x v="41"/>
    <s v="Công ty 75"/>
    <x v="4"/>
    <n v="45272727"/>
    <d v="2024-08-01T00:00:00"/>
    <x v="7"/>
    <x v="0"/>
    <s v="Đông Bắc Bộ"/>
    <x v="1"/>
    <x v="9"/>
    <n v="45.272727000000003"/>
  </r>
  <r>
    <x v="43"/>
    <s v="Công ty 23"/>
    <x v="0"/>
    <n v="46090909"/>
    <d v="2024-08-01T00:00:00"/>
    <x v="7"/>
    <x v="0"/>
    <s v="Đông Nam Bộ"/>
    <x v="1"/>
    <x v="1"/>
    <n v="46.090909000000003"/>
  </r>
  <r>
    <x v="34"/>
    <s v="Công ty 28"/>
    <x v="1"/>
    <n v="49545455"/>
    <d v="2024-08-01T00:00:00"/>
    <x v="7"/>
    <x v="0"/>
    <s v="Tây Bắc Bộ"/>
    <x v="1"/>
    <x v="13"/>
    <n v="49.545454999999997"/>
  </r>
  <r>
    <x v="34"/>
    <s v="Công ty 29"/>
    <x v="1"/>
    <n v="59509091"/>
    <d v="2024-08-01T00:00:00"/>
    <x v="7"/>
    <x v="0"/>
    <s v="Tây Bắc Bộ"/>
    <x v="1"/>
    <x v="13"/>
    <n v="59.509090999999998"/>
  </r>
  <r>
    <x v="3"/>
    <s v="Công ty 55"/>
    <x v="4"/>
    <n v="1659844385"/>
    <d v="2024-08-01T00:00:00"/>
    <x v="7"/>
    <x v="0"/>
    <s v="ĐB Sông Cửu Long"/>
    <x v="1"/>
    <x v="3"/>
    <n v="1659.8443850000001"/>
  </r>
  <r>
    <x v="53"/>
    <s v="Công ty 65"/>
    <x v="0"/>
    <n v="22196500"/>
    <d v="2024-08-01T00:00:00"/>
    <x v="7"/>
    <x v="0"/>
    <s v="Đông Bắc Bộ"/>
    <x v="1"/>
    <x v="0"/>
    <n v="22.1965"/>
  </r>
  <r>
    <x v="43"/>
    <s v="Công ty 89"/>
    <x v="1"/>
    <n v="273927273"/>
    <d v="2024-08-01T00:00:00"/>
    <x v="7"/>
    <x v="0"/>
    <s v="Đông Nam Bộ"/>
    <x v="1"/>
    <x v="2"/>
    <n v="273.92727300000001"/>
  </r>
  <r>
    <x v="62"/>
    <s v="Công ty 91"/>
    <x v="3"/>
    <n v="119181818"/>
    <d v="2024-08-01T00:00:00"/>
    <x v="7"/>
    <x v="0"/>
    <s v="Bắc Trung Bộ"/>
    <x v="1"/>
    <x v="7"/>
    <n v="119.18181800000001"/>
  </r>
  <r>
    <x v="12"/>
    <s v="Công ty 4"/>
    <x v="0"/>
    <n v="63305455"/>
    <d v="2024-08-01T00:00:00"/>
    <x v="7"/>
    <x v="0"/>
    <s v="Tây Bắc Bộ"/>
    <x v="1"/>
    <x v="1"/>
    <n v="63.305455000000002"/>
  </r>
  <r>
    <x v="31"/>
    <s v="Công ty 9"/>
    <x v="2"/>
    <n v="81127244"/>
    <d v="2024-08-01T00:00:00"/>
    <x v="7"/>
    <x v="0"/>
    <s v="Tây Nguyên"/>
    <x v="1"/>
    <x v="1"/>
    <n v="81.127244000000005"/>
  </r>
  <r>
    <x v="41"/>
    <s v="Công ty 45"/>
    <x v="0"/>
    <n v="25059200"/>
    <d v="2024-08-01T00:00:00"/>
    <x v="7"/>
    <x v="0"/>
    <s v="Đông Bắc Bộ"/>
    <x v="1"/>
    <x v="1"/>
    <n v="25.059200000000001"/>
  </r>
  <r>
    <x v="20"/>
    <s v="Công ty 61"/>
    <x v="2"/>
    <n v="43759455"/>
    <d v="2024-08-01T00:00:00"/>
    <x v="7"/>
    <x v="0"/>
    <s v="Duyên hải Nam Trung Bộ"/>
    <x v="1"/>
    <x v="0"/>
    <n v="43.759455000000003"/>
  </r>
  <r>
    <x v="46"/>
    <s v="Công ty 80"/>
    <x v="4"/>
    <n v="460578971"/>
    <d v="2024-08-01T00:00:00"/>
    <x v="7"/>
    <x v="0"/>
    <s v="ĐB Sông Cửu Long"/>
    <x v="1"/>
    <x v="3"/>
    <n v="460.57897100000002"/>
  </r>
  <r>
    <x v="52"/>
    <s v="Công ty 16"/>
    <x v="4"/>
    <n v="132754476"/>
    <d v="2024-08-01T00:00:00"/>
    <x v="7"/>
    <x v="0"/>
    <s v="ĐB Sông Hồng"/>
    <x v="1"/>
    <x v="3"/>
    <n v="132.75447600000001"/>
  </r>
  <r>
    <x v="31"/>
    <s v="Công ty 22"/>
    <x v="0"/>
    <n v="5320000"/>
    <d v="2024-08-01T00:00:00"/>
    <x v="7"/>
    <x v="0"/>
    <s v="Tây Nguyên"/>
    <x v="1"/>
    <x v="1"/>
    <n v="5.32"/>
  </r>
  <r>
    <x v="31"/>
    <s v="Công ty 23"/>
    <x v="0"/>
    <n v="12170000"/>
    <d v="2024-08-01T00:00:00"/>
    <x v="7"/>
    <x v="0"/>
    <s v="Tây Nguyên"/>
    <x v="1"/>
    <x v="1"/>
    <n v="12.17"/>
  </r>
  <r>
    <x v="31"/>
    <s v="Công ty 24"/>
    <x v="0"/>
    <n v="4590000"/>
    <d v="2024-08-01T00:00:00"/>
    <x v="7"/>
    <x v="0"/>
    <s v="Tây Nguyên"/>
    <x v="1"/>
    <x v="1"/>
    <n v="4.59"/>
  </r>
  <r>
    <x v="27"/>
    <s v="Công ty 39"/>
    <x v="0"/>
    <n v="15532500"/>
    <d v="2024-08-01T00:00:00"/>
    <x v="7"/>
    <x v="0"/>
    <s v="Bắc Trung Bộ"/>
    <x v="1"/>
    <x v="1"/>
    <n v="15.532500000000001"/>
  </r>
  <r>
    <x v="5"/>
    <s v="Công ty 40"/>
    <x v="0"/>
    <n v="48363636"/>
    <d v="2024-08-01T00:00:00"/>
    <x v="7"/>
    <x v="0"/>
    <s v="Đông Nam Bộ"/>
    <x v="1"/>
    <x v="1"/>
    <n v="48.363636"/>
  </r>
  <r>
    <x v="5"/>
    <s v="Công ty 41"/>
    <x v="0"/>
    <n v="61905455"/>
    <d v="2024-08-01T00:00:00"/>
    <x v="7"/>
    <x v="0"/>
    <s v="Đông Nam Bộ"/>
    <x v="1"/>
    <x v="1"/>
    <n v="61.905455000000003"/>
  </r>
  <r>
    <x v="19"/>
    <s v="Công ty 84"/>
    <x v="2"/>
    <n v="80909091"/>
    <d v="2024-08-01T00:00:00"/>
    <x v="7"/>
    <x v="0"/>
    <s v="Duyên hải Nam Trung Bộ"/>
    <x v="1"/>
    <x v="1"/>
    <n v="80.909091000000004"/>
  </r>
  <r>
    <x v="10"/>
    <s v="Công ty 86"/>
    <x v="0"/>
    <n v="30600000"/>
    <d v="2024-08-01T00:00:00"/>
    <x v="7"/>
    <x v="0"/>
    <s v="Duyên hải Nam Trung Bộ"/>
    <x v="1"/>
    <x v="0"/>
    <n v="30.6"/>
  </r>
  <r>
    <x v="15"/>
    <s v="Công ty 97"/>
    <x v="4"/>
    <n v="117363636"/>
    <d v="2024-08-01T00:00:00"/>
    <x v="7"/>
    <x v="0"/>
    <s v="Duyên hải Nam Trung Bộ"/>
    <x v="1"/>
    <x v="3"/>
    <n v="117.363636"/>
  </r>
  <r>
    <x v="15"/>
    <s v="Công ty 98"/>
    <x v="4"/>
    <n v="37272727"/>
    <d v="2024-08-01T00:00:00"/>
    <x v="7"/>
    <x v="0"/>
    <s v="Duyên hải Nam Trung Bộ"/>
    <x v="1"/>
    <x v="3"/>
    <n v="37.272727000000003"/>
  </r>
  <r>
    <x v="53"/>
    <s v="Doanh nghiệp 4"/>
    <x v="4"/>
    <n v="87159091"/>
    <d v="2024-08-01T00:00:00"/>
    <x v="7"/>
    <x v="0"/>
    <s v="Đông Bắc Bộ"/>
    <x v="1"/>
    <x v="9"/>
    <n v="87.159091000000004"/>
  </r>
  <r>
    <x v="53"/>
    <s v="Doanh nghiệp 3"/>
    <x v="0"/>
    <n v="28363636"/>
    <d v="2024-08-01T00:00:00"/>
    <x v="7"/>
    <x v="0"/>
    <s v="Đông Bắc Bộ"/>
    <x v="1"/>
    <x v="1"/>
    <n v="28.363636"/>
  </r>
  <r>
    <x v="38"/>
    <s v="Doanh nghiệp 10"/>
    <x v="4"/>
    <n v="190000000"/>
    <d v="2024-08-01T00:00:00"/>
    <x v="7"/>
    <x v="0"/>
    <s v="Tây Nguyên"/>
    <x v="1"/>
    <x v="3"/>
    <n v="190"/>
  </r>
  <r>
    <x v="47"/>
    <s v="Doanh nghiệp 12"/>
    <x v="2"/>
    <n v="22241518"/>
    <d v="2024-08-01T00:00:00"/>
    <x v="7"/>
    <x v="0"/>
    <s v="Đông Bắc Bộ"/>
    <x v="1"/>
    <x v="2"/>
    <n v="22.241517999999999"/>
  </r>
  <r>
    <x v="46"/>
    <s v="Doanh nghiệp 17"/>
    <x v="1"/>
    <n v="63876000"/>
    <d v="2024-08-01T00:00:00"/>
    <x v="7"/>
    <x v="0"/>
    <s v="ĐB Sông Cửu Long"/>
    <x v="1"/>
    <x v="11"/>
    <n v="63.875999999999998"/>
  </r>
  <r>
    <x v="38"/>
    <s v="Doanh nghiệp 18"/>
    <x v="1"/>
    <n v="472272727"/>
    <d v="2024-08-01T00:00:00"/>
    <x v="7"/>
    <x v="0"/>
    <s v="Tây Nguyên"/>
    <x v="1"/>
    <x v="12"/>
    <n v="472.27272699999997"/>
  </r>
  <r>
    <x v="40"/>
    <s v="Doanh nghiệp 4"/>
    <x v="4"/>
    <n v="66347091"/>
    <d v="2024-08-01T00:00:00"/>
    <x v="7"/>
    <x v="0"/>
    <s v="ĐB Sông Cửu Long"/>
    <x v="1"/>
    <x v="3"/>
    <n v="66.347091000000006"/>
  </r>
  <r>
    <x v="40"/>
    <s v="Doanh nghiệp 9"/>
    <x v="2"/>
    <n v="11045455"/>
    <d v="2024-08-01T00:00:00"/>
    <x v="7"/>
    <x v="0"/>
    <s v="ĐB Sông Cửu Long"/>
    <x v="1"/>
    <x v="2"/>
    <n v="11.045455"/>
  </r>
  <r>
    <x v="34"/>
    <s v="Doanh nghiệp 28"/>
    <x v="1"/>
    <n v="74656364"/>
    <d v="2024-08-01T00:00:00"/>
    <x v="7"/>
    <x v="0"/>
    <s v="Tây Bắc Bộ"/>
    <x v="1"/>
    <x v="13"/>
    <n v="74.656363999999996"/>
  </r>
  <r>
    <x v="56"/>
    <s v="Doanh nghiệp 12"/>
    <x v="1"/>
    <n v="23321818"/>
    <d v="2024-08-01T00:00:00"/>
    <x v="7"/>
    <x v="0"/>
    <s v="ĐB Sông Cửu Long"/>
    <x v="1"/>
    <x v="2"/>
    <n v="23.321818"/>
  </r>
  <r>
    <x v="56"/>
    <s v="Doanh nghiệp 13"/>
    <x v="1"/>
    <n v="137036364"/>
    <d v="2024-08-01T00:00:00"/>
    <x v="7"/>
    <x v="0"/>
    <s v="ĐB Sông Cửu Long"/>
    <x v="1"/>
    <x v="2"/>
    <n v="137.03636399999999"/>
  </r>
  <r>
    <x v="12"/>
    <s v="Doanh nghiệp 14"/>
    <x v="0"/>
    <n v="11375455"/>
    <d v="2024-08-01T00:00:00"/>
    <x v="7"/>
    <x v="0"/>
    <s v="Tây Bắc Bộ"/>
    <x v="1"/>
    <x v="1"/>
    <n v="11.375455000000001"/>
  </r>
  <r>
    <x v="30"/>
    <s v="Doanh nghiệp 28"/>
    <x v="2"/>
    <n v="29554691"/>
    <d v="2024-08-01T00:00:00"/>
    <x v="7"/>
    <x v="0"/>
    <s v="ĐB Sông Cửu Long"/>
    <x v="1"/>
    <x v="1"/>
    <n v="29.554690999999998"/>
  </r>
  <r>
    <x v="30"/>
    <s v="Doanh nghiệp 29"/>
    <x v="0"/>
    <n v="73623080"/>
    <d v="2024-08-01T00:00:00"/>
    <x v="7"/>
    <x v="0"/>
    <s v="ĐB Sông Cửu Long"/>
    <x v="1"/>
    <x v="0"/>
    <n v="73.623080000000002"/>
  </r>
  <r>
    <x v="30"/>
    <s v="Doanh nghiệp 30"/>
    <x v="2"/>
    <n v="203340909"/>
    <d v="2024-08-01T00:00:00"/>
    <x v="7"/>
    <x v="0"/>
    <s v="ĐB Sông Cửu Long"/>
    <x v="1"/>
    <x v="0"/>
    <n v="203.34090900000001"/>
  </r>
  <r>
    <x v="1"/>
    <s v="Doanh nghiệp 14"/>
    <x v="0"/>
    <n v="905402409"/>
    <d v="2024-08-01T00:00:00"/>
    <x v="7"/>
    <x v="0"/>
    <s v="Duyên hải Nam Trung Bộ"/>
    <x v="1"/>
    <x v="1"/>
    <n v="905.40240900000003"/>
  </r>
  <r>
    <x v="20"/>
    <s v="Doanh nghiệp 16"/>
    <x v="2"/>
    <n v="18577273"/>
    <d v="2024-08-01T00:00:00"/>
    <x v="7"/>
    <x v="0"/>
    <s v="Duyên hải Nam Trung Bộ"/>
    <x v="1"/>
    <x v="0"/>
    <n v="18.577273000000002"/>
  </r>
  <r>
    <x v="31"/>
    <s v="Tập đoàn 1"/>
    <x v="1"/>
    <n v="21300000"/>
    <d v="2024-08-01T00:00:00"/>
    <x v="7"/>
    <x v="0"/>
    <s v="Tây Nguyên"/>
    <x v="1"/>
    <x v="2"/>
    <n v="21.3"/>
  </r>
  <r>
    <x v="35"/>
    <s v="Tập đoàn 28"/>
    <x v="0"/>
    <n v="281690503"/>
    <d v="2024-08-01T00:00:00"/>
    <x v="7"/>
    <x v="0"/>
    <s v="Đông Bắc Bộ"/>
    <x v="1"/>
    <x v="1"/>
    <n v="281.69050299999998"/>
  </r>
  <r>
    <x v="35"/>
    <s v="Tập đoàn 30"/>
    <x v="3"/>
    <n v="295480000"/>
    <d v="2024-08-01T00:00:00"/>
    <x v="7"/>
    <x v="0"/>
    <s v="Đông Bắc Bộ"/>
    <x v="1"/>
    <x v="18"/>
    <n v="295.48"/>
  </r>
  <r>
    <x v="54"/>
    <s v="Tập đoàn 33"/>
    <x v="2"/>
    <n v="19178491"/>
    <d v="2024-08-01T00:00:00"/>
    <x v="7"/>
    <x v="0"/>
    <s v="Tây Bắc Bộ"/>
    <x v="1"/>
    <x v="4"/>
    <n v="19.178491000000001"/>
  </r>
  <r>
    <x v="51"/>
    <s v="Tập đoàn 48"/>
    <x v="0"/>
    <n v="60391455"/>
    <d v="2024-08-01T00:00:00"/>
    <x v="7"/>
    <x v="0"/>
    <s v="ĐB Sông Hồng"/>
    <x v="1"/>
    <x v="1"/>
    <n v="60.391455000000001"/>
  </r>
  <r>
    <x v="0"/>
    <s v="Tập đoàn 66"/>
    <x v="2"/>
    <n v="20146909"/>
    <d v="2024-08-01T00:00:00"/>
    <x v="7"/>
    <x v="0"/>
    <s v="Bắc Trung Bộ"/>
    <x v="1"/>
    <x v="13"/>
    <n v="20.146909000000001"/>
  </r>
  <r>
    <x v="0"/>
    <s v="Tập đoàn 67"/>
    <x v="1"/>
    <n v="38330000"/>
    <d v="2024-08-01T00:00:00"/>
    <x v="7"/>
    <x v="0"/>
    <s v="Bắc Trung Bộ"/>
    <x v="1"/>
    <x v="4"/>
    <n v="38.33"/>
  </r>
  <r>
    <x v="0"/>
    <s v="Tập đoàn 68"/>
    <x v="2"/>
    <n v="36312364"/>
    <d v="2024-08-01T00:00:00"/>
    <x v="7"/>
    <x v="0"/>
    <s v="Bắc Trung Bộ"/>
    <x v="1"/>
    <x v="0"/>
    <n v="36.312364000000002"/>
  </r>
  <r>
    <x v="24"/>
    <s v="Tập đoàn 81"/>
    <x v="1"/>
    <n v="114500000"/>
    <d v="2024-08-01T00:00:00"/>
    <x v="7"/>
    <x v="0"/>
    <s v="ĐB Sông Hồng"/>
    <x v="1"/>
    <x v="11"/>
    <n v="114.5"/>
  </r>
  <r>
    <x v="34"/>
    <s v="Tập đoàn 80"/>
    <x v="0"/>
    <n v="295203000"/>
    <d v="2024-08-01T00:00:00"/>
    <x v="7"/>
    <x v="0"/>
    <s v="Tây Bắc Bộ"/>
    <x v="1"/>
    <x v="5"/>
    <n v="295.20299999999997"/>
  </r>
  <r>
    <x v="34"/>
    <s v="Tập đoàn 81"/>
    <x v="0"/>
    <n v="295203000"/>
    <d v="2024-08-01T00:00:00"/>
    <x v="7"/>
    <x v="0"/>
    <s v="Tây Bắc Bộ"/>
    <x v="1"/>
    <x v="5"/>
    <n v="295.20299999999997"/>
  </r>
  <r>
    <x v="29"/>
    <s v="Tập đoàn 87"/>
    <x v="2"/>
    <n v="56844545"/>
    <d v="2024-08-01T00:00:00"/>
    <x v="7"/>
    <x v="0"/>
    <s v="ĐB Sông Cửu Long"/>
    <x v="1"/>
    <x v="5"/>
    <n v="56.844544999999997"/>
  </r>
  <r>
    <x v="53"/>
    <s v="Tập đoàn 94"/>
    <x v="4"/>
    <n v="63636364"/>
    <d v="2024-08-01T00:00:00"/>
    <x v="7"/>
    <x v="0"/>
    <s v="Đông Bắc Bộ"/>
    <x v="1"/>
    <x v="9"/>
    <n v="63.636364"/>
  </r>
  <r>
    <x v="28"/>
    <s v="Tập đoàn 92"/>
    <x v="1"/>
    <n v="62219393"/>
    <d v="2024-08-01T00:00:00"/>
    <x v="7"/>
    <x v="0"/>
    <s v="ĐB Sông Hồng"/>
    <x v="1"/>
    <x v="10"/>
    <n v="62.219392999999997"/>
  </r>
  <r>
    <x v="53"/>
    <s v="Tập đoàn 91"/>
    <x v="1"/>
    <n v="1220001674"/>
    <d v="2024-08-01T00:00:00"/>
    <x v="7"/>
    <x v="0"/>
    <s v="Đông Bắc Bộ"/>
    <x v="1"/>
    <x v="11"/>
    <n v="1220.0016740000001"/>
  </r>
  <r>
    <x v="38"/>
    <s v="Tập đoàn 93"/>
    <x v="0"/>
    <n v="82644628"/>
    <d v="2024-08-01T00:00:00"/>
    <x v="7"/>
    <x v="0"/>
    <s v="Tây Nguyên"/>
    <x v="1"/>
    <x v="14"/>
    <n v="82.644627999999997"/>
  </r>
  <r>
    <x v="29"/>
    <s v="BỘ CHỈ HUY BỘ ĐỘI BIÊN PHÒNG TIỀN GIANG"/>
    <x v="0"/>
    <n v="85000000"/>
    <d v="2024-08-01T00:00:00"/>
    <x v="7"/>
    <x v="0"/>
    <s v="ĐB Sông Cửu Long"/>
    <x v="2"/>
    <x v="5"/>
    <n v="85"/>
  </r>
  <r>
    <x v="29"/>
    <s v="BỘ CHỈ HUY BỘ ĐỘI BIÊN PHÒNG TIỀN GIANG"/>
    <x v="0"/>
    <n v="43363000"/>
    <d v="2024-08-01T00:00:00"/>
    <x v="7"/>
    <x v="0"/>
    <s v="ĐB Sông Cửu Long"/>
    <x v="2"/>
    <x v="1"/>
    <n v="43.363"/>
  </r>
  <r>
    <x v="38"/>
    <s v="BỘ CHỈ HUY BỘ ĐỘI BIÊN PHÒNG TỈNH GIA LAI"/>
    <x v="3"/>
    <n v="745728545"/>
    <d v="2024-08-01T00:00:00"/>
    <x v="7"/>
    <x v="0"/>
    <s v="Tây Nguyên"/>
    <x v="2"/>
    <x v="7"/>
    <n v="745.72854500000005"/>
  </r>
  <r>
    <x v="32"/>
    <s v="Bộ Chỉ Huy Quân Sự Tỉnh Đồng Tháp"/>
    <x v="0"/>
    <n v="163363636"/>
    <d v="2024-08-01T00:00:00"/>
    <x v="7"/>
    <x v="0"/>
    <s v="ĐB Sông Cửu Long"/>
    <x v="2"/>
    <x v="0"/>
    <n v="163.36363600000001"/>
  </r>
  <r>
    <x v="42"/>
    <s v="Công ty 71"/>
    <x v="4"/>
    <n v="211909091"/>
    <d v="2024-08-01T00:00:00"/>
    <x v="7"/>
    <x v="0"/>
    <s v="Tây Bắc Bộ"/>
    <x v="1"/>
    <x v="9"/>
    <n v="211.90909099999999"/>
  </r>
  <r>
    <x v="42"/>
    <s v="Công ty 72"/>
    <x v="4"/>
    <n v="211909091"/>
    <d v="2024-08-01T00:00:00"/>
    <x v="7"/>
    <x v="0"/>
    <s v="Tây Bắc Bộ"/>
    <x v="1"/>
    <x v="9"/>
    <n v="211.90909099999999"/>
  </r>
  <r>
    <x v="42"/>
    <s v="Công ty 73"/>
    <x v="4"/>
    <n v="1945455"/>
    <d v="2024-08-01T00:00:00"/>
    <x v="7"/>
    <x v="0"/>
    <s v="Tây Bắc Bộ"/>
    <x v="1"/>
    <x v="9"/>
    <n v="1.9454549999999999"/>
  </r>
  <r>
    <x v="42"/>
    <s v="Công ty 74"/>
    <x v="4"/>
    <n v="31254545"/>
    <d v="2024-08-01T00:00:00"/>
    <x v="7"/>
    <x v="0"/>
    <s v="Tây Bắc Bộ"/>
    <x v="1"/>
    <x v="9"/>
    <n v="31.254545"/>
  </r>
  <r>
    <x v="42"/>
    <s v="Công ty 77"/>
    <x v="4"/>
    <n v="211909091"/>
    <d v="2024-08-01T00:00:00"/>
    <x v="7"/>
    <x v="0"/>
    <s v="Tây Bắc Bộ"/>
    <x v="1"/>
    <x v="9"/>
    <n v="211.90909099999999"/>
  </r>
  <r>
    <x v="33"/>
    <s v="CÔNG AN HUYỆN VIỆT YÊN"/>
    <x v="0"/>
    <n v="44050000"/>
    <d v="2024-08-01T00:00:00"/>
    <x v="7"/>
    <x v="0"/>
    <s v="Đông Bắc Bộ"/>
    <x v="2"/>
    <x v="1"/>
    <n v="44.05"/>
  </r>
  <r>
    <x v="55"/>
    <s v="Công An Thành Phố Hải Phòng"/>
    <x v="1"/>
    <n v="51636364"/>
    <d v="2024-08-01T00:00:00"/>
    <x v="7"/>
    <x v="0"/>
    <s v="ĐB Sông Hồng"/>
    <x v="2"/>
    <x v="15"/>
    <n v="51.636364"/>
  </r>
  <r>
    <x v="13"/>
    <s v="Công An Xã Kim Nọi"/>
    <x v="2"/>
    <n v="8490909"/>
    <d v="2024-08-01T00:00:00"/>
    <x v="7"/>
    <x v="0"/>
    <s v="Tây Bắc Bộ"/>
    <x v="2"/>
    <x v="1"/>
    <n v="8.4909090000000003"/>
  </r>
  <r>
    <x v="53"/>
    <s v="ĐOÀN TNCS HỒ CHÍ MINH TỈNH BẮC KẠN"/>
    <x v="4"/>
    <n v="36818182"/>
    <d v="2024-08-01T00:00:00"/>
    <x v="7"/>
    <x v="0"/>
    <s v="Đông Bắc Bộ"/>
    <x v="2"/>
    <x v="9"/>
    <n v="36.818182"/>
  </r>
  <r>
    <x v="13"/>
    <s v="Công ty 21"/>
    <x v="0"/>
    <n v="81596818"/>
    <d v="2024-08-01T00:00:00"/>
    <x v="7"/>
    <x v="0"/>
    <s v="Tây Bắc Bộ"/>
    <x v="1"/>
    <x v="0"/>
    <n v="81.596817999999999"/>
  </r>
  <r>
    <x v="27"/>
    <s v="Ngân Hàng Chính Sách Xã Hội Chi Nhánh Tỉnh Hà Tĩnh"/>
    <x v="2"/>
    <n v="11818182"/>
    <d v="2024-08-01T00:00:00"/>
    <x v="7"/>
    <x v="0"/>
    <s v="Bắc Trung Bộ"/>
    <x v="3"/>
    <x v="6"/>
    <n v="11.818182"/>
  </r>
  <r>
    <x v="32"/>
    <s v="Ngân Hàng Nhà Nước Chi Nhánh Tỉnh Đồng Tháp"/>
    <x v="0"/>
    <n v="9918182"/>
    <d v="2024-08-01T00:00:00"/>
    <x v="7"/>
    <x v="0"/>
    <s v="ĐB Sông Cửu Long"/>
    <x v="3"/>
    <x v="0"/>
    <n v="9.9181819999999998"/>
  </r>
  <r>
    <x v="54"/>
    <s v="PHÒNG DÂN TỘC HUYỆN VĂN BÀN"/>
    <x v="1"/>
    <n v="856836364"/>
    <d v="2024-08-01T00:00:00"/>
    <x v="7"/>
    <x v="0"/>
    <s v="Tây Bắc Bộ"/>
    <x v="2"/>
    <x v="13"/>
    <n v="856.836364"/>
  </r>
  <r>
    <x v="35"/>
    <s v="Phòng Giao Dịch Ngân Hàng Chính Sách Xã Hội (nhcsxh) Huyện Văn Lãng"/>
    <x v="0"/>
    <n v="1928000"/>
    <d v="2024-08-01T00:00:00"/>
    <x v="7"/>
    <x v="0"/>
    <s v="Đông Bắc Bộ"/>
    <x v="3"/>
    <x v="1"/>
    <n v="1.9279999999999999"/>
  </r>
  <r>
    <x v="18"/>
    <s v="Phòng Văn Hoá Thông Tin Huyện Đắk Mil"/>
    <x v="0"/>
    <n v="45393636"/>
    <d v="2024-08-01T00:00:00"/>
    <x v="7"/>
    <x v="0"/>
    <s v="Tây Nguyên"/>
    <x v="2"/>
    <x v="1"/>
    <n v="45.393636000000001"/>
  </r>
  <r>
    <x v="8"/>
    <s v="Quân Khu 7"/>
    <x v="0"/>
    <n v="3465454545"/>
    <d v="2024-08-01T00:00:00"/>
    <x v="7"/>
    <x v="0"/>
    <s v="Đông Nam Bộ"/>
    <x v="2"/>
    <x v="5"/>
    <n v="3465.4545450000001"/>
  </r>
  <r>
    <x v="33"/>
    <s v="SỞ GIÁO DỤC VÀ ĐÀO TẠO BẮC GIANG"/>
    <x v="1"/>
    <n v="45000000"/>
    <d v="2024-08-01T00:00:00"/>
    <x v="7"/>
    <x v="0"/>
    <s v="Đông Bắc Bộ"/>
    <x v="2"/>
    <x v="2"/>
    <n v="45"/>
  </r>
  <r>
    <x v="33"/>
    <s v="SỞ GIÁO DỤC VÀ ĐÀO TẠO BẮC GIANG"/>
    <x v="2"/>
    <n v="40036000"/>
    <d v="2024-08-01T00:00:00"/>
    <x v="7"/>
    <x v="0"/>
    <s v="Đông Bắc Bộ"/>
    <x v="2"/>
    <x v="2"/>
    <n v="40.036000000000001"/>
  </r>
  <r>
    <x v="47"/>
    <s v="Thôn 11 Xã Lưỡng Vượng"/>
    <x v="3"/>
    <n v="31432727"/>
    <d v="2024-08-01T00:00:00"/>
    <x v="7"/>
    <x v="0"/>
    <s v="Đông Bắc Bộ"/>
    <x v="2"/>
    <x v="18"/>
    <n v="31.432727"/>
  </r>
  <r>
    <x v="29"/>
    <s v="Trung Tâm Chính Trị Huyện Cái Bè"/>
    <x v="1"/>
    <n v="190012045"/>
    <d v="2024-08-01T00:00:00"/>
    <x v="7"/>
    <x v="0"/>
    <s v="ĐB Sông Cửu Long"/>
    <x v="2"/>
    <x v="2"/>
    <n v="190.012045"/>
  </r>
  <r>
    <x v="30"/>
    <s v="Trung Tâm Văn Hoá - Thể Thao Và Truyền Thanh Huyện Chợ Mới"/>
    <x v="2"/>
    <n v="54550000"/>
    <d v="2024-08-01T00:00:00"/>
    <x v="7"/>
    <x v="0"/>
    <s v="ĐB Sông Cửu Long"/>
    <x v="2"/>
    <x v="10"/>
    <n v="54.55"/>
  </r>
  <r>
    <x v="17"/>
    <s v="Trung Tâm Y Tế Huyện Sông Hinh"/>
    <x v="0"/>
    <n v="75375000"/>
    <d v="2024-08-01T00:00:00"/>
    <x v="7"/>
    <x v="0"/>
    <s v="Duyên hải Nam Trung Bộ"/>
    <x v="2"/>
    <x v="5"/>
    <n v="75.375"/>
  </r>
  <r>
    <x v="6"/>
    <s v="Trung tâm y tế huyện Tân Sơn"/>
    <x v="2"/>
    <n v="83448818"/>
    <d v="2024-08-01T00:00:00"/>
    <x v="7"/>
    <x v="0"/>
    <s v="Đông Bắc Bộ"/>
    <x v="2"/>
    <x v="2"/>
    <n v="83.448818000000003"/>
  </r>
  <r>
    <x v="51"/>
    <s v="Trung Tâm Y Tế Huyện Trực Ninh"/>
    <x v="0"/>
    <n v="77952000"/>
    <d v="2024-08-01T00:00:00"/>
    <x v="7"/>
    <x v="0"/>
    <s v="ĐB Sông Hồng"/>
    <x v="2"/>
    <x v="5"/>
    <n v="77.951999999999998"/>
  </r>
  <r>
    <x v="0"/>
    <s v="Ubnd Huyện Quỳnh Lưu"/>
    <x v="3"/>
    <n v="45002727"/>
    <d v="2024-08-01T00:00:00"/>
    <x v="7"/>
    <x v="0"/>
    <s v="Bắc Trung Bộ"/>
    <x v="2"/>
    <x v="7"/>
    <n v="45.002727"/>
  </r>
  <r>
    <x v="27"/>
    <s v="UBND PHƯỜNG NGUYỄN DU"/>
    <x v="1"/>
    <n v="13636364"/>
    <d v="2024-08-01T00:00:00"/>
    <x v="7"/>
    <x v="0"/>
    <s v="Bắc Trung Bộ"/>
    <x v="2"/>
    <x v="2"/>
    <n v="13.636364"/>
  </r>
  <r>
    <x v="20"/>
    <s v="UBND PHƯỜNG PHÚ TÀI"/>
    <x v="1"/>
    <n v="69909091"/>
    <d v="2024-08-01T00:00:00"/>
    <x v="7"/>
    <x v="0"/>
    <s v="Duyên hải Nam Trung Bộ"/>
    <x v="2"/>
    <x v="13"/>
    <n v="69.909091000000004"/>
  </r>
  <r>
    <x v="10"/>
    <s v="UBND PHƯỜNG PHƯỚC HOÀ"/>
    <x v="0"/>
    <n v="88172000"/>
    <d v="2024-08-01T00:00:00"/>
    <x v="7"/>
    <x v="0"/>
    <s v="Duyên hải Nam Trung Bộ"/>
    <x v="2"/>
    <x v="1"/>
    <n v="88.171999999999997"/>
  </r>
  <r>
    <x v="14"/>
    <s v="UBND Quận Bắc Từ Liêm"/>
    <x v="0"/>
    <n v="285872727"/>
    <d v="2024-08-01T00:00:00"/>
    <x v="7"/>
    <x v="0"/>
    <s v="ĐB Sông Hồng"/>
    <x v="2"/>
    <x v="0"/>
    <n v="285.872727"/>
  </r>
  <r>
    <x v="34"/>
    <s v="UBND XÃ CHIỀNG ĐEN"/>
    <x v="1"/>
    <n v="103208690"/>
    <d v="2024-08-01T00:00:00"/>
    <x v="7"/>
    <x v="0"/>
    <s v="Tây Bắc Bộ"/>
    <x v="2"/>
    <x v="13"/>
    <n v="103.20869"/>
  </r>
  <r>
    <x v="53"/>
    <s v="UBND XÃ CƯ LỄ"/>
    <x v="4"/>
    <n v="54511856"/>
    <d v="2024-08-01T00:00:00"/>
    <x v="7"/>
    <x v="0"/>
    <s v="Đông Bắc Bộ"/>
    <x v="2"/>
    <x v="9"/>
    <n v="54.511856000000002"/>
  </r>
  <r>
    <x v="58"/>
    <s v="UBND XÃ ĐĂK CHOONG"/>
    <x v="4"/>
    <n v="22500000"/>
    <d v="2024-08-01T00:00:00"/>
    <x v="7"/>
    <x v="0"/>
    <s v="Tây Nguyên"/>
    <x v="2"/>
    <x v="9"/>
    <n v="22.5"/>
  </r>
  <r>
    <x v="58"/>
    <s v="UBND XÃ ĐĂK MÔN"/>
    <x v="4"/>
    <n v="36363636"/>
    <d v="2024-08-01T00:00:00"/>
    <x v="7"/>
    <x v="0"/>
    <s v="Tây Nguyên"/>
    <x v="2"/>
    <x v="9"/>
    <n v="36.363636"/>
  </r>
  <r>
    <x v="58"/>
    <s v="UBND XÃ ĐĂK MÔN"/>
    <x v="4"/>
    <n v="45454545"/>
    <d v="2024-08-01T00:00:00"/>
    <x v="7"/>
    <x v="0"/>
    <s v="Tây Nguyên"/>
    <x v="2"/>
    <x v="9"/>
    <n v="45.454545000000003"/>
  </r>
  <r>
    <x v="39"/>
    <s v="UBND XÃ ĐÔNG BÌNH"/>
    <x v="0"/>
    <n v="90106000"/>
    <d v="2024-08-01T00:00:00"/>
    <x v="7"/>
    <x v="0"/>
    <s v="ĐB Sông Cửu Long"/>
    <x v="2"/>
    <x v="1"/>
    <n v="90.105999999999995"/>
  </r>
  <r>
    <x v="40"/>
    <s v="UBND XÃ HƯNG MỸ HUYỆN CHÂU THÀNH"/>
    <x v="1"/>
    <n v="49312727"/>
    <d v="2024-08-01T00:00:00"/>
    <x v="7"/>
    <x v="0"/>
    <s v="ĐB Sông Cửu Long"/>
    <x v="2"/>
    <x v="13"/>
    <n v="49.312727000000002"/>
  </r>
  <r>
    <x v="47"/>
    <s v="UBND XÃ NHỮ HÁN"/>
    <x v="4"/>
    <n v="90839382"/>
    <d v="2024-08-01T00:00:00"/>
    <x v="7"/>
    <x v="0"/>
    <s v="Đông Bắc Bộ"/>
    <x v="2"/>
    <x v="9"/>
    <n v="90.839382000000001"/>
  </r>
  <r>
    <x v="41"/>
    <s v="Uỷ Ban Dân Dân Xã Mã Ba"/>
    <x v="1"/>
    <n v="88945455"/>
    <d v="2024-08-01T00:00:00"/>
    <x v="7"/>
    <x v="0"/>
    <s v="Đông Bắc Bộ"/>
    <x v="2"/>
    <x v="10"/>
    <n v="88.945454999999995"/>
  </r>
  <r>
    <x v="40"/>
    <s v="Ủy Ban Nhân Dân Xã Đông Hải"/>
    <x v="0"/>
    <n v="44672273"/>
    <d v="2024-08-01T00:00:00"/>
    <x v="7"/>
    <x v="0"/>
    <s v="ĐB Sông Cửu Long"/>
    <x v="2"/>
    <x v="1"/>
    <n v="44.672272999999997"/>
  </r>
  <r>
    <x v="35"/>
    <s v="Uỷ Ban Nhân Dân Xã Hữu Liên"/>
    <x v="4"/>
    <n v="36505000"/>
    <d v="2024-08-01T00:00:00"/>
    <x v="7"/>
    <x v="0"/>
    <s v="Đông Bắc Bộ"/>
    <x v="2"/>
    <x v="9"/>
    <n v="36.505000000000003"/>
  </r>
  <r>
    <x v="39"/>
    <s v="ỦY BAN NHÂN DÂN XÃ HỰU THÀNH"/>
    <x v="4"/>
    <n v="77208182"/>
    <d v="2024-08-01T00:00:00"/>
    <x v="7"/>
    <x v="0"/>
    <s v="ĐB Sông Cửu Long"/>
    <x v="2"/>
    <x v="9"/>
    <n v="77.208181999999994"/>
  </r>
  <r>
    <x v="41"/>
    <s v="Ủy Ban Nhân Dân Xã Lũng Nặm"/>
    <x v="1"/>
    <n v="88945455"/>
    <d v="2024-08-01T00:00:00"/>
    <x v="7"/>
    <x v="0"/>
    <s v="Đông Bắc Bộ"/>
    <x v="2"/>
    <x v="10"/>
    <n v="88.945454999999995"/>
  </r>
  <r>
    <x v="6"/>
    <s v="Ủy Ban Nhân Dân Xã Phượng Vỹ"/>
    <x v="4"/>
    <n v="397825455"/>
    <d v="2024-08-01T00:00:00"/>
    <x v="7"/>
    <x v="0"/>
    <s v="Đông Bắc Bộ"/>
    <x v="2"/>
    <x v="9"/>
    <n v="397.82545499999998"/>
  </r>
  <r>
    <x v="45"/>
    <s v="Uỷ Ban Nhân Dân Xã Song Phụng"/>
    <x v="4"/>
    <n v="72727273"/>
    <d v="2024-08-01T00:00:00"/>
    <x v="7"/>
    <x v="0"/>
    <s v="ĐB Sông Cửu Long"/>
    <x v="2"/>
    <x v="3"/>
    <n v="72.727272999999997"/>
  </r>
  <r>
    <x v="6"/>
    <s v="ỦY BAN NHÂN DÂN XÃ TIÊN LƯƠNG"/>
    <x v="4"/>
    <n v="423190000"/>
    <d v="2024-08-01T00:00:00"/>
    <x v="7"/>
    <x v="0"/>
    <s v="Đông Bắc Bộ"/>
    <x v="2"/>
    <x v="9"/>
    <n v="423.19"/>
  </r>
  <r>
    <x v="6"/>
    <s v="Ủy Ban Nhân Dân Xã Vĩnh Lại"/>
    <x v="2"/>
    <n v="21797273"/>
    <d v="2024-08-01T00:00:00"/>
    <x v="7"/>
    <x v="0"/>
    <s v="Đông Bắc Bộ"/>
    <x v="2"/>
    <x v="16"/>
    <n v="21.797273000000001"/>
  </r>
  <r>
    <x v="2"/>
    <s v="VĂN PHÒNG HUYỆN ỦY CỜ ĐỎ"/>
    <x v="0"/>
    <n v="90417500"/>
    <d v="2024-08-01T00:00:00"/>
    <x v="7"/>
    <x v="0"/>
    <s v="ĐB Sông Cửu Long"/>
    <x v="2"/>
    <x v="0"/>
    <n v="90.417500000000004"/>
  </r>
  <r>
    <x v="27"/>
    <s v="VĂN PHÒNG UBND HUYỆN"/>
    <x v="0"/>
    <n v="705830000"/>
    <d v="2024-08-01T00:00:00"/>
    <x v="7"/>
    <x v="0"/>
    <s v="Bắc Trung Bộ"/>
    <x v="2"/>
    <x v="5"/>
    <n v="705.83"/>
  </r>
  <r>
    <x v="0"/>
    <s v="VIỆN KIỂM SÁT NHÂN DÂN TỈNH NGHỆ AN"/>
    <x v="2"/>
    <n v="22421818"/>
    <d v="2024-08-01T00:00:00"/>
    <x v="7"/>
    <x v="0"/>
    <s v="Bắc Trung Bộ"/>
    <x v="2"/>
    <x v="10"/>
    <n v="22.421817999999998"/>
  </r>
  <r>
    <x v="38"/>
    <s v="Trường Mẫu Giáo Bông Hồng 1"/>
    <x v="3"/>
    <n v="32727273"/>
    <d v="2024-08-01T00:00:00"/>
    <x v="7"/>
    <x v="0"/>
    <s v="Tây Nguyên"/>
    <x v="4"/>
    <x v="7"/>
    <n v="32.727272999999997"/>
  </r>
  <r>
    <x v="13"/>
    <s v="TRƯỜNG PT DÂN TỘC NỘI TRÚ THPT TỈNH YÊN BÁI"/>
    <x v="4"/>
    <n v="19000000"/>
    <d v="2024-08-01T00:00:00"/>
    <x v="7"/>
    <x v="0"/>
    <s v="Tây Bắc Bộ"/>
    <x v="4"/>
    <x v="9"/>
    <n v="19"/>
  </r>
  <r>
    <x v="27"/>
    <s v="TRƯỜNG PTDT NỘI TRÚ"/>
    <x v="0"/>
    <n v="91818182"/>
    <d v="2024-08-01T00:00:00"/>
    <x v="7"/>
    <x v="0"/>
    <s v="Bắc Trung Bộ"/>
    <x v="4"/>
    <x v="5"/>
    <n v="91.818181999999993"/>
  </r>
  <r>
    <x v="13"/>
    <s v="TRƯỜNG PTDTBT TH VÀ THCS DẾ XU PHÌNH"/>
    <x v="0"/>
    <n v="11962727"/>
    <d v="2024-08-01T00:00:00"/>
    <x v="7"/>
    <x v="0"/>
    <s v="Tây Bắc Bộ"/>
    <x v="4"/>
    <x v="1"/>
    <n v="11.962726999999999"/>
  </r>
  <r>
    <x v="54"/>
    <s v="TRƯỜNG PTDTBT THCS SƠN THUỶ"/>
    <x v="0"/>
    <n v="132986364"/>
    <d v="2024-08-01T00:00:00"/>
    <x v="7"/>
    <x v="0"/>
    <s v="Tây Bắc Bộ"/>
    <x v="4"/>
    <x v="5"/>
    <n v="132.98636400000001"/>
  </r>
  <r>
    <x v="25"/>
    <s v="TRƯỜNG THCS HOÀ NINH"/>
    <x v="0"/>
    <n v="38180000"/>
    <d v="2024-08-01T00:00:00"/>
    <x v="7"/>
    <x v="0"/>
    <s v="Tây Nguyên"/>
    <x v="4"/>
    <x v="0"/>
    <n v="38.18"/>
  </r>
  <r>
    <x v="38"/>
    <s v="TRƯỜNG THCS KÔNG BỜ LA"/>
    <x v="3"/>
    <n v="32727273"/>
    <d v="2024-08-01T00:00:00"/>
    <x v="7"/>
    <x v="0"/>
    <s v="Tây Nguyên"/>
    <x v="4"/>
    <x v="7"/>
    <n v="32.727272999999997"/>
  </r>
  <r>
    <x v="39"/>
    <s v="Trường Thcs Lý Thái Tổ"/>
    <x v="0"/>
    <n v="24363636"/>
    <d v="2024-08-01T00:00:00"/>
    <x v="7"/>
    <x v="0"/>
    <s v="ĐB Sông Cửu Long"/>
    <x v="4"/>
    <x v="0"/>
    <n v="24.363636"/>
  </r>
  <r>
    <x v="6"/>
    <s v="TRƯỜNG THCS MINH PHƯƠNG"/>
    <x v="2"/>
    <n v="12090909"/>
    <d v="2024-08-01T00:00:00"/>
    <x v="7"/>
    <x v="0"/>
    <s v="Đông Bắc Bộ"/>
    <x v="4"/>
    <x v="2"/>
    <n v="12.090909"/>
  </r>
  <r>
    <x v="33"/>
    <s v="TRƯỜNG THCS THỊ TRẤN BỐ HẠ"/>
    <x v="0"/>
    <n v="38460000"/>
    <d v="2024-08-01T00:00:00"/>
    <x v="7"/>
    <x v="0"/>
    <s v="Đông Bắc Bộ"/>
    <x v="4"/>
    <x v="0"/>
    <n v="38.46"/>
  </r>
  <r>
    <x v="54"/>
    <s v="TRƯỜNG TIỂU HỌC KHÁNH YÊN THƯỢNG"/>
    <x v="0"/>
    <n v="105945455"/>
    <d v="2024-08-01T00:00:00"/>
    <x v="7"/>
    <x v="0"/>
    <s v="Tây Bắc Bộ"/>
    <x v="4"/>
    <x v="5"/>
    <n v="105.945455"/>
  </r>
  <r>
    <x v="51"/>
    <s v="Trường Tiểu Học Mỹ Xá"/>
    <x v="1"/>
    <n v="45087273"/>
    <d v="2024-08-01T00:00:00"/>
    <x v="7"/>
    <x v="0"/>
    <s v="ĐB Sông Hồng"/>
    <x v="4"/>
    <x v="4"/>
    <n v="45.087273000000003"/>
  </r>
  <r>
    <x v="43"/>
    <s v="TRƯỜNG TIỂU HỌC NGUYỄN THÁI HỌC"/>
    <x v="0"/>
    <n v="43700000"/>
    <d v="2024-08-01T00:00:00"/>
    <x v="7"/>
    <x v="0"/>
    <s v="Đông Nam Bộ"/>
    <x v="4"/>
    <x v="0"/>
    <n v="43.7"/>
  </r>
  <r>
    <x v="5"/>
    <s v="TRƯỜNG TIỂU HỌC VÀ TRUNG HỌC CƠ SỞ MINH THÀNH"/>
    <x v="3"/>
    <n v="66360000"/>
    <d v="2024-08-01T00:00:00"/>
    <x v="7"/>
    <x v="0"/>
    <s v="Đông Nam Bộ"/>
    <x v="4"/>
    <x v="7"/>
    <n v="66.36"/>
  </r>
  <r>
    <x v="49"/>
    <s v="TRƯỜNG TRUNG HỌC PHỔ THÔNG TÁN KẾ"/>
    <x v="2"/>
    <n v="15818182"/>
    <d v="2024-08-01T00:00:00"/>
    <x v="7"/>
    <x v="0"/>
    <s v="ĐB Sông Cửu Long"/>
    <x v="4"/>
    <x v="0"/>
    <n v="15.818182"/>
  </r>
  <r>
    <x v="13"/>
    <s v="Bệnh viện đa khoa tỉnh Yên Bái"/>
    <x v="2"/>
    <n v="68381818"/>
    <d v="2024-09-01T00:00:00"/>
    <x v="8"/>
    <x v="0"/>
    <s v="Tây Bắc Bộ"/>
    <x v="0"/>
    <x v="2"/>
    <n v="68.381817999999996"/>
  </r>
  <r>
    <x v="5"/>
    <s v="Công ty 11"/>
    <x v="0"/>
    <n v="10895118"/>
    <d v="2024-09-01T00:00:00"/>
    <x v="8"/>
    <x v="0"/>
    <s v="Đông Nam Bộ"/>
    <x v="1"/>
    <x v="0"/>
    <n v="10.895118"/>
  </r>
  <r>
    <x v="0"/>
    <s v="Công ty 35"/>
    <x v="2"/>
    <n v="9701818"/>
    <d v="2024-09-01T00:00:00"/>
    <x v="8"/>
    <x v="0"/>
    <s v="Bắc Trung Bộ"/>
    <x v="1"/>
    <x v="3"/>
    <n v="9.7018179999999994"/>
  </r>
  <r>
    <x v="48"/>
    <s v="Công ty 76"/>
    <x v="0"/>
    <n v="187063636"/>
    <d v="2024-09-01T00:00:00"/>
    <x v="8"/>
    <x v="0"/>
    <s v="Đông Bắc Bộ"/>
    <x v="1"/>
    <x v="5"/>
    <n v="187.063636"/>
  </r>
  <r>
    <x v="0"/>
    <s v="Công ty 82"/>
    <x v="2"/>
    <n v="20816364"/>
    <d v="2024-09-01T00:00:00"/>
    <x v="8"/>
    <x v="0"/>
    <s v="Bắc Trung Bộ"/>
    <x v="1"/>
    <x v="2"/>
    <n v="20.816364"/>
  </r>
  <r>
    <x v="11"/>
    <s v="Công ty 90"/>
    <x v="0"/>
    <n v="49304545"/>
    <d v="2024-09-01T00:00:00"/>
    <x v="8"/>
    <x v="0"/>
    <s v="Đông Nam Bộ"/>
    <x v="1"/>
    <x v="0"/>
    <n v="49.304544999999997"/>
  </r>
  <r>
    <x v="23"/>
    <s v="Công ty 2"/>
    <x v="2"/>
    <n v="5007299675"/>
    <d v="2024-09-01T00:00:00"/>
    <x v="8"/>
    <x v="0"/>
    <s v="Duyên hải Nam Trung Bộ"/>
    <x v="1"/>
    <x v="15"/>
    <n v="5007.2996750000002"/>
  </r>
  <r>
    <x v="32"/>
    <s v="Công ty 6"/>
    <x v="0"/>
    <n v="70460000"/>
    <d v="2024-09-01T00:00:00"/>
    <x v="8"/>
    <x v="0"/>
    <s v="ĐB Sông Cửu Long"/>
    <x v="1"/>
    <x v="1"/>
    <n v="70.459999999999994"/>
  </r>
  <r>
    <x v="1"/>
    <s v="Công ty 26"/>
    <x v="0"/>
    <n v="165790909"/>
    <d v="2024-09-01T00:00:00"/>
    <x v="8"/>
    <x v="0"/>
    <s v="Duyên hải Nam Trung Bộ"/>
    <x v="1"/>
    <x v="0"/>
    <n v="165.790909"/>
  </r>
  <r>
    <x v="59"/>
    <s v="Công ty 38"/>
    <x v="2"/>
    <n v="27490909"/>
    <d v="2024-09-01T00:00:00"/>
    <x v="8"/>
    <x v="0"/>
    <s v="ĐB Sông Hồng"/>
    <x v="1"/>
    <x v="3"/>
    <n v="27.490908999999998"/>
  </r>
  <r>
    <x v="19"/>
    <s v="Công ty 61"/>
    <x v="1"/>
    <n v="120778182"/>
    <d v="2024-09-01T00:00:00"/>
    <x v="8"/>
    <x v="0"/>
    <s v="Duyên hải Nam Trung Bộ"/>
    <x v="1"/>
    <x v="2"/>
    <n v="120.778182"/>
  </r>
  <r>
    <x v="59"/>
    <s v="Công ty 76"/>
    <x v="4"/>
    <n v="753737891"/>
    <d v="2024-09-01T00:00:00"/>
    <x v="8"/>
    <x v="0"/>
    <s v="ĐB Sông Hồng"/>
    <x v="1"/>
    <x v="3"/>
    <n v="753.73789099999999"/>
  </r>
  <r>
    <x v="46"/>
    <s v="Công ty 78"/>
    <x v="1"/>
    <n v="52272727"/>
    <d v="2024-09-01T00:00:00"/>
    <x v="8"/>
    <x v="0"/>
    <s v="ĐB Sông Cửu Long"/>
    <x v="1"/>
    <x v="2"/>
    <n v="52.272727000000003"/>
  </r>
  <r>
    <x v="46"/>
    <s v="Công ty 79"/>
    <x v="1"/>
    <n v="115000000"/>
    <d v="2024-09-01T00:00:00"/>
    <x v="8"/>
    <x v="0"/>
    <s v="ĐB Sông Cửu Long"/>
    <x v="1"/>
    <x v="2"/>
    <n v="115"/>
  </r>
  <r>
    <x v="8"/>
    <s v="Công ty 84"/>
    <x v="4"/>
    <n v="1614996632"/>
    <d v="2024-09-01T00:00:00"/>
    <x v="8"/>
    <x v="0"/>
    <s v="Đông Nam Bộ"/>
    <x v="1"/>
    <x v="3"/>
    <n v="1614.9966320000001"/>
  </r>
  <r>
    <x v="28"/>
    <s v="Công ty 99"/>
    <x v="4"/>
    <n v="86504545"/>
    <d v="2024-09-01T00:00:00"/>
    <x v="8"/>
    <x v="0"/>
    <s v="ĐB Sông Hồng"/>
    <x v="1"/>
    <x v="3"/>
    <n v="86.504544999999993"/>
  </r>
  <r>
    <x v="38"/>
    <s v="Công ty 12"/>
    <x v="4"/>
    <n v="36380000"/>
    <d v="2024-09-01T00:00:00"/>
    <x v="8"/>
    <x v="0"/>
    <s v="Tây Nguyên"/>
    <x v="1"/>
    <x v="9"/>
    <n v="36.380000000000003"/>
  </r>
  <r>
    <x v="11"/>
    <s v="Công ty 41"/>
    <x v="0"/>
    <n v="187414748"/>
    <d v="2024-09-01T00:00:00"/>
    <x v="8"/>
    <x v="0"/>
    <s v="Đông Nam Bộ"/>
    <x v="1"/>
    <x v="1"/>
    <n v="187.414748"/>
  </r>
  <r>
    <x v="29"/>
    <s v="Công ty 96"/>
    <x v="4"/>
    <n v="20863636"/>
    <d v="2024-09-01T00:00:00"/>
    <x v="8"/>
    <x v="0"/>
    <s v="ĐB Sông Cửu Long"/>
    <x v="1"/>
    <x v="3"/>
    <n v="20.863636"/>
  </r>
  <r>
    <x v="29"/>
    <s v="Công ty 97"/>
    <x v="2"/>
    <n v="19636364"/>
    <d v="2024-09-01T00:00:00"/>
    <x v="8"/>
    <x v="0"/>
    <s v="ĐB Sông Cửu Long"/>
    <x v="1"/>
    <x v="3"/>
    <n v="19.636364"/>
  </r>
  <r>
    <x v="16"/>
    <s v="Công ty 17"/>
    <x v="2"/>
    <n v="56869091"/>
    <d v="2024-09-01T00:00:00"/>
    <x v="8"/>
    <x v="0"/>
    <s v="ĐB Sông Hồng"/>
    <x v="1"/>
    <x v="1"/>
    <n v="56.869090999999997"/>
  </r>
  <r>
    <x v="20"/>
    <s v="Công ty 31"/>
    <x v="0"/>
    <n v="25763000"/>
    <d v="2024-09-01T00:00:00"/>
    <x v="8"/>
    <x v="0"/>
    <s v="Duyên hải Nam Trung Bộ"/>
    <x v="1"/>
    <x v="0"/>
    <n v="25.763000000000002"/>
  </r>
  <r>
    <x v="5"/>
    <s v="Công ty 60"/>
    <x v="1"/>
    <n v="58534815"/>
    <d v="2024-09-01T00:00:00"/>
    <x v="8"/>
    <x v="0"/>
    <s v="Đông Nam Bộ"/>
    <x v="1"/>
    <x v="4"/>
    <n v="58.534815000000002"/>
  </r>
  <r>
    <x v="5"/>
    <s v="Công ty 57"/>
    <x v="0"/>
    <n v="29626545"/>
    <d v="2024-09-01T00:00:00"/>
    <x v="8"/>
    <x v="0"/>
    <s v="Đông Nam Bộ"/>
    <x v="1"/>
    <x v="0"/>
    <n v="29.626545"/>
  </r>
  <r>
    <x v="9"/>
    <s v="Công ty 13"/>
    <x v="4"/>
    <n v="565447636"/>
    <d v="2024-09-01T00:00:00"/>
    <x v="8"/>
    <x v="0"/>
    <s v="Duyên hải Nam Trung Bộ"/>
    <x v="1"/>
    <x v="3"/>
    <n v="565.44763599999999"/>
  </r>
  <r>
    <x v="5"/>
    <s v="Công ty 39"/>
    <x v="1"/>
    <n v="63454545"/>
    <d v="2024-09-01T00:00:00"/>
    <x v="8"/>
    <x v="0"/>
    <s v="Đông Nam Bộ"/>
    <x v="1"/>
    <x v="2"/>
    <n v="63.454545000000003"/>
  </r>
  <r>
    <x v="38"/>
    <s v="Công ty 93"/>
    <x v="4"/>
    <n v="79015455"/>
    <d v="2024-09-01T00:00:00"/>
    <x v="8"/>
    <x v="0"/>
    <s v="Tây Nguyên"/>
    <x v="1"/>
    <x v="3"/>
    <n v="79.015455000000003"/>
  </r>
  <r>
    <x v="23"/>
    <s v="Công ty 5"/>
    <x v="0"/>
    <n v="22564000"/>
    <d v="2024-09-01T00:00:00"/>
    <x v="8"/>
    <x v="0"/>
    <s v="Duyên hải Nam Trung Bộ"/>
    <x v="1"/>
    <x v="1"/>
    <n v="22.564"/>
  </r>
  <r>
    <x v="57"/>
    <s v="Công ty 47"/>
    <x v="0"/>
    <n v="80420000"/>
    <d v="2024-09-01T00:00:00"/>
    <x v="8"/>
    <x v="0"/>
    <s v="ĐB Sông Cửu Long"/>
    <x v="1"/>
    <x v="1"/>
    <n v="80.42"/>
  </r>
  <r>
    <x v="39"/>
    <s v="Công ty 60"/>
    <x v="4"/>
    <n v="243291805"/>
    <d v="2024-09-01T00:00:00"/>
    <x v="8"/>
    <x v="0"/>
    <s v="ĐB Sông Cửu Long"/>
    <x v="1"/>
    <x v="3"/>
    <n v="243.29180500000001"/>
  </r>
  <r>
    <x v="5"/>
    <s v="Công ty 63"/>
    <x v="2"/>
    <n v="6970909"/>
    <d v="2024-09-01T00:00:00"/>
    <x v="8"/>
    <x v="0"/>
    <s v="Đông Nam Bộ"/>
    <x v="1"/>
    <x v="3"/>
    <n v="6.9709089999999998"/>
  </r>
  <r>
    <x v="12"/>
    <s v="Công ty 78"/>
    <x v="0"/>
    <n v="108195818"/>
    <d v="2024-09-01T00:00:00"/>
    <x v="8"/>
    <x v="0"/>
    <s v="Tây Bắc Bộ"/>
    <x v="1"/>
    <x v="1"/>
    <n v="108.195818"/>
  </r>
  <r>
    <x v="12"/>
    <s v="Công ty 79"/>
    <x v="3"/>
    <n v="649359000"/>
    <d v="2024-09-01T00:00:00"/>
    <x v="8"/>
    <x v="0"/>
    <s v="Tây Bắc Bộ"/>
    <x v="1"/>
    <x v="7"/>
    <n v="649.35900000000004"/>
  </r>
  <r>
    <x v="43"/>
    <s v="Công ty 9"/>
    <x v="4"/>
    <n v="487777582"/>
    <d v="2024-09-01T00:00:00"/>
    <x v="8"/>
    <x v="0"/>
    <s v="Đông Nam Bộ"/>
    <x v="1"/>
    <x v="3"/>
    <n v="487.777582"/>
  </r>
  <r>
    <x v="9"/>
    <s v="Công ty 17"/>
    <x v="0"/>
    <n v="10971818"/>
    <d v="2024-09-01T00:00:00"/>
    <x v="8"/>
    <x v="0"/>
    <s v="Duyên hải Nam Trung Bộ"/>
    <x v="1"/>
    <x v="0"/>
    <n v="10.971818000000001"/>
  </r>
  <r>
    <x v="43"/>
    <s v="Công ty 52"/>
    <x v="0"/>
    <n v="31370000"/>
    <d v="2024-09-01T00:00:00"/>
    <x v="8"/>
    <x v="0"/>
    <s v="Đông Nam Bộ"/>
    <x v="1"/>
    <x v="1"/>
    <n v="31.37"/>
  </r>
  <r>
    <x v="0"/>
    <s v="Công ty 67"/>
    <x v="4"/>
    <n v="350578784"/>
    <d v="2024-09-01T00:00:00"/>
    <x v="8"/>
    <x v="0"/>
    <s v="Bắc Trung Bộ"/>
    <x v="1"/>
    <x v="3"/>
    <n v="350.57878399999998"/>
  </r>
  <r>
    <x v="45"/>
    <s v="Công ty 70"/>
    <x v="4"/>
    <n v="268533378"/>
    <d v="2024-09-01T00:00:00"/>
    <x v="8"/>
    <x v="0"/>
    <s v="ĐB Sông Cửu Long"/>
    <x v="1"/>
    <x v="3"/>
    <n v="268.53337800000003"/>
  </r>
  <r>
    <x v="59"/>
    <s v="Công ty 71"/>
    <x v="4"/>
    <n v="136252974"/>
    <d v="2024-09-01T00:00:00"/>
    <x v="8"/>
    <x v="0"/>
    <s v="ĐB Sông Hồng"/>
    <x v="1"/>
    <x v="3"/>
    <n v="136.25297399999999"/>
  </r>
  <r>
    <x v="5"/>
    <s v="Công ty 84"/>
    <x v="0"/>
    <n v="39523182"/>
    <d v="2024-09-01T00:00:00"/>
    <x v="8"/>
    <x v="0"/>
    <s v="Đông Nam Bộ"/>
    <x v="1"/>
    <x v="1"/>
    <n v="39.523181999999998"/>
  </r>
  <r>
    <x v="49"/>
    <s v="Công ty 7"/>
    <x v="2"/>
    <n v="428727273"/>
    <d v="2024-09-01T00:00:00"/>
    <x v="8"/>
    <x v="0"/>
    <s v="ĐB Sông Cửu Long"/>
    <x v="1"/>
    <x v="3"/>
    <n v="428.72727300000003"/>
  </r>
  <r>
    <x v="14"/>
    <s v="Công ty 89"/>
    <x v="0"/>
    <n v="144751818"/>
    <d v="2024-09-01T00:00:00"/>
    <x v="8"/>
    <x v="0"/>
    <s v="ĐB Sông Hồng"/>
    <x v="1"/>
    <x v="5"/>
    <n v="144.75181799999999"/>
  </r>
  <r>
    <x v="30"/>
    <s v="Công ty 94"/>
    <x v="0"/>
    <n v="46800247"/>
    <d v="2024-09-01T00:00:00"/>
    <x v="8"/>
    <x v="0"/>
    <s v="ĐB Sông Cửu Long"/>
    <x v="1"/>
    <x v="1"/>
    <n v="46.800246999999999"/>
  </r>
  <r>
    <x v="59"/>
    <s v="Công ty 4"/>
    <x v="0"/>
    <n v="613464340"/>
    <d v="2024-09-01T00:00:00"/>
    <x v="8"/>
    <x v="0"/>
    <s v="ĐB Sông Hồng"/>
    <x v="1"/>
    <x v="1"/>
    <n v="613.46433999999999"/>
  </r>
  <r>
    <x v="55"/>
    <s v="Công ty 14"/>
    <x v="4"/>
    <n v="1052559782"/>
    <d v="2024-09-01T00:00:00"/>
    <x v="8"/>
    <x v="0"/>
    <s v="ĐB Sông Hồng"/>
    <x v="1"/>
    <x v="3"/>
    <n v="1052.559782"/>
  </r>
  <r>
    <x v="9"/>
    <s v="Công ty 25"/>
    <x v="1"/>
    <n v="84900000"/>
    <d v="2024-09-01T00:00:00"/>
    <x v="8"/>
    <x v="0"/>
    <s v="Duyên hải Nam Trung Bộ"/>
    <x v="1"/>
    <x v="2"/>
    <n v="84.9"/>
  </r>
  <r>
    <x v="45"/>
    <s v="Công ty 45"/>
    <x v="0"/>
    <n v="37300000"/>
    <d v="2024-09-01T00:00:00"/>
    <x v="8"/>
    <x v="0"/>
    <s v="ĐB Sông Cửu Long"/>
    <x v="1"/>
    <x v="1"/>
    <n v="37.299999999999997"/>
  </r>
  <r>
    <x v="29"/>
    <s v="Công ty 53"/>
    <x v="1"/>
    <n v="30160300"/>
    <d v="2024-09-01T00:00:00"/>
    <x v="8"/>
    <x v="0"/>
    <s v="ĐB Sông Cửu Long"/>
    <x v="1"/>
    <x v="11"/>
    <n v="30.160299999999999"/>
  </r>
  <r>
    <x v="29"/>
    <s v="Công ty 54"/>
    <x v="0"/>
    <n v="28155000"/>
    <d v="2024-09-01T00:00:00"/>
    <x v="8"/>
    <x v="0"/>
    <s v="ĐB Sông Cửu Long"/>
    <x v="1"/>
    <x v="1"/>
    <n v="28.155000000000001"/>
  </r>
  <r>
    <x v="29"/>
    <s v="Công ty 55"/>
    <x v="0"/>
    <n v="30160300"/>
    <d v="2024-09-01T00:00:00"/>
    <x v="8"/>
    <x v="0"/>
    <s v="ĐB Sông Cửu Long"/>
    <x v="1"/>
    <x v="1"/>
    <n v="30.160299999999999"/>
  </r>
  <r>
    <x v="31"/>
    <s v="Công ty 95"/>
    <x v="0"/>
    <n v="31191636"/>
    <d v="2024-09-01T00:00:00"/>
    <x v="8"/>
    <x v="0"/>
    <s v="Tây Nguyên"/>
    <x v="1"/>
    <x v="0"/>
    <n v="31.191635999999999"/>
  </r>
  <r>
    <x v="16"/>
    <s v="Công ty 93"/>
    <x v="2"/>
    <n v="67618182"/>
    <d v="2024-09-01T00:00:00"/>
    <x v="8"/>
    <x v="0"/>
    <s v="ĐB Sông Hồng"/>
    <x v="1"/>
    <x v="2"/>
    <n v="67.618182000000004"/>
  </r>
  <r>
    <x v="29"/>
    <s v="Công ty 86"/>
    <x v="0"/>
    <n v="134999998"/>
    <d v="2024-09-01T00:00:00"/>
    <x v="8"/>
    <x v="0"/>
    <s v="ĐB Sông Cửu Long"/>
    <x v="1"/>
    <x v="1"/>
    <n v="134.99999800000001"/>
  </r>
  <r>
    <x v="29"/>
    <s v="Công ty 87"/>
    <x v="0"/>
    <n v="134999998"/>
    <d v="2024-09-01T00:00:00"/>
    <x v="8"/>
    <x v="0"/>
    <s v="ĐB Sông Cửu Long"/>
    <x v="1"/>
    <x v="1"/>
    <n v="134.99999800000001"/>
  </r>
  <r>
    <x v="32"/>
    <s v="Doanh nghiệp 1"/>
    <x v="0"/>
    <n v="12320000"/>
    <d v="2024-09-01T00:00:00"/>
    <x v="8"/>
    <x v="0"/>
    <s v="ĐB Sông Cửu Long"/>
    <x v="1"/>
    <x v="1"/>
    <n v="12.32"/>
  </r>
  <r>
    <x v="28"/>
    <s v="Doanh nghiệp 9"/>
    <x v="4"/>
    <n v="95714227"/>
    <d v="2024-09-01T00:00:00"/>
    <x v="8"/>
    <x v="0"/>
    <s v="ĐB Sông Hồng"/>
    <x v="1"/>
    <x v="3"/>
    <n v="95.714226999999994"/>
  </r>
  <r>
    <x v="8"/>
    <s v="Doanh nghiệp 7"/>
    <x v="1"/>
    <n v="45712260"/>
    <d v="2024-09-01T00:00:00"/>
    <x v="8"/>
    <x v="0"/>
    <s v="Đông Nam Bộ"/>
    <x v="1"/>
    <x v="2"/>
    <n v="45.712260000000001"/>
  </r>
  <r>
    <x v="43"/>
    <s v="Doanh nghiệp 24"/>
    <x v="1"/>
    <n v="445454545"/>
    <d v="2024-09-01T00:00:00"/>
    <x v="8"/>
    <x v="0"/>
    <s v="Đông Nam Bộ"/>
    <x v="1"/>
    <x v="12"/>
    <n v="445.454545"/>
  </r>
  <r>
    <x v="2"/>
    <s v="Doanh nghiệp 25"/>
    <x v="0"/>
    <n v="77272091"/>
    <d v="2024-09-01T00:00:00"/>
    <x v="8"/>
    <x v="0"/>
    <s v="ĐB Sông Cửu Long"/>
    <x v="1"/>
    <x v="1"/>
    <n v="77.272091000000003"/>
  </r>
  <r>
    <x v="32"/>
    <s v="Doanh nghiệp 15"/>
    <x v="1"/>
    <n v="94363636"/>
    <d v="2024-09-01T00:00:00"/>
    <x v="8"/>
    <x v="0"/>
    <s v="ĐB Sông Cửu Long"/>
    <x v="1"/>
    <x v="2"/>
    <n v="94.363636"/>
  </r>
  <r>
    <x v="53"/>
    <s v="Doanh nghiệp 7"/>
    <x v="0"/>
    <n v="13915000"/>
    <d v="2024-09-01T00:00:00"/>
    <x v="8"/>
    <x v="0"/>
    <s v="Đông Bắc Bộ"/>
    <x v="1"/>
    <x v="16"/>
    <n v="13.914999999999999"/>
  </r>
  <r>
    <x v="53"/>
    <s v="Doanh nghiệp 8"/>
    <x v="0"/>
    <n v="13915000"/>
    <d v="2024-09-01T00:00:00"/>
    <x v="8"/>
    <x v="0"/>
    <s v="Đông Bắc Bộ"/>
    <x v="1"/>
    <x v="16"/>
    <n v="13.914999999999999"/>
  </r>
  <r>
    <x v="2"/>
    <s v="Doanh nghiệp 23"/>
    <x v="0"/>
    <n v="155706055"/>
    <d v="2024-09-01T00:00:00"/>
    <x v="8"/>
    <x v="0"/>
    <s v="ĐB Sông Cửu Long"/>
    <x v="1"/>
    <x v="1"/>
    <n v="155.70605499999999"/>
  </r>
  <r>
    <x v="2"/>
    <s v="Doanh nghiệp 24"/>
    <x v="0"/>
    <n v="154810000"/>
    <d v="2024-09-01T00:00:00"/>
    <x v="8"/>
    <x v="0"/>
    <s v="ĐB Sông Cửu Long"/>
    <x v="1"/>
    <x v="0"/>
    <n v="154.81"/>
  </r>
  <r>
    <x v="60"/>
    <s v="Tập đoàn 11"/>
    <x v="0"/>
    <n v="80760218"/>
    <d v="2024-09-01T00:00:00"/>
    <x v="8"/>
    <x v="0"/>
    <s v="Đông Bắc Bộ"/>
    <x v="1"/>
    <x v="0"/>
    <n v="80.760217999999995"/>
  </r>
  <r>
    <x v="46"/>
    <s v="Tập đoàn 20"/>
    <x v="1"/>
    <n v="20181818"/>
    <d v="2024-09-01T00:00:00"/>
    <x v="8"/>
    <x v="0"/>
    <s v="ĐB Sông Cửu Long"/>
    <x v="1"/>
    <x v="2"/>
    <n v="20.181818"/>
  </r>
  <r>
    <x v="51"/>
    <s v="Tập đoàn 49"/>
    <x v="1"/>
    <n v="18190909"/>
    <d v="2024-09-01T00:00:00"/>
    <x v="8"/>
    <x v="0"/>
    <s v="ĐB Sông Hồng"/>
    <x v="1"/>
    <x v="2"/>
    <n v="18.190909000000001"/>
  </r>
  <r>
    <x v="0"/>
    <s v="Tập đoàn 69"/>
    <x v="2"/>
    <n v="19440000"/>
    <d v="2024-09-01T00:00:00"/>
    <x v="8"/>
    <x v="0"/>
    <s v="Bắc Trung Bộ"/>
    <x v="1"/>
    <x v="13"/>
    <n v="19.440000000000001"/>
  </r>
  <r>
    <x v="0"/>
    <s v="Tập đoàn 70"/>
    <x v="2"/>
    <n v="38118182"/>
    <d v="2024-09-01T00:00:00"/>
    <x v="8"/>
    <x v="0"/>
    <s v="Bắc Trung Bộ"/>
    <x v="1"/>
    <x v="2"/>
    <n v="38.118181999999997"/>
  </r>
  <r>
    <x v="23"/>
    <s v="Tập đoàn 88"/>
    <x v="1"/>
    <n v="229640000"/>
    <d v="2024-09-01T00:00:00"/>
    <x v="8"/>
    <x v="0"/>
    <s v="Duyên hải Nam Trung Bộ"/>
    <x v="1"/>
    <x v="2"/>
    <n v="229.64"/>
  </r>
  <r>
    <x v="45"/>
    <s v="Tập đoàn 91"/>
    <x v="0"/>
    <n v="14850000"/>
    <d v="2024-09-01T00:00:00"/>
    <x v="8"/>
    <x v="0"/>
    <s v="ĐB Sông Cửu Long"/>
    <x v="1"/>
    <x v="1"/>
    <n v="14.85"/>
  </r>
  <r>
    <x v="45"/>
    <s v="Tập đoàn 92"/>
    <x v="0"/>
    <n v="49500000"/>
    <d v="2024-09-01T00:00:00"/>
    <x v="8"/>
    <x v="0"/>
    <s v="ĐB Sông Cửu Long"/>
    <x v="1"/>
    <x v="1"/>
    <n v="49.5"/>
  </r>
  <r>
    <x v="24"/>
    <s v="Tập đoàn 82"/>
    <x v="0"/>
    <n v="3243352000"/>
    <d v="2024-09-01T00:00:00"/>
    <x v="8"/>
    <x v="0"/>
    <s v="ĐB Sông Hồng"/>
    <x v="1"/>
    <x v="5"/>
    <n v="3243.3519999999999"/>
  </r>
  <r>
    <x v="40"/>
    <s v="Tập đoàn 88"/>
    <x v="0"/>
    <n v="74645455"/>
    <d v="2024-09-01T00:00:00"/>
    <x v="8"/>
    <x v="0"/>
    <s v="ĐB Sông Cửu Long"/>
    <x v="1"/>
    <x v="5"/>
    <n v="74.645454999999998"/>
  </r>
  <r>
    <x v="48"/>
    <s v="Tập đoàn 93"/>
    <x v="4"/>
    <n v="145620455"/>
    <d v="2024-09-01T00:00:00"/>
    <x v="8"/>
    <x v="0"/>
    <s v="Đông Bắc Bộ"/>
    <x v="1"/>
    <x v="3"/>
    <n v="145.62045499999999"/>
  </r>
  <r>
    <x v="33"/>
    <s v="Tập đoàn 94"/>
    <x v="1"/>
    <n v="7750000"/>
    <d v="2024-09-01T00:00:00"/>
    <x v="8"/>
    <x v="0"/>
    <s v="Đông Bắc Bộ"/>
    <x v="1"/>
    <x v="13"/>
    <n v="7.75"/>
  </r>
  <r>
    <x v="42"/>
    <s v="Tập đoàn 91"/>
    <x v="4"/>
    <n v="36363636"/>
    <d v="2024-09-01T00:00:00"/>
    <x v="8"/>
    <x v="0"/>
    <s v="Tây Bắc Bộ"/>
    <x v="1"/>
    <x v="9"/>
    <n v="36.363636"/>
  </r>
  <r>
    <x v="47"/>
    <s v="Tập đoàn 92"/>
    <x v="1"/>
    <n v="18000000"/>
    <d v="2024-09-01T00:00:00"/>
    <x v="8"/>
    <x v="0"/>
    <s v="Đông Bắc Bộ"/>
    <x v="1"/>
    <x v="15"/>
    <n v="18"/>
  </r>
  <r>
    <x v="47"/>
    <s v="Tập đoàn 93"/>
    <x v="1"/>
    <n v="16200000"/>
    <d v="2024-09-01T00:00:00"/>
    <x v="8"/>
    <x v="0"/>
    <s v="Đông Bắc Bộ"/>
    <x v="1"/>
    <x v="2"/>
    <n v="16.2"/>
  </r>
  <r>
    <x v="47"/>
    <s v="Tập đoàn 93"/>
    <x v="2"/>
    <n v="26396182"/>
    <d v="2024-09-01T00:00:00"/>
    <x v="8"/>
    <x v="0"/>
    <s v="Đông Bắc Bộ"/>
    <x v="1"/>
    <x v="2"/>
    <n v="26.396182"/>
  </r>
  <r>
    <x v="47"/>
    <s v="Tập đoàn 94"/>
    <x v="1"/>
    <n v="13100000"/>
    <d v="2024-09-01T00:00:00"/>
    <x v="8"/>
    <x v="0"/>
    <s v="Đông Bắc Bộ"/>
    <x v="1"/>
    <x v="2"/>
    <n v="13.1"/>
  </r>
  <r>
    <x v="47"/>
    <s v="Tập đoàn 91"/>
    <x v="1"/>
    <n v="12800000"/>
    <d v="2024-09-01T00:00:00"/>
    <x v="8"/>
    <x v="0"/>
    <s v="Đông Bắc Bộ"/>
    <x v="1"/>
    <x v="15"/>
    <n v="12.8"/>
  </r>
  <r>
    <x v="47"/>
    <s v="Tập đoàn 92"/>
    <x v="1"/>
    <n v="12000000"/>
    <d v="2024-09-01T00:00:00"/>
    <x v="8"/>
    <x v="0"/>
    <s v="Đông Bắc Bộ"/>
    <x v="1"/>
    <x v="10"/>
    <n v="12"/>
  </r>
  <r>
    <x v="47"/>
    <s v="Tập đoàn 93"/>
    <x v="1"/>
    <n v="14300000"/>
    <d v="2024-09-01T00:00:00"/>
    <x v="8"/>
    <x v="0"/>
    <s v="Đông Bắc Bộ"/>
    <x v="1"/>
    <x v="2"/>
    <n v="14.3"/>
  </r>
  <r>
    <x v="47"/>
    <s v="Tập đoàn 94"/>
    <x v="2"/>
    <n v="18000000"/>
    <d v="2024-09-01T00:00:00"/>
    <x v="8"/>
    <x v="0"/>
    <s v="Đông Bắc Bộ"/>
    <x v="1"/>
    <x v="2"/>
    <n v="18"/>
  </r>
  <r>
    <x v="42"/>
    <s v="Công ty 78"/>
    <x v="4"/>
    <n v="8334545"/>
    <d v="2024-09-01T00:00:00"/>
    <x v="8"/>
    <x v="0"/>
    <s v="Tây Bắc Bộ"/>
    <x v="1"/>
    <x v="9"/>
    <n v="8.3345450000000003"/>
  </r>
  <r>
    <x v="42"/>
    <s v="Công ty 79"/>
    <x v="4"/>
    <n v="217636364"/>
    <d v="2024-09-01T00:00:00"/>
    <x v="8"/>
    <x v="0"/>
    <s v="Tây Bắc Bộ"/>
    <x v="1"/>
    <x v="9"/>
    <n v="217.63636399999999"/>
  </r>
  <r>
    <x v="42"/>
    <s v="Công ty 80"/>
    <x v="4"/>
    <n v="6818182"/>
    <d v="2024-09-01T00:00:00"/>
    <x v="8"/>
    <x v="0"/>
    <s v="Tây Bắc Bộ"/>
    <x v="1"/>
    <x v="9"/>
    <n v="6.8181820000000002"/>
  </r>
  <r>
    <x v="42"/>
    <s v="Công ty 81"/>
    <x v="4"/>
    <n v="18145455"/>
    <d v="2024-09-01T00:00:00"/>
    <x v="8"/>
    <x v="0"/>
    <s v="Tây Bắc Bộ"/>
    <x v="1"/>
    <x v="9"/>
    <n v="18.145454999999998"/>
  </r>
  <r>
    <x v="42"/>
    <s v="Công ty 82"/>
    <x v="4"/>
    <n v="99800000"/>
    <d v="2024-09-01T00:00:00"/>
    <x v="8"/>
    <x v="0"/>
    <s v="Tây Bắc Bộ"/>
    <x v="1"/>
    <x v="9"/>
    <n v="99.8"/>
  </r>
  <r>
    <x v="42"/>
    <s v="Công ty 83"/>
    <x v="4"/>
    <n v="54436364"/>
    <d v="2024-09-01T00:00:00"/>
    <x v="8"/>
    <x v="0"/>
    <s v="Tây Bắc Bộ"/>
    <x v="1"/>
    <x v="9"/>
    <n v="54.436363999999998"/>
  </r>
  <r>
    <x v="60"/>
    <s v="CÔNG AN HUYỆN ĐỒNG VĂN"/>
    <x v="0"/>
    <n v="36363636"/>
    <d v="2024-09-01T00:00:00"/>
    <x v="8"/>
    <x v="0"/>
    <s v="Đông Bắc Bộ"/>
    <x v="2"/>
    <x v="1"/>
    <n v="36.363636"/>
  </r>
  <r>
    <x v="60"/>
    <s v="CÔNG AN HUYỆN ĐỒNG VĂN"/>
    <x v="0"/>
    <n v="36363636"/>
    <d v="2024-09-01T00:00:00"/>
    <x v="8"/>
    <x v="0"/>
    <s v="Đông Bắc Bộ"/>
    <x v="2"/>
    <x v="1"/>
    <n v="36.363636"/>
  </r>
  <r>
    <x v="33"/>
    <s v="CÔNG AN HUYỆN VIỆT YÊN"/>
    <x v="0"/>
    <n v="41100000"/>
    <d v="2024-09-01T00:00:00"/>
    <x v="8"/>
    <x v="0"/>
    <s v="Đông Bắc Bộ"/>
    <x v="2"/>
    <x v="1"/>
    <n v="41.1"/>
  </r>
  <r>
    <x v="33"/>
    <s v="CÔNG AN HUYỆN VIỆT YÊN"/>
    <x v="0"/>
    <n v="90800000"/>
    <d v="2024-09-01T00:00:00"/>
    <x v="8"/>
    <x v="0"/>
    <s v="Đông Bắc Bộ"/>
    <x v="2"/>
    <x v="1"/>
    <n v="90.8"/>
  </r>
  <r>
    <x v="47"/>
    <s v="CÔNG AN TỈNH TUYÊN QUANG"/>
    <x v="2"/>
    <n v="58753636"/>
    <d v="2024-09-01T00:00:00"/>
    <x v="8"/>
    <x v="0"/>
    <s v="Đông Bắc Bộ"/>
    <x v="2"/>
    <x v="10"/>
    <n v="58.753636"/>
  </r>
  <r>
    <x v="53"/>
    <s v="Công ty 10"/>
    <x v="4"/>
    <n v="36256364"/>
    <d v="2024-09-01T00:00:00"/>
    <x v="8"/>
    <x v="0"/>
    <s v="Đông Bắc Bộ"/>
    <x v="1"/>
    <x v="9"/>
    <n v="36.256363999999998"/>
  </r>
  <r>
    <x v="53"/>
    <s v="Công ty 16"/>
    <x v="4"/>
    <n v="36256364"/>
    <d v="2024-09-01T00:00:00"/>
    <x v="8"/>
    <x v="0"/>
    <s v="Đông Bắc Bộ"/>
    <x v="1"/>
    <x v="9"/>
    <n v="36.256363999999998"/>
  </r>
  <r>
    <x v="53"/>
    <s v="Công ty 17"/>
    <x v="4"/>
    <n v="36256364"/>
    <d v="2024-09-01T00:00:00"/>
    <x v="8"/>
    <x v="0"/>
    <s v="Đông Bắc Bộ"/>
    <x v="1"/>
    <x v="9"/>
    <n v="36.256363999999998"/>
  </r>
  <r>
    <x v="53"/>
    <s v="Công ty 19"/>
    <x v="4"/>
    <n v="36281818"/>
    <d v="2024-09-01T00:00:00"/>
    <x v="8"/>
    <x v="0"/>
    <s v="Đông Bắc Bộ"/>
    <x v="1"/>
    <x v="9"/>
    <n v="36.281818000000001"/>
  </r>
  <r>
    <x v="53"/>
    <s v="Công ty 20"/>
    <x v="4"/>
    <n v="36281818"/>
    <d v="2024-09-01T00:00:00"/>
    <x v="8"/>
    <x v="0"/>
    <s v="Đông Bắc Bộ"/>
    <x v="1"/>
    <x v="9"/>
    <n v="36.281818000000001"/>
  </r>
  <r>
    <x v="42"/>
    <s v="Công ty 99"/>
    <x v="4"/>
    <n v="36363636"/>
    <d v="2024-09-01T00:00:00"/>
    <x v="8"/>
    <x v="0"/>
    <s v="Tây Bắc Bộ"/>
    <x v="1"/>
    <x v="9"/>
    <n v="36.363636"/>
  </r>
  <r>
    <x v="42"/>
    <s v="Công ty 100"/>
    <x v="4"/>
    <n v="36363636"/>
    <d v="2024-09-01T00:00:00"/>
    <x v="8"/>
    <x v="0"/>
    <s v="Tây Bắc Bộ"/>
    <x v="1"/>
    <x v="9"/>
    <n v="36.363636"/>
  </r>
  <r>
    <x v="53"/>
    <s v="ĐOÀN TNCS HỒ CHÍ MINH TỈNH BẮC KẠN"/>
    <x v="4"/>
    <n v="87159091"/>
    <d v="2024-09-01T00:00:00"/>
    <x v="8"/>
    <x v="0"/>
    <s v="Đông Bắc Bộ"/>
    <x v="2"/>
    <x v="9"/>
    <n v="87.159091000000004"/>
  </r>
  <r>
    <x v="18"/>
    <s v="Công ty 21"/>
    <x v="0"/>
    <n v="145454545"/>
    <d v="2024-09-01T00:00:00"/>
    <x v="8"/>
    <x v="0"/>
    <s v="Tây Nguyên"/>
    <x v="1"/>
    <x v="5"/>
    <n v="145.454545"/>
  </r>
  <r>
    <x v="42"/>
    <s v="Công ty 21"/>
    <x v="4"/>
    <n v="36363636"/>
    <d v="2024-09-01T00:00:00"/>
    <x v="8"/>
    <x v="0"/>
    <s v="Tây Bắc Bộ"/>
    <x v="1"/>
    <x v="9"/>
    <n v="36.363636"/>
  </r>
  <r>
    <x v="10"/>
    <s v="PHÒNG VĂN HOÁ THÔNG TIN"/>
    <x v="0"/>
    <n v="1020500000"/>
    <d v="2024-09-01T00:00:00"/>
    <x v="8"/>
    <x v="0"/>
    <s v="Duyên hải Nam Trung Bộ"/>
    <x v="2"/>
    <x v="16"/>
    <n v="1020.5"/>
  </r>
  <r>
    <x v="41"/>
    <s v="PHÒNG VĂN HOÁ THÔNG TIN HUYỆN HÀ QUẢNG"/>
    <x v="0"/>
    <n v="927657273"/>
    <d v="2024-09-01T00:00:00"/>
    <x v="8"/>
    <x v="0"/>
    <s v="Đông Bắc Bộ"/>
    <x v="2"/>
    <x v="14"/>
    <n v="927.65727300000003"/>
  </r>
  <r>
    <x v="34"/>
    <s v="PHÒNG VĂN HÓA VÀ THÔNG TIN"/>
    <x v="0"/>
    <n v="635737273"/>
    <d v="2024-09-01T00:00:00"/>
    <x v="8"/>
    <x v="0"/>
    <s v="Tây Bắc Bộ"/>
    <x v="2"/>
    <x v="16"/>
    <n v="635.73727299999996"/>
  </r>
  <r>
    <x v="1"/>
    <s v="PHÒNG VĂN HÓA VÀ THÔNG TIN HUYỆN TÂY SƠN"/>
    <x v="0"/>
    <n v="27136364"/>
    <d v="2024-09-01T00:00:00"/>
    <x v="8"/>
    <x v="0"/>
    <s v="Duyên hải Nam Trung Bộ"/>
    <x v="2"/>
    <x v="16"/>
    <n v="27.136364"/>
  </r>
  <r>
    <x v="38"/>
    <s v="Thôn Khối Dố"/>
    <x v="4"/>
    <n v="12600000"/>
    <d v="2024-09-01T00:00:00"/>
    <x v="8"/>
    <x v="0"/>
    <s v="Tây Nguyên"/>
    <x v="2"/>
    <x v="9"/>
    <n v="12.6"/>
  </r>
  <r>
    <x v="21"/>
    <s v="TRUNG TÂM ĐIỀU DƯỠNG NGƯỜI CÓ CÔNG TỈNH QUẢNG NINH"/>
    <x v="1"/>
    <n v="411271723"/>
    <d v="2024-09-01T00:00:00"/>
    <x v="8"/>
    <x v="0"/>
    <s v="Đông Bắc Bộ"/>
    <x v="2"/>
    <x v="2"/>
    <n v="411.27172300000001"/>
  </r>
  <r>
    <x v="22"/>
    <s v="TRUNG TÂM GIÁM SÁT ĐIỀU HÀNH ĐÔ THỊ THÔNG MINH TỈNH THỪA THIÊN HUẾ"/>
    <x v="2"/>
    <n v="27272727"/>
    <d v="2024-09-01T00:00:00"/>
    <x v="8"/>
    <x v="0"/>
    <s v="Bắc Trung Bộ"/>
    <x v="2"/>
    <x v="4"/>
    <n v="27.272727"/>
  </r>
  <r>
    <x v="44"/>
    <s v="TRUNG TÂM VĂN HOÁ, THÔNG TIN, THỂ THAO VÀ DU LỊCH TP SẦM SƠN"/>
    <x v="3"/>
    <n v="74900000"/>
    <d v="2024-09-01T00:00:00"/>
    <x v="8"/>
    <x v="0"/>
    <s v="Bắc Trung Bộ"/>
    <x v="2"/>
    <x v="18"/>
    <n v="74.900000000000006"/>
  </r>
  <r>
    <x v="6"/>
    <s v="Trung tâm y tế huyện Tân Sơn"/>
    <x v="1"/>
    <n v="24103636"/>
    <d v="2024-09-01T00:00:00"/>
    <x v="8"/>
    <x v="0"/>
    <s v="Đông Bắc Bộ"/>
    <x v="2"/>
    <x v="2"/>
    <n v="24.103636000000002"/>
  </r>
  <r>
    <x v="12"/>
    <s v="UBND SƠN LAI"/>
    <x v="4"/>
    <n v="69476727"/>
    <d v="2024-09-01T00:00:00"/>
    <x v="8"/>
    <x v="0"/>
    <s v="Tây Bắc Bộ"/>
    <x v="2"/>
    <x v="9"/>
    <n v="69.476726999999997"/>
  </r>
  <r>
    <x v="10"/>
    <s v="UBND XÃ CÀ DY"/>
    <x v="1"/>
    <n v="88461818"/>
    <d v="2024-09-01T00:00:00"/>
    <x v="8"/>
    <x v="0"/>
    <s v="Duyên hải Nam Trung Bộ"/>
    <x v="2"/>
    <x v="15"/>
    <n v="88.461817999999994"/>
  </r>
  <r>
    <x v="17"/>
    <s v="UBND XÃ ĐỨC BÌNH ĐÔNG"/>
    <x v="2"/>
    <n v="645376305"/>
    <d v="2024-09-01T00:00:00"/>
    <x v="8"/>
    <x v="0"/>
    <s v="Duyên hải Nam Trung Bộ"/>
    <x v="2"/>
    <x v="4"/>
    <n v="645.376305"/>
  </r>
  <r>
    <x v="47"/>
    <s v="UBND XÃ HOÀ AN"/>
    <x v="0"/>
    <n v="15635909"/>
    <d v="2024-09-01T00:00:00"/>
    <x v="8"/>
    <x v="0"/>
    <s v="Đông Bắc Bộ"/>
    <x v="2"/>
    <x v="1"/>
    <n v="15.635909"/>
  </r>
  <r>
    <x v="17"/>
    <s v="UBND XÃ HÒA TÂN TÂY"/>
    <x v="4"/>
    <n v="38763636"/>
    <d v="2024-09-01T00:00:00"/>
    <x v="8"/>
    <x v="0"/>
    <s v="Duyên hải Nam Trung Bộ"/>
    <x v="2"/>
    <x v="9"/>
    <n v="38.763635999999998"/>
  </r>
  <r>
    <x v="33"/>
    <s v="UBND xã Ngọc Lý"/>
    <x v="0"/>
    <n v="21900000"/>
    <d v="2024-09-01T00:00:00"/>
    <x v="8"/>
    <x v="0"/>
    <s v="Đông Bắc Bộ"/>
    <x v="2"/>
    <x v="5"/>
    <n v="21.9"/>
  </r>
  <r>
    <x v="8"/>
    <s v="ỦY BAN NHÂN DÂN XÃ BÀU CHINH"/>
    <x v="0"/>
    <n v="23263636"/>
    <d v="2024-09-01T00:00:00"/>
    <x v="8"/>
    <x v="0"/>
    <s v="Đông Nam Bộ"/>
    <x v="2"/>
    <x v="0"/>
    <n v="23.263636000000002"/>
  </r>
  <r>
    <x v="40"/>
    <s v="Ủy Ban Nhân Dân Xã Đông Hải"/>
    <x v="0"/>
    <n v="40047545"/>
    <d v="2024-09-01T00:00:00"/>
    <x v="8"/>
    <x v="0"/>
    <s v="ĐB Sông Cửu Long"/>
    <x v="2"/>
    <x v="1"/>
    <n v="40.047545"/>
  </r>
  <r>
    <x v="6"/>
    <s v="Ủy Ban Nhân Dân Xã Hương Nộn"/>
    <x v="0"/>
    <n v="24083000"/>
    <d v="2024-09-01T00:00:00"/>
    <x v="8"/>
    <x v="0"/>
    <s v="Đông Bắc Bộ"/>
    <x v="2"/>
    <x v="0"/>
    <n v="24.082999999999998"/>
  </r>
  <r>
    <x v="41"/>
    <s v="UỶ BAN NHÂN DÂN XÃ LÝ QUỐC"/>
    <x v="4"/>
    <n v="36237455"/>
    <d v="2024-09-01T00:00:00"/>
    <x v="8"/>
    <x v="0"/>
    <s v="Đông Bắc Bộ"/>
    <x v="2"/>
    <x v="9"/>
    <n v="36.237454999999997"/>
  </r>
  <r>
    <x v="6"/>
    <s v="Ủy Ban Nhân Dân Xã Minh Đài"/>
    <x v="0"/>
    <n v="41711189"/>
    <d v="2024-09-01T00:00:00"/>
    <x v="8"/>
    <x v="0"/>
    <s v="Đông Bắc Bộ"/>
    <x v="2"/>
    <x v="1"/>
    <n v="41.711188999999997"/>
  </r>
  <r>
    <x v="6"/>
    <s v="Ủy Ban Nhân Dân Xã Minh Đài"/>
    <x v="0"/>
    <n v="66808614"/>
    <d v="2024-09-01T00:00:00"/>
    <x v="8"/>
    <x v="0"/>
    <s v="Đông Bắc Bộ"/>
    <x v="2"/>
    <x v="1"/>
    <n v="66.808614000000006"/>
  </r>
  <r>
    <x v="6"/>
    <s v="UỶ BAN NHÂN DÂN XÃ MINH TÂN"/>
    <x v="4"/>
    <n v="641312727"/>
    <d v="2024-09-01T00:00:00"/>
    <x v="8"/>
    <x v="0"/>
    <s v="Đông Bắc Bộ"/>
    <x v="2"/>
    <x v="9"/>
    <n v="641.312727"/>
  </r>
  <r>
    <x v="19"/>
    <s v="Ủy Ban Nhân Dân Xã Phước Nam"/>
    <x v="1"/>
    <n v="81775636"/>
    <d v="2024-09-01T00:00:00"/>
    <x v="8"/>
    <x v="0"/>
    <s v="Duyên hải Nam Trung Bộ"/>
    <x v="2"/>
    <x v="10"/>
    <n v="81.775636000000006"/>
  </r>
  <r>
    <x v="6"/>
    <s v="Ủy Ban Nhân Dân Xã Tân Phú"/>
    <x v="0"/>
    <n v="19692624"/>
    <d v="2024-09-01T00:00:00"/>
    <x v="8"/>
    <x v="0"/>
    <s v="Đông Bắc Bộ"/>
    <x v="2"/>
    <x v="1"/>
    <n v="19.692623999999999"/>
  </r>
  <r>
    <x v="15"/>
    <s v="Uỷ Ban Nhân Dân Xã Vạn Bình"/>
    <x v="4"/>
    <n v="18181818"/>
    <d v="2024-09-01T00:00:00"/>
    <x v="8"/>
    <x v="0"/>
    <s v="Duyên hải Nam Trung Bộ"/>
    <x v="2"/>
    <x v="9"/>
    <n v="18.181818"/>
  </r>
  <r>
    <x v="22"/>
    <s v="VĂN PHÒNG HĐND VÀ UBND HUYỆN NAM ĐÔNG"/>
    <x v="0"/>
    <n v="169090909"/>
    <d v="2024-09-01T00:00:00"/>
    <x v="8"/>
    <x v="0"/>
    <s v="Bắc Trung Bộ"/>
    <x v="2"/>
    <x v="1"/>
    <n v="169.09090900000001"/>
  </r>
  <r>
    <x v="33"/>
    <s v="Văn Phòng Hđnd Và Ubnd Huyện Tân Yên"/>
    <x v="0"/>
    <n v="122781818"/>
    <d v="2024-09-01T00:00:00"/>
    <x v="8"/>
    <x v="0"/>
    <s v="Đông Bắc Bộ"/>
    <x v="2"/>
    <x v="1"/>
    <n v="122.781818"/>
  </r>
  <r>
    <x v="45"/>
    <s v="Văn Phòng Hội Đồng Nhân Dân - Uỷ Ban Nhân Dân Tp. Sóc Trăng"/>
    <x v="2"/>
    <n v="22500000"/>
    <d v="2024-09-01T00:00:00"/>
    <x v="8"/>
    <x v="0"/>
    <s v="ĐB Sông Cửu Long"/>
    <x v="2"/>
    <x v="1"/>
    <n v="22.5"/>
  </r>
  <r>
    <x v="57"/>
    <s v="Viễn Thông Hậu Giang"/>
    <x v="1"/>
    <n v="356504132"/>
    <d v="2024-09-01T00:00:00"/>
    <x v="8"/>
    <x v="0"/>
    <s v="ĐB Sông Cửu Long"/>
    <x v="2"/>
    <x v="2"/>
    <n v="356.50413200000003"/>
  </r>
  <r>
    <x v="57"/>
    <s v="TRƯỜNG ĐẠI HỌC TÀI CHÍNH MARKETING"/>
    <x v="1"/>
    <n v="270772727"/>
    <d v="2024-09-01T00:00:00"/>
    <x v="8"/>
    <x v="0"/>
    <s v="ĐB Sông Cửu Long"/>
    <x v="4"/>
    <x v="13"/>
    <n v="270.77272699999997"/>
  </r>
  <r>
    <x v="26"/>
    <s v="Trường Đại Học Thủ Dầu Một"/>
    <x v="1"/>
    <n v="3381818182"/>
    <d v="2024-09-01T00:00:00"/>
    <x v="8"/>
    <x v="0"/>
    <s v="Đông Nam Bộ"/>
    <x v="4"/>
    <x v="2"/>
    <n v="3381.818182"/>
  </r>
  <r>
    <x v="0"/>
    <s v="TRƯỜNG MẦM NON NAM KIM"/>
    <x v="0"/>
    <n v="16832013"/>
    <d v="2024-09-01T00:00:00"/>
    <x v="8"/>
    <x v="0"/>
    <s v="Bắc Trung Bộ"/>
    <x v="4"/>
    <x v="1"/>
    <n v="16.832013"/>
  </r>
  <r>
    <x v="32"/>
    <s v="Trường Mầm Non Phú Thành B"/>
    <x v="0"/>
    <n v="22272727"/>
    <d v="2024-09-01T00:00:00"/>
    <x v="8"/>
    <x v="0"/>
    <s v="ĐB Sông Cửu Long"/>
    <x v="4"/>
    <x v="1"/>
    <n v="22.272727"/>
  </r>
  <r>
    <x v="0"/>
    <s v="TRƯỜNG MẦM NON QUỲNH ĐÔI"/>
    <x v="0"/>
    <n v="10409091"/>
    <d v="2024-09-01T00:00:00"/>
    <x v="8"/>
    <x v="0"/>
    <s v="Bắc Trung Bộ"/>
    <x v="4"/>
    <x v="0"/>
    <n v="10.409091"/>
  </r>
  <r>
    <x v="40"/>
    <s v="TRƯỜNG MẦM NON TUỔI THƠ"/>
    <x v="2"/>
    <n v="6127273"/>
    <d v="2024-09-01T00:00:00"/>
    <x v="8"/>
    <x v="0"/>
    <s v="ĐB Sông Cửu Long"/>
    <x v="4"/>
    <x v="0"/>
    <n v="6.1272729999999997"/>
  </r>
  <r>
    <x v="12"/>
    <s v="TRƯỜNG MẦM NON XÃ CAN HỒ"/>
    <x v="0"/>
    <n v="8941818"/>
    <d v="2024-09-01T00:00:00"/>
    <x v="8"/>
    <x v="0"/>
    <s v="Tây Bắc Bộ"/>
    <x v="4"/>
    <x v="1"/>
    <n v="8.9418179999999996"/>
  </r>
  <r>
    <x v="34"/>
    <s v="Trường Phổ Thông Trung Học Quỳnh Nhai"/>
    <x v="0"/>
    <n v="45159091"/>
    <d v="2024-09-01T00:00:00"/>
    <x v="8"/>
    <x v="0"/>
    <s v="Tây Bắc Bộ"/>
    <x v="4"/>
    <x v="0"/>
    <n v="45.159090999999997"/>
  </r>
  <r>
    <x v="40"/>
    <s v="Trường Tểu Học Phong Thạnh A"/>
    <x v="2"/>
    <n v="5563182"/>
    <d v="2024-09-01T00:00:00"/>
    <x v="8"/>
    <x v="0"/>
    <s v="ĐB Sông Cửu Long"/>
    <x v="4"/>
    <x v="0"/>
    <n v="5.5631820000000003"/>
  </r>
  <r>
    <x v="53"/>
    <s v="TRƯỜNG TH &amp;THCS KIM LƯ"/>
    <x v="4"/>
    <n v="4936364"/>
    <d v="2024-09-01T00:00:00"/>
    <x v="8"/>
    <x v="0"/>
    <s v="Đông Bắc Bộ"/>
    <x v="4"/>
    <x v="9"/>
    <n v="4.9363640000000002"/>
  </r>
  <r>
    <x v="53"/>
    <s v="TRƯỜNG TH &amp;THCS KIM LƯ"/>
    <x v="4"/>
    <n v="4936364"/>
    <d v="2024-09-01T00:00:00"/>
    <x v="8"/>
    <x v="0"/>
    <s v="Đông Bắc Bộ"/>
    <x v="4"/>
    <x v="9"/>
    <n v="4.9363640000000002"/>
  </r>
  <r>
    <x v="23"/>
    <s v="TRƯỜNG THPT SỐ 2 MỘ ĐỨC"/>
    <x v="0"/>
    <n v="23050909"/>
    <d v="2024-09-01T00:00:00"/>
    <x v="8"/>
    <x v="0"/>
    <s v="Duyên hải Nam Trung Bộ"/>
    <x v="4"/>
    <x v="1"/>
    <n v="23.050909000000001"/>
  </r>
  <r>
    <x v="0"/>
    <s v="TRƯỜNG TIỂU HỌC CẦU GIÁT"/>
    <x v="3"/>
    <n v="45272727"/>
    <d v="2024-09-01T00:00:00"/>
    <x v="8"/>
    <x v="0"/>
    <s v="Bắc Trung Bộ"/>
    <x v="4"/>
    <x v="7"/>
    <n v="45.272727000000003"/>
  </r>
  <r>
    <x v="0"/>
    <s v="TRƯỜNG TIỂU HỌC HƯNG ĐÔNG"/>
    <x v="2"/>
    <n v="19104545"/>
    <d v="2024-09-01T00:00:00"/>
    <x v="8"/>
    <x v="0"/>
    <s v="Bắc Trung Bộ"/>
    <x v="4"/>
    <x v="0"/>
    <n v="19.104545000000002"/>
  </r>
  <r>
    <x v="32"/>
    <s v="TRƯỜNG TIỂU HỌC LÝ THƯỜNG KIỆT"/>
    <x v="0"/>
    <n v="155309091"/>
    <d v="2024-09-01T00:00:00"/>
    <x v="8"/>
    <x v="0"/>
    <s v="ĐB Sông Cửu Long"/>
    <x v="4"/>
    <x v="1"/>
    <n v="155.309091"/>
  </r>
  <r>
    <x v="0"/>
    <s v="TRƯỜNG TIỂU HỌC QUỲNH GIANG"/>
    <x v="3"/>
    <n v="29727273"/>
    <d v="2024-09-01T00:00:00"/>
    <x v="8"/>
    <x v="0"/>
    <s v="Bắc Trung Bộ"/>
    <x v="4"/>
    <x v="7"/>
    <n v="29.727273"/>
  </r>
  <r>
    <x v="0"/>
    <s v="Trường Tiểu Học Quỳnh Long"/>
    <x v="0"/>
    <n v="13629091"/>
    <d v="2024-09-01T00:00:00"/>
    <x v="8"/>
    <x v="0"/>
    <s v="Bắc Trung Bộ"/>
    <x v="4"/>
    <x v="0"/>
    <n v="13.629091000000001"/>
  </r>
  <r>
    <x v="15"/>
    <s v="Trường Tiểu Học Số 3 Ninh Hiệp"/>
    <x v="0"/>
    <n v="30101005"/>
    <d v="2024-09-01T00:00:00"/>
    <x v="8"/>
    <x v="0"/>
    <s v="Duyên hải Nam Trung Bộ"/>
    <x v="4"/>
    <x v="0"/>
    <n v="30.101005000000001"/>
  </r>
  <r>
    <x v="9"/>
    <s v="TRƯỜNG TIỂU HỌC, TRUNG HỌC CƠ SỞ VÀ TRUNG HỌC PHỔ THÔNG ANH QUỐC"/>
    <x v="1"/>
    <n v="27172727"/>
    <d v="2024-09-01T00:00:00"/>
    <x v="8"/>
    <x v="0"/>
    <s v="Duyên hải Nam Trung Bộ"/>
    <x v="4"/>
    <x v="2"/>
    <n v="27.172726999999998"/>
  </r>
  <r>
    <x v="40"/>
    <s v="TRƯỜNG TRUNG HỌC CƠ SỞ VINH KIM"/>
    <x v="2"/>
    <n v="11625455"/>
    <d v="2024-09-01T00:00:00"/>
    <x v="8"/>
    <x v="0"/>
    <s v="ĐB Sông Cửu Long"/>
    <x v="4"/>
    <x v="0"/>
    <n v="11.625455000000001"/>
  </r>
  <r>
    <x v="6"/>
    <s v="Trường Trung Học Sơ Sở Tam Thanh"/>
    <x v="0"/>
    <n v="83636364"/>
    <d v="2024-09-01T00:00:00"/>
    <x v="8"/>
    <x v="0"/>
    <s v="Đông Bắc Bộ"/>
    <x v="4"/>
    <x v="5"/>
    <n v="83.636364"/>
  </r>
  <r>
    <x v="48"/>
    <s v="Bệnh viện A Thái Nguyên"/>
    <x v="2"/>
    <n v="33106909"/>
    <d v="2024-10-01T00:00:00"/>
    <x v="9"/>
    <x v="0"/>
    <s v="Đông Bắc Bộ"/>
    <x v="0"/>
    <x v="15"/>
    <n v="33.106909000000002"/>
  </r>
  <r>
    <x v="13"/>
    <s v="Bệnh viện đa khoa tỉnh Yên Bái"/>
    <x v="2"/>
    <n v="77304545"/>
    <d v="2024-10-01T00:00:00"/>
    <x v="9"/>
    <x v="0"/>
    <s v="Tây Bắc Bộ"/>
    <x v="0"/>
    <x v="2"/>
    <n v="77.304545000000005"/>
  </r>
  <r>
    <x v="0"/>
    <s v="Bệnh Viện Y Học Cổ Truyền Nghệ An"/>
    <x v="2"/>
    <n v="41145455"/>
    <d v="2024-10-01T00:00:00"/>
    <x v="9"/>
    <x v="0"/>
    <s v="Bắc Trung Bộ"/>
    <x v="0"/>
    <x v="2"/>
    <n v="41.145454999999998"/>
  </r>
  <r>
    <x v="12"/>
    <s v="BỆNH VIỆN Y HỌC CỔ TRUYỀN TỈNH LAI CHÂU"/>
    <x v="1"/>
    <n v="90632727"/>
    <d v="2024-10-01T00:00:00"/>
    <x v="9"/>
    <x v="0"/>
    <s v="Tây Bắc Bộ"/>
    <x v="0"/>
    <x v="2"/>
    <n v="90.632727000000003"/>
  </r>
  <r>
    <x v="6"/>
    <s v="Công ty 1"/>
    <x v="0"/>
    <n v="454500000"/>
    <d v="2024-10-01T00:00:00"/>
    <x v="9"/>
    <x v="0"/>
    <s v="Đông Bắc Bộ"/>
    <x v="1"/>
    <x v="5"/>
    <n v="454.5"/>
  </r>
  <r>
    <x v="42"/>
    <s v="Công ty 1"/>
    <x v="4"/>
    <n v="36363636"/>
    <d v="2024-10-01T00:00:00"/>
    <x v="9"/>
    <x v="0"/>
    <s v="Tây Bắc Bộ"/>
    <x v="1"/>
    <x v="9"/>
    <n v="36.363636"/>
  </r>
  <r>
    <x v="0"/>
    <s v="Công ty 5"/>
    <x v="2"/>
    <n v="17424545"/>
    <d v="2024-10-01T00:00:00"/>
    <x v="9"/>
    <x v="0"/>
    <s v="Bắc Trung Bộ"/>
    <x v="1"/>
    <x v="2"/>
    <n v="17.424544999999998"/>
  </r>
  <r>
    <x v="5"/>
    <s v="Công ty 12"/>
    <x v="0"/>
    <n v="4923191"/>
    <d v="2024-10-01T00:00:00"/>
    <x v="9"/>
    <x v="0"/>
    <s v="Đông Nam Bộ"/>
    <x v="1"/>
    <x v="0"/>
    <n v="4.9231910000000001"/>
  </r>
  <r>
    <x v="5"/>
    <s v="Công ty 13"/>
    <x v="0"/>
    <n v="5386598"/>
    <d v="2024-10-01T00:00:00"/>
    <x v="9"/>
    <x v="0"/>
    <s v="Đông Nam Bộ"/>
    <x v="1"/>
    <x v="0"/>
    <n v="5.3865980000000002"/>
  </r>
  <r>
    <x v="26"/>
    <s v="Công ty 29"/>
    <x v="4"/>
    <n v="2837000208"/>
    <d v="2024-10-01T00:00:00"/>
    <x v="9"/>
    <x v="0"/>
    <s v="Đông Nam Bộ"/>
    <x v="1"/>
    <x v="3"/>
    <n v="2837.0002079999999"/>
  </r>
  <r>
    <x v="14"/>
    <s v="Công ty 44"/>
    <x v="0"/>
    <n v="174390000"/>
    <d v="2024-10-01T00:00:00"/>
    <x v="9"/>
    <x v="0"/>
    <s v="ĐB Sông Hồng"/>
    <x v="1"/>
    <x v="5"/>
    <n v="174.39"/>
  </r>
  <r>
    <x v="14"/>
    <s v="Công ty 96"/>
    <x v="0"/>
    <n v="136181818"/>
    <d v="2024-10-01T00:00:00"/>
    <x v="9"/>
    <x v="0"/>
    <s v="ĐB Sông Hồng"/>
    <x v="1"/>
    <x v="5"/>
    <n v="136.18181799999999"/>
  </r>
  <r>
    <x v="28"/>
    <s v="Công ty 26"/>
    <x v="0"/>
    <n v="33863636"/>
    <d v="2024-10-01T00:00:00"/>
    <x v="9"/>
    <x v="0"/>
    <s v="ĐB Sông Hồng"/>
    <x v="1"/>
    <x v="5"/>
    <n v="33.863636"/>
  </r>
  <r>
    <x v="35"/>
    <s v="Công ty 29"/>
    <x v="0"/>
    <n v="20920000"/>
    <d v="2024-10-01T00:00:00"/>
    <x v="9"/>
    <x v="0"/>
    <s v="Đông Bắc Bộ"/>
    <x v="1"/>
    <x v="1"/>
    <n v="20.92"/>
  </r>
  <r>
    <x v="11"/>
    <s v="Công ty 56"/>
    <x v="2"/>
    <n v="75763706"/>
    <d v="2024-10-01T00:00:00"/>
    <x v="9"/>
    <x v="0"/>
    <s v="Đông Nam Bộ"/>
    <x v="1"/>
    <x v="3"/>
    <n v="75.763705999999999"/>
  </r>
  <r>
    <x v="9"/>
    <s v="Công ty 65"/>
    <x v="2"/>
    <n v="85200000"/>
    <d v="2024-10-01T00:00:00"/>
    <x v="9"/>
    <x v="0"/>
    <s v="Duyên hải Nam Trung Bộ"/>
    <x v="1"/>
    <x v="5"/>
    <n v="85.2"/>
  </r>
  <r>
    <x v="9"/>
    <s v="Công ty 66"/>
    <x v="0"/>
    <n v="361827273"/>
    <d v="2024-10-01T00:00:00"/>
    <x v="9"/>
    <x v="0"/>
    <s v="Duyên hải Nam Trung Bộ"/>
    <x v="1"/>
    <x v="5"/>
    <n v="361.82727299999999"/>
  </r>
  <r>
    <x v="11"/>
    <s v="Công ty 92"/>
    <x v="2"/>
    <n v="17573660"/>
    <d v="2024-10-01T00:00:00"/>
    <x v="9"/>
    <x v="0"/>
    <s v="Đông Nam Bộ"/>
    <x v="1"/>
    <x v="7"/>
    <n v="17.57366"/>
  </r>
  <r>
    <x v="35"/>
    <s v="Công ty 45"/>
    <x v="0"/>
    <n v="356632360"/>
    <d v="2024-10-01T00:00:00"/>
    <x v="9"/>
    <x v="0"/>
    <s v="Đông Bắc Bộ"/>
    <x v="1"/>
    <x v="16"/>
    <n v="356.63236000000001"/>
  </r>
  <r>
    <x v="35"/>
    <s v="Công ty 46"/>
    <x v="0"/>
    <n v="654146245"/>
    <d v="2024-10-01T00:00:00"/>
    <x v="9"/>
    <x v="0"/>
    <s v="Đông Bắc Bộ"/>
    <x v="1"/>
    <x v="0"/>
    <n v="654.14624500000002"/>
  </r>
  <r>
    <x v="47"/>
    <s v="Công ty 49"/>
    <x v="2"/>
    <n v="73829035"/>
    <d v="2024-10-01T00:00:00"/>
    <x v="9"/>
    <x v="0"/>
    <s v="Đông Bắc Bộ"/>
    <x v="1"/>
    <x v="2"/>
    <n v="73.829035000000005"/>
  </r>
  <r>
    <x v="47"/>
    <s v="Công ty 50"/>
    <x v="2"/>
    <n v="16300000"/>
    <d v="2024-10-01T00:00:00"/>
    <x v="9"/>
    <x v="0"/>
    <s v="Đông Bắc Bộ"/>
    <x v="1"/>
    <x v="13"/>
    <n v="16.3"/>
  </r>
  <r>
    <x v="47"/>
    <s v="Công ty 51"/>
    <x v="2"/>
    <n v="207959545"/>
    <d v="2024-10-01T00:00:00"/>
    <x v="9"/>
    <x v="0"/>
    <s v="Đông Bắc Bộ"/>
    <x v="1"/>
    <x v="2"/>
    <n v="207.95954499999999"/>
  </r>
  <r>
    <x v="43"/>
    <s v="Công ty 55"/>
    <x v="1"/>
    <n v="1614720567"/>
    <d v="2024-10-01T00:00:00"/>
    <x v="9"/>
    <x v="0"/>
    <s v="Đông Nam Bộ"/>
    <x v="1"/>
    <x v="4"/>
    <n v="1614.7205670000001"/>
  </r>
  <r>
    <x v="22"/>
    <s v="Công ty 87"/>
    <x v="4"/>
    <n v="4475073158"/>
    <d v="2024-10-01T00:00:00"/>
    <x v="9"/>
    <x v="0"/>
    <s v="Bắc Trung Bộ"/>
    <x v="1"/>
    <x v="3"/>
    <n v="4475.0731580000001"/>
  </r>
  <r>
    <x v="30"/>
    <s v="Công ty 99"/>
    <x v="0"/>
    <n v="29607164"/>
    <d v="2024-10-01T00:00:00"/>
    <x v="9"/>
    <x v="0"/>
    <s v="ĐB Sông Cửu Long"/>
    <x v="1"/>
    <x v="0"/>
    <n v="29.607164000000001"/>
  </r>
  <r>
    <x v="51"/>
    <s v="Công ty 16"/>
    <x v="4"/>
    <n v="1666687373"/>
    <d v="2024-10-01T00:00:00"/>
    <x v="9"/>
    <x v="0"/>
    <s v="ĐB Sông Hồng"/>
    <x v="1"/>
    <x v="3"/>
    <n v="1666.687373"/>
  </r>
  <r>
    <x v="42"/>
    <s v="Công ty 32"/>
    <x v="1"/>
    <n v="52052727"/>
    <d v="2024-10-01T00:00:00"/>
    <x v="9"/>
    <x v="0"/>
    <s v="Tây Bắc Bộ"/>
    <x v="1"/>
    <x v="2"/>
    <n v="52.052726999999997"/>
  </r>
  <r>
    <x v="3"/>
    <s v="Công ty 46"/>
    <x v="1"/>
    <n v="51540000"/>
    <d v="2024-10-01T00:00:00"/>
    <x v="9"/>
    <x v="0"/>
    <s v="ĐB Sông Cửu Long"/>
    <x v="1"/>
    <x v="2"/>
    <n v="51.54"/>
  </r>
  <r>
    <x v="0"/>
    <s v="Công ty 53"/>
    <x v="4"/>
    <n v="84225455"/>
    <d v="2024-10-01T00:00:00"/>
    <x v="9"/>
    <x v="0"/>
    <s v="Bắc Trung Bộ"/>
    <x v="1"/>
    <x v="3"/>
    <n v="84.225454999999997"/>
  </r>
  <r>
    <x v="14"/>
    <s v="Công ty 67"/>
    <x v="2"/>
    <n v="37900000"/>
    <d v="2024-10-01T00:00:00"/>
    <x v="9"/>
    <x v="0"/>
    <s v="ĐB Sông Hồng"/>
    <x v="1"/>
    <x v="2"/>
    <n v="37.9"/>
  </r>
  <r>
    <x v="14"/>
    <s v="Công ty 68"/>
    <x v="2"/>
    <n v="62537000"/>
    <d v="2024-10-01T00:00:00"/>
    <x v="9"/>
    <x v="0"/>
    <s v="ĐB Sông Hồng"/>
    <x v="1"/>
    <x v="2"/>
    <n v="62.536999999999999"/>
  </r>
  <r>
    <x v="14"/>
    <s v="Công ty 69"/>
    <x v="2"/>
    <n v="54216000"/>
    <d v="2024-10-01T00:00:00"/>
    <x v="9"/>
    <x v="0"/>
    <s v="ĐB Sông Hồng"/>
    <x v="1"/>
    <x v="2"/>
    <n v="54.216000000000001"/>
  </r>
  <r>
    <x v="36"/>
    <s v="Công ty 80"/>
    <x v="0"/>
    <n v="409428149"/>
    <d v="2024-10-01T00:00:00"/>
    <x v="9"/>
    <x v="0"/>
    <s v="ĐB Sông Hồng"/>
    <x v="1"/>
    <x v="1"/>
    <n v="409.42814900000002"/>
  </r>
  <r>
    <x v="6"/>
    <s v="Công ty 91"/>
    <x v="1"/>
    <n v="25393000"/>
    <d v="2024-10-01T00:00:00"/>
    <x v="9"/>
    <x v="0"/>
    <s v="Đông Bắc Bộ"/>
    <x v="1"/>
    <x v="10"/>
    <n v="25.393000000000001"/>
  </r>
  <r>
    <x v="6"/>
    <s v="Công ty 92"/>
    <x v="0"/>
    <n v="320886147"/>
    <d v="2024-10-01T00:00:00"/>
    <x v="9"/>
    <x v="0"/>
    <s v="Đông Bắc Bộ"/>
    <x v="1"/>
    <x v="0"/>
    <n v="320.88614699999999"/>
  </r>
  <r>
    <x v="0"/>
    <s v="Công ty 2"/>
    <x v="0"/>
    <n v="25851818"/>
    <d v="2024-10-01T00:00:00"/>
    <x v="9"/>
    <x v="0"/>
    <s v="Bắc Trung Bộ"/>
    <x v="1"/>
    <x v="1"/>
    <n v="25.851818000000002"/>
  </r>
  <r>
    <x v="54"/>
    <s v="Công ty 19"/>
    <x v="1"/>
    <n v="27241818"/>
    <d v="2024-10-01T00:00:00"/>
    <x v="9"/>
    <x v="0"/>
    <s v="Tây Bắc Bộ"/>
    <x v="1"/>
    <x v="2"/>
    <n v="27.241817999999999"/>
  </r>
  <r>
    <x v="28"/>
    <s v="Công ty 44"/>
    <x v="4"/>
    <n v="119718055"/>
    <d v="2024-10-01T00:00:00"/>
    <x v="9"/>
    <x v="0"/>
    <s v="ĐB Sông Hồng"/>
    <x v="1"/>
    <x v="3"/>
    <n v="119.71805500000001"/>
  </r>
  <r>
    <x v="62"/>
    <s v="Công ty 73"/>
    <x v="1"/>
    <n v="12657196858"/>
    <d v="2024-10-01T00:00:00"/>
    <x v="9"/>
    <x v="0"/>
    <s v="Bắc Trung Bộ"/>
    <x v="1"/>
    <x v="4"/>
    <n v="12657.196857999999"/>
  </r>
  <r>
    <x v="33"/>
    <s v="Công ty 74"/>
    <x v="4"/>
    <n v="229458182"/>
    <d v="2024-10-01T00:00:00"/>
    <x v="9"/>
    <x v="0"/>
    <s v="Đông Bắc Bộ"/>
    <x v="1"/>
    <x v="3"/>
    <n v="229.45818199999999"/>
  </r>
  <r>
    <x v="31"/>
    <s v="Công ty 76"/>
    <x v="0"/>
    <n v="20308545"/>
    <d v="2024-10-01T00:00:00"/>
    <x v="9"/>
    <x v="0"/>
    <s v="Tây Nguyên"/>
    <x v="1"/>
    <x v="1"/>
    <n v="20.308544999999999"/>
  </r>
  <r>
    <x v="0"/>
    <s v="Công ty 94"/>
    <x v="0"/>
    <n v="12600000"/>
    <d v="2024-10-01T00:00:00"/>
    <x v="9"/>
    <x v="0"/>
    <s v="Bắc Trung Bộ"/>
    <x v="1"/>
    <x v="5"/>
    <n v="12.6"/>
  </r>
  <r>
    <x v="24"/>
    <s v="Công ty 14"/>
    <x v="4"/>
    <n v="7732441872"/>
    <d v="2024-10-01T00:00:00"/>
    <x v="9"/>
    <x v="0"/>
    <s v="ĐB Sông Hồng"/>
    <x v="1"/>
    <x v="3"/>
    <n v="7732.4418720000003"/>
  </r>
  <r>
    <x v="16"/>
    <s v="Công ty 18"/>
    <x v="0"/>
    <n v="81788182"/>
    <d v="2024-10-01T00:00:00"/>
    <x v="9"/>
    <x v="0"/>
    <s v="ĐB Sông Hồng"/>
    <x v="1"/>
    <x v="1"/>
    <n v="81.788182000000006"/>
  </r>
  <r>
    <x v="57"/>
    <s v="Công ty 32"/>
    <x v="2"/>
    <n v="25181818"/>
    <d v="2024-10-01T00:00:00"/>
    <x v="9"/>
    <x v="0"/>
    <s v="ĐB Sông Cửu Long"/>
    <x v="1"/>
    <x v="2"/>
    <n v="25.181818"/>
  </r>
  <r>
    <x v="57"/>
    <s v="Công ty 33"/>
    <x v="2"/>
    <n v="35454545"/>
    <d v="2024-10-01T00:00:00"/>
    <x v="9"/>
    <x v="0"/>
    <s v="ĐB Sông Cửu Long"/>
    <x v="1"/>
    <x v="2"/>
    <n v="35.454545000000003"/>
  </r>
  <r>
    <x v="54"/>
    <s v="Công ty 40"/>
    <x v="0"/>
    <n v="86024400"/>
    <d v="2024-10-01T00:00:00"/>
    <x v="9"/>
    <x v="0"/>
    <s v="Tây Bắc Bộ"/>
    <x v="1"/>
    <x v="5"/>
    <n v="86.0244"/>
  </r>
  <r>
    <x v="54"/>
    <s v="Công ty 41"/>
    <x v="1"/>
    <n v="34506364"/>
    <d v="2024-10-01T00:00:00"/>
    <x v="9"/>
    <x v="0"/>
    <s v="Tây Bắc Bộ"/>
    <x v="1"/>
    <x v="2"/>
    <n v="34.506363999999998"/>
  </r>
  <r>
    <x v="54"/>
    <s v="Công ty 42"/>
    <x v="0"/>
    <n v="1006354545"/>
    <d v="2024-10-01T00:00:00"/>
    <x v="9"/>
    <x v="0"/>
    <s v="Tây Bắc Bộ"/>
    <x v="1"/>
    <x v="5"/>
    <n v="1006.354545"/>
  </r>
  <r>
    <x v="28"/>
    <s v="Công ty 79"/>
    <x v="4"/>
    <n v="436007733"/>
    <d v="2024-10-01T00:00:00"/>
    <x v="9"/>
    <x v="0"/>
    <s v="ĐB Sông Hồng"/>
    <x v="1"/>
    <x v="3"/>
    <n v="436.00773299999997"/>
  </r>
  <r>
    <x v="30"/>
    <s v="Công ty 2"/>
    <x v="0"/>
    <n v="14400000"/>
    <d v="2024-10-01T00:00:00"/>
    <x v="9"/>
    <x v="0"/>
    <s v="ĐB Sông Cửu Long"/>
    <x v="1"/>
    <x v="1"/>
    <n v="14.4"/>
  </r>
  <r>
    <x v="30"/>
    <s v="Công ty 3"/>
    <x v="1"/>
    <n v="48990000"/>
    <d v="2024-10-01T00:00:00"/>
    <x v="9"/>
    <x v="0"/>
    <s v="ĐB Sông Cửu Long"/>
    <x v="1"/>
    <x v="2"/>
    <n v="48.99"/>
  </r>
  <r>
    <x v="31"/>
    <s v="Công ty 15"/>
    <x v="2"/>
    <n v="20348182"/>
    <d v="2024-10-01T00:00:00"/>
    <x v="9"/>
    <x v="0"/>
    <s v="Tây Nguyên"/>
    <x v="1"/>
    <x v="1"/>
    <n v="20.348182000000001"/>
  </r>
  <r>
    <x v="36"/>
    <s v="Công ty 45"/>
    <x v="1"/>
    <n v="84695455"/>
    <d v="2024-10-01T00:00:00"/>
    <x v="9"/>
    <x v="0"/>
    <s v="ĐB Sông Hồng"/>
    <x v="1"/>
    <x v="13"/>
    <n v="84.695454999999995"/>
  </r>
  <r>
    <x v="5"/>
    <s v="Công ty 58"/>
    <x v="0"/>
    <n v="33448182"/>
    <d v="2024-10-01T00:00:00"/>
    <x v="9"/>
    <x v="0"/>
    <s v="Đông Nam Bộ"/>
    <x v="1"/>
    <x v="0"/>
    <n v="33.448182000000003"/>
  </r>
  <r>
    <x v="39"/>
    <s v="Công ty 2"/>
    <x v="4"/>
    <n v="23181818"/>
    <d v="2024-10-01T00:00:00"/>
    <x v="9"/>
    <x v="0"/>
    <s v="ĐB Sông Cửu Long"/>
    <x v="1"/>
    <x v="3"/>
    <n v="23.181818"/>
  </r>
  <r>
    <x v="9"/>
    <s v="Công ty 14"/>
    <x v="4"/>
    <n v="213972179"/>
    <d v="2024-10-01T00:00:00"/>
    <x v="9"/>
    <x v="0"/>
    <s v="Duyên hải Nam Trung Bộ"/>
    <x v="1"/>
    <x v="3"/>
    <n v="213.97217900000001"/>
  </r>
  <r>
    <x v="20"/>
    <s v="Công ty 31"/>
    <x v="1"/>
    <n v="120763636"/>
    <d v="2024-10-01T00:00:00"/>
    <x v="9"/>
    <x v="0"/>
    <s v="Duyên hải Nam Trung Bộ"/>
    <x v="1"/>
    <x v="15"/>
    <n v="120.76363600000001"/>
  </r>
  <r>
    <x v="28"/>
    <s v="Công ty 36"/>
    <x v="1"/>
    <n v="84930000"/>
    <d v="2024-10-01T00:00:00"/>
    <x v="9"/>
    <x v="0"/>
    <s v="ĐB Sông Hồng"/>
    <x v="1"/>
    <x v="2"/>
    <n v="84.93"/>
  </r>
  <r>
    <x v="28"/>
    <s v="Công ty 37"/>
    <x v="4"/>
    <n v="15681818"/>
    <d v="2024-10-01T00:00:00"/>
    <x v="9"/>
    <x v="0"/>
    <s v="ĐB Sông Hồng"/>
    <x v="1"/>
    <x v="9"/>
    <n v="15.681818"/>
  </r>
  <r>
    <x v="1"/>
    <s v="Công ty 45"/>
    <x v="2"/>
    <n v="5306818"/>
    <d v="2024-10-01T00:00:00"/>
    <x v="9"/>
    <x v="0"/>
    <s v="Duyên hải Nam Trung Bộ"/>
    <x v="1"/>
    <x v="0"/>
    <n v="5.3068179999999998"/>
  </r>
  <r>
    <x v="54"/>
    <s v="Công ty 67"/>
    <x v="1"/>
    <n v="338545455"/>
    <d v="2024-10-01T00:00:00"/>
    <x v="9"/>
    <x v="0"/>
    <s v="Tây Bắc Bộ"/>
    <x v="1"/>
    <x v="15"/>
    <n v="338.545455"/>
  </r>
  <r>
    <x v="31"/>
    <s v="Công ty 74"/>
    <x v="4"/>
    <n v="117032000"/>
    <d v="2024-10-01T00:00:00"/>
    <x v="9"/>
    <x v="0"/>
    <s v="Tây Nguyên"/>
    <x v="1"/>
    <x v="3"/>
    <n v="117.032"/>
  </r>
  <r>
    <x v="0"/>
    <s v="Công ty 80"/>
    <x v="4"/>
    <n v="239860682"/>
    <d v="2024-10-01T00:00:00"/>
    <x v="9"/>
    <x v="0"/>
    <s v="Bắc Trung Bộ"/>
    <x v="1"/>
    <x v="3"/>
    <n v="239.860682"/>
  </r>
  <r>
    <x v="21"/>
    <s v="Công ty 85"/>
    <x v="0"/>
    <n v="137483209"/>
    <d v="2024-10-01T00:00:00"/>
    <x v="9"/>
    <x v="0"/>
    <s v="Đông Bắc Bộ"/>
    <x v="1"/>
    <x v="0"/>
    <n v="137.48320899999999"/>
  </r>
  <r>
    <x v="38"/>
    <s v="Công ty 8"/>
    <x v="4"/>
    <n v="204286800"/>
    <d v="2024-10-01T00:00:00"/>
    <x v="9"/>
    <x v="0"/>
    <s v="Tây Nguyên"/>
    <x v="1"/>
    <x v="3"/>
    <n v="204.2868"/>
  </r>
  <r>
    <x v="37"/>
    <s v="Công ty 10"/>
    <x v="2"/>
    <n v="9818182"/>
    <d v="2024-10-01T00:00:00"/>
    <x v="9"/>
    <x v="0"/>
    <s v="ĐB Sông Cửu Long"/>
    <x v="1"/>
    <x v="2"/>
    <n v="9.8181820000000002"/>
  </r>
  <r>
    <x v="43"/>
    <s v="Công ty 29"/>
    <x v="0"/>
    <n v="26175455"/>
    <d v="2024-10-01T00:00:00"/>
    <x v="9"/>
    <x v="0"/>
    <s v="Đông Nam Bộ"/>
    <x v="1"/>
    <x v="1"/>
    <n v="26.175454999999999"/>
  </r>
  <r>
    <x v="0"/>
    <s v="Công ty 36"/>
    <x v="0"/>
    <n v="15030000"/>
    <d v="2024-10-01T00:00:00"/>
    <x v="9"/>
    <x v="0"/>
    <s v="Bắc Trung Bộ"/>
    <x v="1"/>
    <x v="1"/>
    <n v="15.03"/>
  </r>
  <r>
    <x v="31"/>
    <s v="Công ty 10"/>
    <x v="4"/>
    <n v="206259360"/>
    <d v="2024-10-01T00:00:00"/>
    <x v="9"/>
    <x v="0"/>
    <s v="Tây Nguyên"/>
    <x v="1"/>
    <x v="3"/>
    <n v="206.25935999999999"/>
  </r>
  <r>
    <x v="29"/>
    <s v="Công ty 14"/>
    <x v="1"/>
    <n v="31864318"/>
    <d v="2024-10-01T00:00:00"/>
    <x v="9"/>
    <x v="0"/>
    <s v="ĐB Sông Cửu Long"/>
    <x v="1"/>
    <x v="2"/>
    <n v="31.864318000000001"/>
  </r>
  <r>
    <x v="29"/>
    <s v="Công ty 25"/>
    <x v="0"/>
    <n v="38272727"/>
    <d v="2024-10-01T00:00:00"/>
    <x v="9"/>
    <x v="0"/>
    <s v="ĐB Sông Cửu Long"/>
    <x v="1"/>
    <x v="1"/>
    <n v="38.272727000000003"/>
  </r>
  <r>
    <x v="51"/>
    <s v="Công ty 51"/>
    <x v="4"/>
    <n v="325895085"/>
    <d v="2024-10-01T00:00:00"/>
    <x v="9"/>
    <x v="0"/>
    <s v="ĐB Sông Hồng"/>
    <x v="1"/>
    <x v="3"/>
    <n v="325.89508499999999"/>
  </r>
  <r>
    <x v="30"/>
    <s v="Công ty 54"/>
    <x v="4"/>
    <n v="86423636"/>
    <d v="2024-10-01T00:00:00"/>
    <x v="9"/>
    <x v="0"/>
    <s v="ĐB Sông Cửu Long"/>
    <x v="1"/>
    <x v="3"/>
    <n v="86.423636000000002"/>
  </r>
  <r>
    <x v="59"/>
    <s v="Công ty 72"/>
    <x v="4"/>
    <n v="135215149"/>
    <d v="2024-10-01T00:00:00"/>
    <x v="9"/>
    <x v="0"/>
    <s v="ĐB Sông Hồng"/>
    <x v="1"/>
    <x v="3"/>
    <n v="135.215149"/>
  </r>
  <r>
    <x v="58"/>
    <s v="Công ty 73"/>
    <x v="4"/>
    <n v="159090909"/>
    <d v="2024-10-01T00:00:00"/>
    <x v="9"/>
    <x v="0"/>
    <s v="Tây Nguyên"/>
    <x v="1"/>
    <x v="3"/>
    <n v="159.09090900000001"/>
  </r>
  <r>
    <x v="51"/>
    <s v="Công ty 74"/>
    <x v="4"/>
    <n v="317212013"/>
    <d v="2024-10-01T00:00:00"/>
    <x v="9"/>
    <x v="0"/>
    <s v="ĐB Sông Hồng"/>
    <x v="1"/>
    <x v="3"/>
    <n v="317.21201300000001"/>
  </r>
  <r>
    <x v="36"/>
    <s v="Công ty 75"/>
    <x v="4"/>
    <n v="2158833859"/>
    <d v="2024-10-01T00:00:00"/>
    <x v="9"/>
    <x v="0"/>
    <s v="ĐB Sông Hồng"/>
    <x v="1"/>
    <x v="3"/>
    <n v="2158.8338589999998"/>
  </r>
  <r>
    <x v="28"/>
    <s v="Công ty 87"/>
    <x v="4"/>
    <n v="150293141"/>
    <d v="2024-10-01T00:00:00"/>
    <x v="9"/>
    <x v="0"/>
    <s v="ĐB Sông Hồng"/>
    <x v="1"/>
    <x v="3"/>
    <n v="150.29314099999999"/>
  </r>
  <r>
    <x v="11"/>
    <s v="Công ty 19"/>
    <x v="0"/>
    <n v="330028090"/>
    <d v="2024-10-01T00:00:00"/>
    <x v="9"/>
    <x v="0"/>
    <s v="Đông Nam Bộ"/>
    <x v="1"/>
    <x v="1"/>
    <n v="330.02809000000002"/>
  </r>
  <r>
    <x v="0"/>
    <s v="Công ty 75"/>
    <x v="0"/>
    <n v="12201818"/>
    <d v="2024-10-01T00:00:00"/>
    <x v="9"/>
    <x v="0"/>
    <s v="Bắc Trung Bộ"/>
    <x v="1"/>
    <x v="5"/>
    <n v="12.201817999999999"/>
  </r>
  <r>
    <x v="14"/>
    <s v="Công ty 90"/>
    <x v="0"/>
    <n v="144124000"/>
    <d v="2024-10-01T00:00:00"/>
    <x v="9"/>
    <x v="0"/>
    <s v="ĐB Sông Hồng"/>
    <x v="1"/>
    <x v="5"/>
    <n v="144.124"/>
  </r>
  <r>
    <x v="30"/>
    <s v="Công ty 95"/>
    <x v="4"/>
    <n v="70554309"/>
    <d v="2024-10-01T00:00:00"/>
    <x v="9"/>
    <x v="0"/>
    <s v="ĐB Sông Cửu Long"/>
    <x v="1"/>
    <x v="3"/>
    <n v="70.554309000000003"/>
  </r>
  <r>
    <x v="34"/>
    <s v="Công ty 7"/>
    <x v="1"/>
    <n v="126867273"/>
    <d v="2024-10-01T00:00:00"/>
    <x v="9"/>
    <x v="0"/>
    <s v="Tây Bắc Bộ"/>
    <x v="1"/>
    <x v="13"/>
    <n v="126.867273"/>
  </r>
  <r>
    <x v="9"/>
    <s v="Công ty 26"/>
    <x v="0"/>
    <n v="37440000"/>
    <d v="2024-10-01T00:00:00"/>
    <x v="9"/>
    <x v="0"/>
    <s v="Duyên hải Nam Trung Bộ"/>
    <x v="1"/>
    <x v="0"/>
    <n v="37.44"/>
  </r>
  <r>
    <x v="9"/>
    <s v="Công ty 27"/>
    <x v="0"/>
    <n v="52251000"/>
    <d v="2024-10-01T00:00:00"/>
    <x v="9"/>
    <x v="0"/>
    <s v="Duyên hải Nam Trung Bộ"/>
    <x v="1"/>
    <x v="1"/>
    <n v="52.250999999999998"/>
  </r>
  <r>
    <x v="18"/>
    <s v="Công ty 60"/>
    <x v="1"/>
    <n v="548790909"/>
    <d v="2024-10-01T00:00:00"/>
    <x v="9"/>
    <x v="0"/>
    <s v="Tây Nguyên"/>
    <x v="1"/>
    <x v="2"/>
    <n v="548.79090900000006"/>
  </r>
  <r>
    <x v="0"/>
    <s v="Công ty 83"/>
    <x v="0"/>
    <n v="15340909"/>
    <d v="2024-10-01T00:00:00"/>
    <x v="9"/>
    <x v="0"/>
    <s v="Bắc Trung Bộ"/>
    <x v="1"/>
    <x v="1"/>
    <n v="15.340909"/>
  </r>
  <r>
    <x v="19"/>
    <s v="Công ty 88"/>
    <x v="4"/>
    <n v="327272727"/>
    <d v="2024-10-01T00:00:00"/>
    <x v="9"/>
    <x v="0"/>
    <s v="Duyên hải Nam Trung Bộ"/>
    <x v="1"/>
    <x v="3"/>
    <n v="327.27272699999997"/>
  </r>
  <r>
    <x v="14"/>
    <s v="Công ty 93"/>
    <x v="0"/>
    <n v="187550000"/>
    <d v="2024-10-01T00:00:00"/>
    <x v="9"/>
    <x v="0"/>
    <s v="ĐB Sông Hồng"/>
    <x v="1"/>
    <x v="5"/>
    <n v="187.55"/>
  </r>
  <r>
    <x v="48"/>
    <s v="Công ty 99"/>
    <x v="0"/>
    <n v="151593500"/>
    <d v="2024-10-01T00:00:00"/>
    <x v="9"/>
    <x v="0"/>
    <s v="Đông Bắc Bộ"/>
    <x v="1"/>
    <x v="1"/>
    <n v="151.59350000000001"/>
  </r>
  <r>
    <x v="28"/>
    <s v="Công ty 96"/>
    <x v="4"/>
    <n v="87262727"/>
    <d v="2024-10-01T00:00:00"/>
    <x v="9"/>
    <x v="0"/>
    <s v="ĐB Sông Hồng"/>
    <x v="1"/>
    <x v="3"/>
    <n v="87.262726999999998"/>
  </r>
  <r>
    <x v="37"/>
    <s v="Doanh nghiệp 3"/>
    <x v="1"/>
    <n v="31727273"/>
    <d v="2024-10-01T00:00:00"/>
    <x v="9"/>
    <x v="0"/>
    <s v="ĐB Sông Cửu Long"/>
    <x v="1"/>
    <x v="2"/>
    <n v="31.727273"/>
  </r>
  <r>
    <x v="0"/>
    <s v="Doanh nghiệp 6"/>
    <x v="4"/>
    <n v="146181818"/>
    <d v="2024-10-01T00:00:00"/>
    <x v="9"/>
    <x v="0"/>
    <s v="Bắc Trung Bộ"/>
    <x v="1"/>
    <x v="3"/>
    <n v="146.18181799999999"/>
  </r>
  <r>
    <x v="39"/>
    <s v="Doanh nghiệp 19"/>
    <x v="4"/>
    <n v="154545455"/>
    <d v="2024-10-01T00:00:00"/>
    <x v="9"/>
    <x v="0"/>
    <s v="ĐB Sông Cửu Long"/>
    <x v="1"/>
    <x v="3"/>
    <n v="154.545455"/>
  </r>
  <r>
    <x v="19"/>
    <s v="Doanh nghiệp 22"/>
    <x v="4"/>
    <n v="158181818"/>
    <d v="2024-10-01T00:00:00"/>
    <x v="9"/>
    <x v="0"/>
    <s v="Duyên hải Nam Trung Bộ"/>
    <x v="1"/>
    <x v="3"/>
    <n v="158.18181799999999"/>
  </r>
  <r>
    <x v="38"/>
    <s v="Doanh nghiệp 4"/>
    <x v="4"/>
    <n v="179090909"/>
    <d v="2024-10-01T00:00:00"/>
    <x v="9"/>
    <x v="0"/>
    <s v="Tây Nguyên"/>
    <x v="1"/>
    <x v="3"/>
    <n v="179.09090900000001"/>
  </r>
  <r>
    <x v="56"/>
    <s v="Doanh nghiệp 7"/>
    <x v="4"/>
    <n v="25168919"/>
    <d v="2024-10-01T00:00:00"/>
    <x v="9"/>
    <x v="0"/>
    <s v="ĐB Sông Cửu Long"/>
    <x v="1"/>
    <x v="9"/>
    <n v="25.168918999999999"/>
  </r>
  <r>
    <x v="48"/>
    <s v="Doanh nghiệp 8"/>
    <x v="4"/>
    <n v="167717273"/>
    <d v="2024-10-01T00:00:00"/>
    <x v="9"/>
    <x v="0"/>
    <s v="Đông Bắc Bộ"/>
    <x v="1"/>
    <x v="3"/>
    <n v="167.71727300000001"/>
  </r>
  <r>
    <x v="38"/>
    <s v="Doanh nghiệp 19"/>
    <x v="4"/>
    <n v="85512910"/>
    <d v="2024-10-01T00:00:00"/>
    <x v="9"/>
    <x v="0"/>
    <s v="Tây Nguyên"/>
    <x v="1"/>
    <x v="3"/>
    <n v="85.512910000000005"/>
  </r>
  <r>
    <x v="38"/>
    <s v="Doanh nghiệp 26"/>
    <x v="4"/>
    <n v="209917355"/>
    <d v="2024-10-01T00:00:00"/>
    <x v="9"/>
    <x v="0"/>
    <s v="Tây Nguyên"/>
    <x v="1"/>
    <x v="3"/>
    <n v="209.91735499999999"/>
  </r>
  <r>
    <x v="0"/>
    <s v="Doanh nghiệp 16"/>
    <x v="1"/>
    <n v="18136364"/>
    <d v="2024-10-01T00:00:00"/>
    <x v="9"/>
    <x v="0"/>
    <s v="Bắc Trung Bộ"/>
    <x v="1"/>
    <x v="2"/>
    <n v="18.136364"/>
  </r>
  <r>
    <x v="15"/>
    <s v="Doanh nghiệp 17"/>
    <x v="1"/>
    <n v="26645455"/>
    <d v="2024-10-01T00:00:00"/>
    <x v="9"/>
    <x v="0"/>
    <s v="Duyên hải Nam Trung Bộ"/>
    <x v="1"/>
    <x v="2"/>
    <n v="26.645454999999998"/>
  </r>
  <r>
    <x v="48"/>
    <s v="Doanh nghiệp 11"/>
    <x v="1"/>
    <n v="855000000"/>
    <d v="2024-10-01T00:00:00"/>
    <x v="9"/>
    <x v="0"/>
    <s v="Đông Bắc Bộ"/>
    <x v="1"/>
    <x v="13"/>
    <n v="855"/>
  </r>
  <r>
    <x v="30"/>
    <s v="Doanh nghiệp 31"/>
    <x v="0"/>
    <n v="38317582"/>
    <d v="2024-10-01T00:00:00"/>
    <x v="9"/>
    <x v="0"/>
    <s v="ĐB Sông Cửu Long"/>
    <x v="1"/>
    <x v="0"/>
    <n v="38.317582000000002"/>
  </r>
  <r>
    <x v="2"/>
    <s v="Doanh nghiệp 25"/>
    <x v="0"/>
    <n v="222145000"/>
    <d v="2024-10-01T00:00:00"/>
    <x v="9"/>
    <x v="0"/>
    <s v="ĐB Sông Cửu Long"/>
    <x v="1"/>
    <x v="0"/>
    <n v="222.14500000000001"/>
  </r>
  <r>
    <x v="41"/>
    <s v="Doanh nghiệp 28"/>
    <x v="1"/>
    <n v="79458644"/>
    <d v="2024-10-01T00:00:00"/>
    <x v="9"/>
    <x v="0"/>
    <s v="Đông Bắc Bộ"/>
    <x v="1"/>
    <x v="13"/>
    <n v="79.458644000000007"/>
  </r>
  <r>
    <x v="41"/>
    <s v="Doanh nghiệp 29"/>
    <x v="1"/>
    <n v="88538545"/>
    <d v="2024-10-01T00:00:00"/>
    <x v="9"/>
    <x v="0"/>
    <s v="Đông Bắc Bộ"/>
    <x v="1"/>
    <x v="13"/>
    <n v="88.538544999999999"/>
  </r>
  <r>
    <x v="50"/>
    <s v="Tập đoàn 19"/>
    <x v="1"/>
    <n v="109809772"/>
    <d v="2024-10-01T00:00:00"/>
    <x v="9"/>
    <x v="0"/>
    <s v="Tây Bắc Bộ"/>
    <x v="1"/>
    <x v="4"/>
    <n v="109.809772"/>
  </r>
  <r>
    <x v="35"/>
    <s v="Tập đoàn 27"/>
    <x v="0"/>
    <n v="294776900"/>
    <d v="2024-10-01T00:00:00"/>
    <x v="9"/>
    <x v="0"/>
    <s v="Đông Bắc Bộ"/>
    <x v="1"/>
    <x v="0"/>
    <n v="294.77690000000001"/>
  </r>
  <r>
    <x v="3"/>
    <s v="Tập đoàn 35"/>
    <x v="2"/>
    <n v="51880219"/>
    <d v="2024-10-01T00:00:00"/>
    <x v="9"/>
    <x v="0"/>
    <s v="ĐB Sông Cửu Long"/>
    <x v="1"/>
    <x v="4"/>
    <n v="51.880218999999997"/>
  </r>
  <r>
    <x v="51"/>
    <s v="Tập đoàn 50"/>
    <x v="3"/>
    <n v="388238182"/>
    <d v="2024-10-01T00:00:00"/>
    <x v="9"/>
    <x v="0"/>
    <s v="ĐB Sông Hồng"/>
    <x v="1"/>
    <x v="18"/>
    <n v="388.23818199999999"/>
  </r>
  <r>
    <x v="51"/>
    <s v="Tập đoàn 51"/>
    <x v="0"/>
    <n v="30060000"/>
    <d v="2024-10-01T00:00:00"/>
    <x v="9"/>
    <x v="0"/>
    <s v="ĐB Sông Hồng"/>
    <x v="1"/>
    <x v="1"/>
    <n v="30.06"/>
  </r>
  <r>
    <x v="51"/>
    <s v="Tập đoàn 52"/>
    <x v="0"/>
    <n v="67390236"/>
    <d v="2024-10-01T00:00:00"/>
    <x v="9"/>
    <x v="0"/>
    <s v="ĐB Sông Hồng"/>
    <x v="1"/>
    <x v="1"/>
    <n v="67.390236000000002"/>
  </r>
  <r>
    <x v="51"/>
    <s v="Tập đoàn 53"/>
    <x v="0"/>
    <n v="41748964"/>
    <d v="2024-10-01T00:00:00"/>
    <x v="9"/>
    <x v="0"/>
    <s v="ĐB Sông Hồng"/>
    <x v="1"/>
    <x v="1"/>
    <n v="41.748964000000001"/>
  </r>
  <r>
    <x v="0"/>
    <s v="Tập đoàn 71"/>
    <x v="2"/>
    <n v="20500364"/>
    <d v="2024-10-01T00:00:00"/>
    <x v="9"/>
    <x v="0"/>
    <s v="Bắc Trung Bộ"/>
    <x v="1"/>
    <x v="2"/>
    <n v="20.500364000000001"/>
  </r>
  <r>
    <x v="22"/>
    <s v="Tập đoàn 85"/>
    <x v="2"/>
    <n v="346468909"/>
    <d v="2024-10-01T00:00:00"/>
    <x v="9"/>
    <x v="0"/>
    <s v="Bắc Trung Bộ"/>
    <x v="1"/>
    <x v="10"/>
    <n v="346.468909"/>
  </r>
  <r>
    <x v="40"/>
    <s v="Tập đoàn 89"/>
    <x v="0"/>
    <n v="880877727"/>
    <d v="2024-10-01T00:00:00"/>
    <x v="9"/>
    <x v="0"/>
    <s v="ĐB Sông Cửu Long"/>
    <x v="1"/>
    <x v="1"/>
    <n v="880.87772700000005"/>
  </r>
  <r>
    <x v="42"/>
    <s v="Tập đoàn 91"/>
    <x v="4"/>
    <n v="63636364"/>
    <d v="2024-10-01T00:00:00"/>
    <x v="9"/>
    <x v="0"/>
    <s v="Tây Bắc Bộ"/>
    <x v="1"/>
    <x v="9"/>
    <n v="63.636364"/>
  </r>
  <r>
    <x v="41"/>
    <s v="Tập đoàn 92"/>
    <x v="4"/>
    <n v="217367273"/>
    <d v="2024-10-01T00:00:00"/>
    <x v="9"/>
    <x v="0"/>
    <s v="Đông Bắc Bộ"/>
    <x v="1"/>
    <x v="9"/>
    <n v="217.36727300000001"/>
  </r>
  <r>
    <x v="33"/>
    <s v="Tập đoàn 93"/>
    <x v="1"/>
    <n v="43280000"/>
    <d v="2024-10-01T00:00:00"/>
    <x v="9"/>
    <x v="0"/>
    <s v="Đông Bắc Bộ"/>
    <x v="1"/>
    <x v="13"/>
    <n v="43.28"/>
  </r>
  <r>
    <x v="13"/>
    <s v="Tập đoàn 94"/>
    <x v="2"/>
    <n v="75836364"/>
    <d v="2024-10-01T00:00:00"/>
    <x v="9"/>
    <x v="0"/>
    <s v="Tây Bắc Bộ"/>
    <x v="1"/>
    <x v="1"/>
    <n v="75.836364000000003"/>
  </r>
  <r>
    <x v="20"/>
    <s v="Tập đoàn 92"/>
    <x v="1"/>
    <n v="538770000"/>
    <d v="2024-10-01T00:00:00"/>
    <x v="9"/>
    <x v="0"/>
    <s v="Duyên hải Nam Trung Bộ"/>
    <x v="1"/>
    <x v="13"/>
    <n v="538.77"/>
  </r>
  <r>
    <x v="0"/>
    <s v="Tập đoàn 93"/>
    <x v="0"/>
    <n v="13181818"/>
    <d v="2024-10-01T00:00:00"/>
    <x v="9"/>
    <x v="0"/>
    <s v="Bắc Trung Bộ"/>
    <x v="1"/>
    <x v="5"/>
    <n v="13.181818"/>
  </r>
  <r>
    <x v="41"/>
    <s v="Tập đoàn 92"/>
    <x v="0"/>
    <n v="7327273"/>
    <d v="2024-10-01T00:00:00"/>
    <x v="9"/>
    <x v="0"/>
    <s v="Đông Bắc Bộ"/>
    <x v="1"/>
    <x v="1"/>
    <n v="7.3272729999999999"/>
  </r>
  <r>
    <x v="29"/>
    <s v="BỘ CHỈ HUY BỘ ĐỘI BIÊN PHÒNG TIỀN GIANG"/>
    <x v="0"/>
    <n v="271110000"/>
    <d v="2024-10-01T00:00:00"/>
    <x v="9"/>
    <x v="0"/>
    <s v="ĐB Sông Cửu Long"/>
    <x v="2"/>
    <x v="0"/>
    <n v="271.11"/>
  </r>
  <r>
    <x v="3"/>
    <s v="BỘ CHỈ HUY BỘ ĐỘI BIÊN PHÒNG TỈNH LONG AN"/>
    <x v="2"/>
    <n v="43740000"/>
    <d v="2024-10-01T00:00:00"/>
    <x v="9"/>
    <x v="0"/>
    <s v="ĐB Sông Cửu Long"/>
    <x v="2"/>
    <x v="0"/>
    <n v="43.74"/>
  </r>
  <r>
    <x v="32"/>
    <s v="Bộ Chỉ Huy Quân Sự Tỉnh Đồng Tháp"/>
    <x v="0"/>
    <n v="83636364"/>
    <d v="2024-10-01T00:00:00"/>
    <x v="9"/>
    <x v="0"/>
    <s v="ĐB Sông Cửu Long"/>
    <x v="2"/>
    <x v="5"/>
    <n v="83.636364"/>
  </r>
  <r>
    <x v="60"/>
    <s v="CÔNG AN HUYỆN ĐỒNG VĂN"/>
    <x v="0"/>
    <n v="36363636"/>
    <d v="2024-10-01T00:00:00"/>
    <x v="9"/>
    <x v="0"/>
    <s v="Đông Bắc Bộ"/>
    <x v="2"/>
    <x v="1"/>
    <n v="36.363636"/>
  </r>
  <r>
    <x v="60"/>
    <s v="CÔNG AN HUYỆN ĐỒNG VĂN"/>
    <x v="0"/>
    <n v="54545455"/>
    <d v="2024-10-01T00:00:00"/>
    <x v="9"/>
    <x v="0"/>
    <s v="Đông Bắc Bộ"/>
    <x v="2"/>
    <x v="1"/>
    <n v="54.545454999999997"/>
  </r>
  <r>
    <x v="60"/>
    <s v="CÔNG AN HUYỆN ĐỒNG VĂN"/>
    <x v="0"/>
    <n v="54545455"/>
    <d v="2024-10-01T00:00:00"/>
    <x v="9"/>
    <x v="0"/>
    <s v="Đông Bắc Bộ"/>
    <x v="2"/>
    <x v="1"/>
    <n v="54.545454999999997"/>
  </r>
  <r>
    <x v="60"/>
    <s v="CÔNG AN HUYỆN ĐỒNG VĂN"/>
    <x v="0"/>
    <n v="36363636"/>
    <d v="2024-10-01T00:00:00"/>
    <x v="9"/>
    <x v="0"/>
    <s v="Đông Bắc Bộ"/>
    <x v="2"/>
    <x v="1"/>
    <n v="36.363636"/>
  </r>
  <r>
    <x v="56"/>
    <s v="CÔNG AN TỈNH CÀ MAU"/>
    <x v="0"/>
    <n v="35614873"/>
    <d v="2024-10-01T00:00:00"/>
    <x v="9"/>
    <x v="0"/>
    <s v="ĐB Sông Cửu Long"/>
    <x v="2"/>
    <x v="1"/>
    <n v="35.614873000000003"/>
  </r>
  <r>
    <x v="39"/>
    <s v="Công An Tỉnh Vĩnh Long"/>
    <x v="0"/>
    <n v="19743802"/>
    <d v="2024-10-01T00:00:00"/>
    <x v="9"/>
    <x v="0"/>
    <s v="ĐB Sông Cửu Long"/>
    <x v="2"/>
    <x v="1"/>
    <n v="19.743801999999999"/>
  </r>
  <r>
    <x v="14"/>
    <s v="Cục An Ninh Nội Địa – Bộ Công An"/>
    <x v="0"/>
    <n v="843960000"/>
    <d v="2024-10-01T00:00:00"/>
    <x v="9"/>
    <x v="0"/>
    <s v="ĐB Sông Hồng"/>
    <x v="2"/>
    <x v="5"/>
    <n v="843.96"/>
  </r>
  <r>
    <x v="62"/>
    <s v="Cục Công Nghệ Thông Tin – Kho Bạc Nhà Nước"/>
    <x v="0"/>
    <n v="5842500000"/>
    <d v="2024-10-01T00:00:00"/>
    <x v="9"/>
    <x v="0"/>
    <s v="Bắc Trung Bộ"/>
    <x v="2"/>
    <x v="5"/>
    <n v="5842.5"/>
  </r>
  <r>
    <x v="57"/>
    <s v="Học Viện Công Nghệ Bưu Chính Viễn Thông"/>
    <x v="1"/>
    <n v="2170171818"/>
    <d v="2024-10-01T00:00:00"/>
    <x v="9"/>
    <x v="0"/>
    <s v="ĐB Sông Cửu Long"/>
    <x v="4"/>
    <x v="2"/>
    <n v="2170.1718179999998"/>
  </r>
  <r>
    <x v="29"/>
    <s v="Hội Người Cao Tuổi Tỉnh Tiền Giang"/>
    <x v="0"/>
    <n v="261837091"/>
    <d v="2024-10-01T00:00:00"/>
    <x v="9"/>
    <x v="0"/>
    <s v="ĐB Sông Cửu Long"/>
    <x v="2"/>
    <x v="5"/>
    <n v="261.83709099999999"/>
  </r>
  <r>
    <x v="22"/>
    <s v="HỘI NÔNG DÂN TỈNH THỪA THIÊN HUẾ"/>
    <x v="1"/>
    <n v="134272727"/>
    <d v="2024-10-01T00:00:00"/>
    <x v="9"/>
    <x v="0"/>
    <s v="Bắc Trung Bộ"/>
    <x v="2"/>
    <x v="15"/>
    <n v="134.272727"/>
  </r>
  <r>
    <x v="25"/>
    <s v="Ngân Hàng Nông Nghiệp Và Phát Triển Nông Thôn Việt Nam – Chi Nhánh Huyện Lạc Dương, Lâm Đồng"/>
    <x v="2"/>
    <n v="17476364"/>
    <d v="2024-10-01T00:00:00"/>
    <x v="9"/>
    <x v="0"/>
    <s v="Tây Nguyên"/>
    <x v="3"/>
    <x v="2"/>
    <n v="17.476364"/>
  </r>
  <r>
    <x v="0"/>
    <s v="Ngân Hàng Nông Nghiệp Và Phát Triển Nông Thôn Việt Nam - Chi Nhánh Nam Nghệ An"/>
    <x v="0"/>
    <n v="162510465"/>
    <d v="2024-10-01T00:00:00"/>
    <x v="9"/>
    <x v="0"/>
    <s v="Bắc Trung Bộ"/>
    <x v="3"/>
    <x v="14"/>
    <n v="162.51046500000001"/>
  </r>
  <r>
    <x v="41"/>
    <s v="PHÒNG VĂN HOÁ THÔNG TIN HUYỆN HÀ QUẢNG"/>
    <x v="0"/>
    <n v="618438182"/>
    <d v="2024-10-01T00:00:00"/>
    <x v="9"/>
    <x v="0"/>
    <s v="Đông Bắc Bộ"/>
    <x v="2"/>
    <x v="16"/>
    <n v="618.43818199999998"/>
  </r>
  <r>
    <x v="24"/>
    <s v="Quỹ tín dụng Chí Hòa"/>
    <x v="1"/>
    <n v="25636364"/>
    <d v="2024-10-01T00:00:00"/>
    <x v="9"/>
    <x v="0"/>
    <s v="ĐB Sông Hồng"/>
    <x v="2"/>
    <x v="13"/>
    <n v="25.636364"/>
  </r>
  <r>
    <x v="1"/>
    <s v="SỞ KẾ HOẠCH VÀ ĐẦU TƯ TỈNH BÌNH ĐỊNH"/>
    <x v="0"/>
    <n v="16663636"/>
    <d v="2024-10-01T00:00:00"/>
    <x v="9"/>
    <x v="0"/>
    <s v="Duyên hải Nam Trung Bộ"/>
    <x v="2"/>
    <x v="0"/>
    <n v="16.663636"/>
  </r>
  <r>
    <x v="29"/>
    <s v="Sở Tài Chính Tỉnh Tiền Giang"/>
    <x v="0"/>
    <n v="354127102"/>
    <d v="2024-10-01T00:00:00"/>
    <x v="9"/>
    <x v="0"/>
    <s v="ĐB Sông Cửu Long"/>
    <x v="2"/>
    <x v="5"/>
    <n v="354.12710199999998"/>
  </r>
  <r>
    <x v="56"/>
    <s v="Sở Xây Dựng Tỉnh Cà Mau"/>
    <x v="0"/>
    <n v="36990000"/>
    <d v="2024-10-01T00:00:00"/>
    <x v="9"/>
    <x v="0"/>
    <s v="ĐB Sông Cửu Long"/>
    <x v="2"/>
    <x v="1"/>
    <n v="36.99"/>
  </r>
  <r>
    <x v="30"/>
    <s v="TRUNG TÂM CHÍNH TRỊ HUYỆN CHÂU THÀNH"/>
    <x v="1"/>
    <n v="71956364"/>
    <d v="2024-10-01T00:00:00"/>
    <x v="9"/>
    <x v="0"/>
    <s v="ĐB Sông Cửu Long"/>
    <x v="2"/>
    <x v="2"/>
    <n v="71.956363999999994"/>
  </r>
  <r>
    <x v="53"/>
    <s v="Trung Tâm Y Tế Huyện Bạch Thông"/>
    <x v="1"/>
    <n v="165283636"/>
    <d v="2024-10-01T00:00:00"/>
    <x v="9"/>
    <x v="0"/>
    <s v="Đông Bắc Bộ"/>
    <x v="2"/>
    <x v="2"/>
    <n v="165.283636"/>
  </r>
  <r>
    <x v="25"/>
    <s v="TRUNG TÂM Y TẾ HUYỆN LẠC DƯƠNG"/>
    <x v="0"/>
    <n v="90000000"/>
    <d v="2024-10-01T00:00:00"/>
    <x v="9"/>
    <x v="0"/>
    <s v="Tây Nguyên"/>
    <x v="2"/>
    <x v="14"/>
    <n v="90"/>
  </r>
  <r>
    <x v="17"/>
    <s v="Trung Tâm Y Tế Thành Phố Tuy Hòa"/>
    <x v="1"/>
    <n v="98410000"/>
    <d v="2024-10-01T00:00:00"/>
    <x v="9"/>
    <x v="0"/>
    <s v="Duyên hải Nam Trung Bộ"/>
    <x v="2"/>
    <x v="15"/>
    <n v="98.41"/>
  </r>
  <r>
    <x v="15"/>
    <s v="Ubnd Thị Trấn Vạn Giã"/>
    <x v="4"/>
    <n v="22727273"/>
    <d v="2024-10-01T00:00:00"/>
    <x v="9"/>
    <x v="0"/>
    <s v="Duyên hải Nam Trung Bộ"/>
    <x v="2"/>
    <x v="9"/>
    <n v="22.727273"/>
  </r>
  <r>
    <x v="15"/>
    <s v="Ubnd Thị Trấn Vạn Giã"/>
    <x v="2"/>
    <n v="18181818"/>
    <d v="2024-10-01T00:00:00"/>
    <x v="9"/>
    <x v="0"/>
    <s v="Duyên hải Nam Trung Bộ"/>
    <x v="2"/>
    <x v="9"/>
    <n v="18.181818"/>
  </r>
  <r>
    <x v="47"/>
    <s v="Ubnd Xã Bình An"/>
    <x v="4"/>
    <n v="89957363"/>
    <d v="2024-10-01T00:00:00"/>
    <x v="9"/>
    <x v="0"/>
    <s v="Đông Bắc Bộ"/>
    <x v="2"/>
    <x v="9"/>
    <n v="89.957363000000001"/>
  </r>
  <r>
    <x v="47"/>
    <s v="Ubnd Xã Bình An"/>
    <x v="4"/>
    <n v="89957363"/>
    <d v="2024-10-01T00:00:00"/>
    <x v="9"/>
    <x v="0"/>
    <s v="Đông Bắc Bộ"/>
    <x v="2"/>
    <x v="9"/>
    <n v="89.957363000000001"/>
  </r>
  <r>
    <x v="40"/>
    <s v="UBND XÃ LONG KHÁNH"/>
    <x v="2"/>
    <n v="45157091"/>
    <d v="2024-10-01T00:00:00"/>
    <x v="9"/>
    <x v="0"/>
    <s v="ĐB Sông Cửu Long"/>
    <x v="2"/>
    <x v="1"/>
    <n v="45.157091000000001"/>
  </r>
  <r>
    <x v="49"/>
    <s v="Ubnd Xã Mỹ An"/>
    <x v="0"/>
    <n v="16392727"/>
    <d v="2024-10-01T00:00:00"/>
    <x v="9"/>
    <x v="0"/>
    <s v="ĐB Sông Cửu Long"/>
    <x v="2"/>
    <x v="1"/>
    <n v="16.392727000000001"/>
  </r>
  <r>
    <x v="29"/>
    <s v="UBND XÃ TÂN TÂY"/>
    <x v="0"/>
    <n v="15505000"/>
    <d v="2024-10-01T00:00:00"/>
    <x v="9"/>
    <x v="0"/>
    <s v="ĐB Sông Cửu Long"/>
    <x v="2"/>
    <x v="1"/>
    <n v="15.505000000000001"/>
  </r>
  <r>
    <x v="20"/>
    <s v="Ubnd Xã Tân Tiến"/>
    <x v="4"/>
    <n v="166800000"/>
    <d v="2024-10-01T00:00:00"/>
    <x v="9"/>
    <x v="0"/>
    <s v="Duyên hải Nam Trung Bộ"/>
    <x v="2"/>
    <x v="9"/>
    <n v="166.8"/>
  </r>
  <r>
    <x v="45"/>
    <s v="Ubnd Xã Thạnh Thới An"/>
    <x v="4"/>
    <n v="54545455"/>
    <d v="2024-10-01T00:00:00"/>
    <x v="9"/>
    <x v="0"/>
    <s v="ĐB Sông Cửu Long"/>
    <x v="2"/>
    <x v="9"/>
    <n v="54.545454999999997"/>
  </r>
  <r>
    <x v="5"/>
    <s v="UBND XÃ THỌ SƠN"/>
    <x v="1"/>
    <n v="54477000"/>
    <d v="2024-10-01T00:00:00"/>
    <x v="9"/>
    <x v="0"/>
    <s v="Đông Nam Bộ"/>
    <x v="2"/>
    <x v="11"/>
    <n v="54.476999999999997"/>
  </r>
  <r>
    <x v="51"/>
    <s v="Ubnd Xã Trực Hưng"/>
    <x v="0"/>
    <n v="98240288"/>
    <d v="2024-10-01T00:00:00"/>
    <x v="9"/>
    <x v="0"/>
    <s v="ĐB Sông Hồng"/>
    <x v="2"/>
    <x v="1"/>
    <n v="98.240288000000007"/>
  </r>
  <r>
    <x v="20"/>
    <s v="Ủy ban nhân dân Thị trấn Lương Sơn"/>
    <x v="0"/>
    <n v="15246199"/>
    <d v="2024-10-01T00:00:00"/>
    <x v="9"/>
    <x v="0"/>
    <s v="Duyên hải Nam Trung Bộ"/>
    <x v="2"/>
    <x v="1"/>
    <n v="15.246199000000001"/>
  </r>
  <r>
    <x v="20"/>
    <s v="Ủy ban nhân dân Thị trấn Lương Sơn"/>
    <x v="0"/>
    <n v="69544600"/>
    <d v="2024-10-01T00:00:00"/>
    <x v="9"/>
    <x v="0"/>
    <s v="Duyên hải Nam Trung Bộ"/>
    <x v="2"/>
    <x v="1"/>
    <n v="69.544600000000003"/>
  </r>
  <r>
    <x v="20"/>
    <s v="Ủy ban nhân dân Thị trấn Lương Sơn"/>
    <x v="0"/>
    <n v="87203700"/>
    <d v="2024-10-01T00:00:00"/>
    <x v="9"/>
    <x v="0"/>
    <s v="Duyên hải Nam Trung Bộ"/>
    <x v="2"/>
    <x v="1"/>
    <n v="87.203699999999998"/>
  </r>
  <r>
    <x v="20"/>
    <s v="UỶ BAN NHÂN DÂN XÃ HÀM MỸ"/>
    <x v="4"/>
    <n v="156005489"/>
    <d v="2024-10-01T00:00:00"/>
    <x v="9"/>
    <x v="0"/>
    <s v="Duyên hải Nam Trung Bộ"/>
    <x v="2"/>
    <x v="9"/>
    <n v="156.00548900000001"/>
  </r>
  <r>
    <x v="51"/>
    <s v="Ủy Ban Nhân Dân Xã Hoàng Nam"/>
    <x v="0"/>
    <n v="30877233"/>
    <d v="2024-10-01T00:00:00"/>
    <x v="9"/>
    <x v="0"/>
    <s v="ĐB Sông Hồng"/>
    <x v="2"/>
    <x v="1"/>
    <n v="30.877233"/>
  </r>
  <r>
    <x v="47"/>
    <s v="Ủy Ban Nhân Dân Xã Hợp Hòa"/>
    <x v="4"/>
    <n v="68167273"/>
    <d v="2024-10-01T00:00:00"/>
    <x v="9"/>
    <x v="0"/>
    <s v="Đông Bắc Bộ"/>
    <x v="2"/>
    <x v="9"/>
    <n v="68.167272999999994"/>
  </r>
  <r>
    <x v="33"/>
    <s v="Uỷ Ban Nhân Dân Xã Kiên Lao"/>
    <x v="0"/>
    <n v="21900000"/>
    <d v="2024-10-01T00:00:00"/>
    <x v="9"/>
    <x v="0"/>
    <s v="Đông Bắc Bộ"/>
    <x v="2"/>
    <x v="5"/>
    <n v="21.9"/>
  </r>
  <r>
    <x v="24"/>
    <s v="Ủy Ban Nhân Dân Xã Vũ Đông"/>
    <x v="0"/>
    <n v="160233636"/>
    <d v="2024-10-01T00:00:00"/>
    <x v="9"/>
    <x v="0"/>
    <s v="ĐB Sông Hồng"/>
    <x v="2"/>
    <x v="1"/>
    <n v="160.23363599999999"/>
  </r>
  <r>
    <x v="33"/>
    <s v="VĂN PHÒNG HĐND-UBND HUYỆN HIỆP HÒA"/>
    <x v="0"/>
    <n v="90500000"/>
    <d v="2024-10-01T00:00:00"/>
    <x v="9"/>
    <x v="0"/>
    <s v="Đông Bắc Bộ"/>
    <x v="2"/>
    <x v="5"/>
    <n v="90.5"/>
  </r>
  <r>
    <x v="14"/>
    <s v="Viện Khoa Học Địa Chất Và Khoáng Sản"/>
    <x v="0"/>
    <n v="133450000"/>
    <d v="2024-10-01T00:00:00"/>
    <x v="9"/>
    <x v="0"/>
    <s v="ĐB Sông Hồng"/>
    <x v="2"/>
    <x v="5"/>
    <n v="133.44999999999999"/>
  </r>
  <r>
    <x v="14"/>
    <s v="Cục Nhà Trường/bộ Tổng Tham Mưu"/>
    <x v="0"/>
    <n v="144580000"/>
    <d v="2024-10-01T00:00:00"/>
    <x v="9"/>
    <x v="0"/>
    <s v="ĐB Sông Hồng"/>
    <x v="4"/>
    <x v="5"/>
    <n v="144.58000000000001"/>
  </r>
  <r>
    <x v="57"/>
    <s v="Trường Đại Học Đồng Tháp"/>
    <x v="1"/>
    <n v="322954545"/>
    <d v="2024-10-01T00:00:00"/>
    <x v="9"/>
    <x v="0"/>
    <s v="ĐB Sông Cửu Long"/>
    <x v="4"/>
    <x v="13"/>
    <n v="322.954545"/>
  </r>
  <r>
    <x v="57"/>
    <s v="TRƯỜNG ĐẠI HỌC KIẾN TRÚC THÀNH PHỐ HỒ CHÍ MINH"/>
    <x v="3"/>
    <n v="580901818"/>
    <d v="2024-10-01T00:00:00"/>
    <x v="9"/>
    <x v="0"/>
    <s v="ĐB Sông Cửu Long"/>
    <x v="4"/>
    <x v="7"/>
    <n v="580.90181800000005"/>
  </r>
  <r>
    <x v="0"/>
    <s v="TRƯỜNG MẦM NON DIỄN HỒNG"/>
    <x v="0"/>
    <n v="5581818"/>
    <d v="2024-10-01T00:00:00"/>
    <x v="9"/>
    <x v="0"/>
    <s v="Bắc Trung Bộ"/>
    <x v="4"/>
    <x v="0"/>
    <n v="5.5818180000000002"/>
  </r>
  <r>
    <x v="53"/>
    <s v="TRƯỜNG MẦM NON HÀ HIỆU"/>
    <x v="2"/>
    <n v="8063636"/>
    <d v="2024-10-01T00:00:00"/>
    <x v="9"/>
    <x v="0"/>
    <s v="Đông Bắc Bộ"/>
    <x v="4"/>
    <x v="5"/>
    <n v="8.0636360000000007"/>
  </r>
  <r>
    <x v="16"/>
    <s v="Trường Mầm Non Xã Bắc Lý"/>
    <x v="1"/>
    <n v="34545455"/>
    <d v="2024-10-01T00:00:00"/>
    <x v="9"/>
    <x v="0"/>
    <s v="ĐB Sông Hồng"/>
    <x v="4"/>
    <x v="13"/>
    <n v="34.545454999999997"/>
  </r>
  <r>
    <x v="16"/>
    <s v="Trường Mầm Non Xã Chân Lý"/>
    <x v="1"/>
    <n v="34545455"/>
    <d v="2024-10-01T00:00:00"/>
    <x v="9"/>
    <x v="0"/>
    <s v="ĐB Sông Hồng"/>
    <x v="4"/>
    <x v="13"/>
    <n v="34.545454999999997"/>
  </r>
  <r>
    <x v="16"/>
    <s v="Trường Mầm Non Xã Hợp Lý"/>
    <x v="1"/>
    <n v="51818182"/>
    <d v="2024-10-01T00:00:00"/>
    <x v="9"/>
    <x v="0"/>
    <s v="ĐB Sông Hồng"/>
    <x v="4"/>
    <x v="13"/>
    <n v="51.818182"/>
  </r>
  <r>
    <x v="16"/>
    <s v="Trường Mầm Non Xã Nhân Bình"/>
    <x v="1"/>
    <n v="34545455"/>
    <d v="2024-10-01T00:00:00"/>
    <x v="9"/>
    <x v="0"/>
    <s v="ĐB Sông Hồng"/>
    <x v="4"/>
    <x v="13"/>
    <n v="34.545454999999997"/>
  </r>
  <r>
    <x v="16"/>
    <s v="TRƯỜNG MẦM NON XÃ TIẾN THẮNG"/>
    <x v="1"/>
    <n v="34545455"/>
    <d v="2024-10-01T00:00:00"/>
    <x v="9"/>
    <x v="0"/>
    <s v="ĐB Sông Hồng"/>
    <x v="4"/>
    <x v="13"/>
    <n v="34.545454999999997"/>
  </r>
  <r>
    <x v="52"/>
    <s v="TRƯỜNG THCS KINH BẮC"/>
    <x v="1"/>
    <n v="88909091"/>
    <d v="2024-10-01T00:00:00"/>
    <x v="9"/>
    <x v="0"/>
    <s v="ĐB Sông Hồng"/>
    <x v="4"/>
    <x v="2"/>
    <n v="88.909091000000004"/>
  </r>
  <r>
    <x v="0"/>
    <s v="TRƯỜNG THCS QUỲNH PHƯƠNG"/>
    <x v="0"/>
    <n v="5181818"/>
    <d v="2024-10-01T00:00:00"/>
    <x v="9"/>
    <x v="0"/>
    <s v="Bắc Trung Bộ"/>
    <x v="4"/>
    <x v="0"/>
    <n v="5.1818179999999998"/>
  </r>
  <r>
    <x v="12"/>
    <s v="trường TIỂU HỌC ĐẠO LÝ"/>
    <x v="0"/>
    <n v="10527636"/>
    <d v="2024-10-01T00:00:00"/>
    <x v="9"/>
    <x v="0"/>
    <s v="Tây Bắc Bộ"/>
    <x v="4"/>
    <x v="1"/>
    <n v="10.527635999999999"/>
  </r>
  <r>
    <x v="56"/>
    <s v="Trường THPT Chuyên Phan Ngọc Hiển"/>
    <x v="0"/>
    <n v="61097000"/>
    <d v="2024-10-01T00:00:00"/>
    <x v="9"/>
    <x v="0"/>
    <s v="ĐB Sông Cửu Long"/>
    <x v="4"/>
    <x v="0"/>
    <n v="61.097000000000001"/>
  </r>
  <r>
    <x v="6"/>
    <s v="Trường Thpt Hùng Vương"/>
    <x v="3"/>
    <n v="89392727"/>
    <d v="2024-10-01T00:00:00"/>
    <x v="9"/>
    <x v="0"/>
    <s v="Đông Bắc Bộ"/>
    <x v="4"/>
    <x v="7"/>
    <n v="89.392726999999994"/>
  </r>
  <r>
    <x v="16"/>
    <s v="TRƯỜNG TIỂU HỌC A KIỆN KHÊ"/>
    <x v="1"/>
    <n v="15800000"/>
    <d v="2024-10-01T00:00:00"/>
    <x v="9"/>
    <x v="0"/>
    <s v="ĐB Sông Hồng"/>
    <x v="4"/>
    <x v="13"/>
    <n v="15.8"/>
  </r>
  <r>
    <x v="29"/>
    <s v="TRƯỜNG TIỂU HỌC B AN HỮU"/>
    <x v="0"/>
    <n v="10309091"/>
    <d v="2024-10-01T00:00:00"/>
    <x v="9"/>
    <x v="0"/>
    <s v="ĐB Sông Cửu Long"/>
    <x v="4"/>
    <x v="1"/>
    <n v="10.309091"/>
  </r>
  <r>
    <x v="0"/>
    <s v="TRƯỜNG TIỂU HỌC DIỄN LÂM 1"/>
    <x v="0"/>
    <n v="18709091"/>
    <d v="2024-10-01T00:00:00"/>
    <x v="9"/>
    <x v="0"/>
    <s v="Bắc Trung Bộ"/>
    <x v="4"/>
    <x v="0"/>
    <n v="18.709091000000001"/>
  </r>
  <r>
    <x v="53"/>
    <s v="TRƯỜNG TIỂU HỌC HUYỀN TỤNG"/>
    <x v="2"/>
    <n v="10900000"/>
    <d v="2024-10-01T00:00:00"/>
    <x v="9"/>
    <x v="0"/>
    <s v="Đông Bắc Bộ"/>
    <x v="4"/>
    <x v="0"/>
    <n v="10.9"/>
  </r>
  <r>
    <x v="33"/>
    <s v="TRƯỜNG TIỂU HỌC LƯƠNG PHONG SỐ 1"/>
    <x v="0"/>
    <n v="39980000"/>
    <d v="2024-10-01T00:00:00"/>
    <x v="9"/>
    <x v="0"/>
    <s v="Đông Bắc Bộ"/>
    <x v="4"/>
    <x v="0"/>
    <n v="39.979999999999997"/>
  </r>
  <r>
    <x v="32"/>
    <s v="TRƯỜNG TIỂU HỌC LÝ THƯỜNG KIỆT"/>
    <x v="0"/>
    <n v="10636364"/>
    <d v="2024-10-01T00:00:00"/>
    <x v="9"/>
    <x v="0"/>
    <s v="ĐB Sông Cửu Long"/>
    <x v="4"/>
    <x v="1"/>
    <n v="10.636364"/>
  </r>
  <r>
    <x v="0"/>
    <s v="Trường Tiểu Học Nghi Thạch"/>
    <x v="0"/>
    <n v="17370909"/>
    <d v="2024-10-01T00:00:00"/>
    <x v="9"/>
    <x v="0"/>
    <s v="Bắc Trung Bộ"/>
    <x v="4"/>
    <x v="0"/>
    <n v="17.370909000000001"/>
  </r>
  <r>
    <x v="0"/>
    <s v="TRƯỜNG TIỂU HỌC QUỲNH GIANG"/>
    <x v="1"/>
    <n v="29727273"/>
    <d v="2024-10-01T00:00:00"/>
    <x v="9"/>
    <x v="0"/>
    <s v="Bắc Trung Bộ"/>
    <x v="4"/>
    <x v="13"/>
    <n v="29.727273"/>
  </r>
  <r>
    <x v="0"/>
    <s v="TRƯỜNG TIỂU HỌC QUỲNH GIANG"/>
    <x v="1"/>
    <n v="31518182"/>
    <d v="2024-10-01T00:00:00"/>
    <x v="9"/>
    <x v="0"/>
    <s v="Bắc Trung Bộ"/>
    <x v="4"/>
    <x v="13"/>
    <n v="31.518181999999999"/>
  </r>
  <r>
    <x v="39"/>
    <s v="TRƯỜNG TIỂU HỌC TÂN QUỚI TRUNG A"/>
    <x v="0"/>
    <n v="13738636"/>
    <d v="2024-10-01T00:00:00"/>
    <x v="9"/>
    <x v="0"/>
    <s v="ĐB Sông Cửu Long"/>
    <x v="4"/>
    <x v="0"/>
    <n v="13.738636"/>
  </r>
  <r>
    <x v="32"/>
    <s v="TRƯỜNG TIỂU HỌC TÂN THUẬN TÂY"/>
    <x v="2"/>
    <n v="36750000"/>
    <d v="2024-10-01T00:00:00"/>
    <x v="9"/>
    <x v="0"/>
    <s v="ĐB Sông Cửu Long"/>
    <x v="4"/>
    <x v="4"/>
    <n v="36.75"/>
  </r>
  <r>
    <x v="52"/>
    <s v="TRƯỜNG TIỂU HỌC THỊ CẦU"/>
    <x v="1"/>
    <n v="280485123"/>
    <d v="2024-10-01T00:00:00"/>
    <x v="9"/>
    <x v="0"/>
    <s v="ĐB Sông Hồng"/>
    <x v="4"/>
    <x v="2"/>
    <n v="280.48512299999999"/>
  </r>
  <r>
    <x v="6"/>
    <s v="Trường Tiểu Học Văn Lương"/>
    <x v="0"/>
    <n v="25252327"/>
    <d v="2024-10-01T00:00:00"/>
    <x v="9"/>
    <x v="0"/>
    <s v="Đông Bắc Bộ"/>
    <x v="4"/>
    <x v="0"/>
    <n v="25.252327000000001"/>
  </r>
  <r>
    <x v="52"/>
    <s v="Trường Tiểu Học Vũ Ninh 2"/>
    <x v="1"/>
    <n v="130739862"/>
    <d v="2024-10-01T00:00:00"/>
    <x v="9"/>
    <x v="0"/>
    <s v="ĐB Sông Hồng"/>
    <x v="4"/>
    <x v="2"/>
    <n v="130.73986199999999"/>
  </r>
  <r>
    <x v="6"/>
    <s v="Trường trung học cơ sở Hương Nộn"/>
    <x v="2"/>
    <n v="32141236"/>
    <d v="2024-10-01T00:00:00"/>
    <x v="9"/>
    <x v="0"/>
    <s v="Đông Bắc Bộ"/>
    <x v="4"/>
    <x v="1"/>
    <n v="32.141235999999999"/>
  </r>
  <r>
    <x v="6"/>
    <s v="Trường Trung Học Sơ Sở Tam Thanh"/>
    <x v="0"/>
    <n v="80000000"/>
    <d v="2024-10-01T00:00:00"/>
    <x v="9"/>
    <x v="0"/>
    <s v="Đông Bắc Bộ"/>
    <x v="4"/>
    <x v="5"/>
    <n v="80"/>
  </r>
  <r>
    <x v="1"/>
    <s v="BỆNH VIỆN ĐA KHOA TỈNH BÌNH ĐỊNH"/>
    <x v="0"/>
    <n v="964209400"/>
    <d v="2024-11-01T00:00:00"/>
    <x v="10"/>
    <x v="0"/>
    <s v="Duyên hải Nam Trung Bộ"/>
    <x v="0"/>
    <x v="18"/>
    <n v="964.20939999999996"/>
  </r>
  <r>
    <x v="0"/>
    <s v="Bệnh Viện Quân Y 4"/>
    <x v="0"/>
    <n v="8909091"/>
    <d v="2024-11-01T00:00:00"/>
    <x v="10"/>
    <x v="0"/>
    <s v="Bắc Trung Bộ"/>
    <x v="0"/>
    <x v="0"/>
    <n v="8.9090910000000001"/>
  </r>
  <r>
    <x v="47"/>
    <s v="BỆNH VIỆN Y DƯỢC CỔ TRUYỀN TUYÊN QUANG"/>
    <x v="0"/>
    <n v="35938182"/>
    <d v="2024-11-01T00:00:00"/>
    <x v="10"/>
    <x v="0"/>
    <s v="Đông Bắc Bộ"/>
    <x v="0"/>
    <x v="0"/>
    <n v="35.938181999999998"/>
  </r>
  <r>
    <x v="11"/>
    <s v="Công ty 25"/>
    <x v="4"/>
    <n v="2324028867"/>
    <d v="2024-11-01T00:00:00"/>
    <x v="10"/>
    <x v="0"/>
    <s v="Đông Nam Bộ"/>
    <x v="1"/>
    <x v="3"/>
    <n v="2324.028867"/>
  </r>
  <r>
    <x v="11"/>
    <s v="Công ty 26"/>
    <x v="2"/>
    <n v="942257509"/>
    <d v="2024-11-01T00:00:00"/>
    <x v="10"/>
    <x v="0"/>
    <s v="Đông Nam Bộ"/>
    <x v="1"/>
    <x v="3"/>
    <n v="942.25750900000003"/>
  </r>
  <r>
    <x v="16"/>
    <s v="Công ty 27"/>
    <x v="1"/>
    <n v="12545455"/>
    <d v="2024-11-01T00:00:00"/>
    <x v="10"/>
    <x v="0"/>
    <s v="ĐB Sông Hồng"/>
    <x v="1"/>
    <x v="2"/>
    <n v="12.545455"/>
  </r>
  <r>
    <x v="7"/>
    <s v="Công ty 35"/>
    <x v="4"/>
    <n v="1439111000"/>
    <d v="2024-11-01T00:00:00"/>
    <x v="10"/>
    <x v="0"/>
    <s v="Bắc Trung Bộ"/>
    <x v="1"/>
    <x v="3"/>
    <n v="1439.1110000000001"/>
  </r>
  <r>
    <x v="29"/>
    <s v="Công ty 25"/>
    <x v="4"/>
    <n v="297462597"/>
    <d v="2024-11-01T00:00:00"/>
    <x v="10"/>
    <x v="0"/>
    <s v="ĐB Sông Cửu Long"/>
    <x v="1"/>
    <x v="3"/>
    <n v="297.46259700000002"/>
  </r>
  <r>
    <x v="13"/>
    <s v="Công ty 14"/>
    <x v="0"/>
    <n v="65550000"/>
    <d v="2024-11-01T00:00:00"/>
    <x v="10"/>
    <x v="0"/>
    <s v="Tây Bắc Bộ"/>
    <x v="1"/>
    <x v="0"/>
    <n v="65.55"/>
  </r>
  <r>
    <x v="38"/>
    <s v="Công ty 31"/>
    <x v="4"/>
    <n v="47536636"/>
    <d v="2024-11-01T00:00:00"/>
    <x v="10"/>
    <x v="0"/>
    <s v="Tây Nguyên"/>
    <x v="1"/>
    <x v="3"/>
    <n v="47.536636000000001"/>
  </r>
  <r>
    <x v="62"/>
    <s v="Công ty 36"/>
    <x v="1"/>
    <n v="706406337"/>
    <d v="2024-11-01T00:00:00"/>
    <x v="10"/>
    <x v="0"/>
    <s v="Bắc Trung Bộ"/>
    <x v="1"/>
    <x v="2"/>
    <n v="706.40633700000001"/>
  </r>
  <r>
    <x v="14"/>
    <s v="Công ty 61"/>
    <x v="0"/>
    <n v="232450000"/>
    <d v="2024-11-01T00:00:00"/>
    <x v="10"/>
    <x v="0"/>
    <s v="ĐB Sông Hồng"/>
    <x v="1"/>
    <x v="5"/>
    <n v="232.45"/>
  </r>
  <r>
    <x v="14"/>
    <s v="Công ty 62"/>
    <x v="0"/>
    <n v="329150000"/>
    <d v="2024-11-01T00:00:00"/>
    <x v="10"/>
    <x v="0"/>
    <s v="ĐB Sông Hồng"/>
    <x v="1"/>
    <x v="5"/>
    <n v="329.15"/>
  </r>
  <r>
    <x v="15"/>
    <s v="Công ty 83"/>
    <x v="1"/>
    <n v="42499545"/>
    <d v="2024-11-01T00:00:00"/>
    <x v="10"/>
    <x v="0"/>
    <s v="Duyên hải Nam Trung Bộ"/>
    <x v="1"/>
    <x v="2"/>
    <n v="42.499544999999998"/>
  </r>
  <r>
    <x v="6"/>
    <s v="Công ty 86"/>
    <x v="1"/>
    <n v="37407273"/>
    <d v="2024-11-01T00:00:00"/>
    <x v="10"/>
    <x v="0"/>
    <s v="Đông Bắc Bộ"/>
    <x v="1"/>
    <x v="2"/>
    <n v="37.407273000000004"/>
  </r>
  <r>
    <x v="53"/>
    <s v="Công ty 42"/>
    <x v="0"/>
    <n v="288176458"/>
    <d v="2024-11-01T00:00:00"/>
    <x v="10"/>
    <x v="0"/>
    <s v="Đông Bắc Bộ"/>
    <x v="1"/>
    <x v="0"/>
    <n v="288.17645800000003"/>
  </r>
  <r>
    <x v="52"/>
    <s v="Công ty 70"/>
    <x v="4"/>
    <n v="17456341286"/>
    <d v="2024-11-01T00:00:00"/>
    <x v="10"/>
    <x v="0"/>
    <s v="ĐB Sông Hồng"/>
    <x v="1"/>
    <x v="3"/>
    <n v="17456.341285999999"/>
  </r>
  <r>
    <x v="6"/>
    <s v="Công ty 93"/>
    <x v="2"/>
    <n v="160078300"/>
    <d v="2024-11-01T00:00:00"/>
    <x v="10"/>
    <x v="0"/>
    <s v="Đông Bắc Bộ"/>
    <x v="1"/>
    <x v="1"/>
    <n v="160.07830000000001"/>
  </r>
  <r>
    <x v="6"/>
    <s v="Công ty 94"/>
    <x v="1"/>
    <n v="74439214"/>
    <d v="2024-11-01T00:00:00"/>
    <x v="10"/>
    <x v="0"/>
    <s v="Đông Bắc Bộ"/>
    <x v="1"/>
    <x v="4"/>
    <n v="74.439214000000007"/>
  </r>
  <r>
    <x v="25"/>
    <s v="Công ty 11"/>
    <x v="1"/>
    <n v="310485455"/>
    <d v="2024-11-01T00:00:00"/>
    <x v="10"/>
    <x v="0"/>
    <s v="Tây Nguyên"/>
    <x v="1"/>
    <x v="11"/>
    <n v="310.485455"/>
  </r>
  <r>
    <x v="38"/>
    <s v="Công ty 17"/>
    <x v="2"/>
    <n v="25463636"/>
    <d v="2024-11-01T00:00:00"/>
    <x v="10"/>
    <x v="0"/>
    <s v="Tây Nguyên"/>
    <x v="1"/>
    <x v="0"/>
    <n v="25.463636000000001"/>
  </r>
  <r>
    <x v="9"/>
    <s v="Công ty 46"/>
    <x v="4"/>
    <n v="293385000"/>
    <d v="2024-11-01T00:00:00"/>
    <x v="10"/>
    <x v="0"/>
    <s v="Duyên hải Nam Trung Bộ"/>
    <x v="1"/>
    <x v="3"/>
    <n v="293.38499999999999"/>
  </r>
  <r>
    <x v="6"/>
    <s v="Công ty 66"/>
    <x v="0"/>
    <n v="408031122"/>
    <d v="2024-11-01T00:00:00"/>
    <x v="10"/>
    <x v="0"/>
    <s v="Đông Bắc Bộ"/>
    <x v="1"/>
    <x v="1"/>
    <n v="408.03112199999998"/>
  </r>
  <r>
    <x v="31"/>
    <s v="Công ty 67"/>
    <x v="2"/>
    <n v="6381818"/>
    <d v="2024-11-01T00:00:00"/>
    <x v="10"/>
    <x v="0"/>
    <s v="Tây Nguyên"/>
    <x v="1"/>
    <x v="2"/>
    <n v="6.381818"/>
  </r>
  <r>
    <x v="8"/>
    <s v="Công ty 90"/>
    <x v="1"/>
    <n v="18026852078"/>
    <d v="2024-11-01T00:00:00"/>
    <x v="10"/>
    <x v="0"/>
    <s v="Đông Nam Bộ"/>
    <x v="1"/>
    <x v="4"/>
    <n v="18026.852078"/>
  </r>
  <r>
    <x v="0"/>
    <s v="Công ty 95"/>
    <x v="4"/>
    <n v="74545455"/>
    <d v="2024-11-01T00:00:00"/>
    <x v="10"/>
    <x v="0"/>
    <s v="Bắc Trung Bộ"/>
    <x v="1"/>
    <x v="3"/>
    <n v="74.545455000000004"/>
  </r>
  <r>
    <x v="0"/>
    <s v="Công ty 6"/>
    <x v="0"/>
    <n v="22965455"/>
    <d v="2024-11-01T00:00:00"/>
    <x v="10"/>
    <x v="0"/>
    <s v="Bắc Trung Bộ"/>
    <x v="1"/>
    <x v="1"/>
    <n v="22.965454999999999"/>
  </r>
  <r>
    <x v="32"/>
    <s v="Công ty 7"/>
    <x v="0"/>
    <n v="127841818"/>
    <d v="2024-11-01T00:00:00"/>
    <x v="10"/>
    <x v="0"/>
    <s v="ĐB Sông Cửu Long"/>
    <x v="1"/>
    <x v="1"/>
    <n v="127.841818"/>
  </r>
  <r>
    <x v="0"/>
    <s v="Công ty 12"/>
    <x v="0"/>
    <n v="10985455"/>
    <d v="2024-11-01T00:00:00"/>
    <x v="10"/>
    <x v="0"/>
    <s v="Bắc Trung Bộ"/>
    <x v="1"/>
    <x v="1"/>
    <n v="10.985455"/>
  </r>
  <r>
    <x v="47"/>
    <s v="Công ty 26"/>
    <x v="2"/>
    <n v="6319964"/>
    <d v="2024-11-01T00:00:00"/>
    <x v="10"/>
    <x v="0"/>
    <s v="Đông Bắc Bộ"/>
    <x v="1"/>
    <x v="2"/>
    <n v="6.3199639999999997"/>
  </r>
  <r>
    <x v="57"/>
    <s v="Công ty 34"/>
    <x v="1"/>
    <n v="105663283"/>
    <d v="2024-11-01T00:00:00"/>
    <x v="10"/>
    <x v="0"/>
    <s v="ĐB Sông Cửu Long"/>
    <x v="1"/>
    <x v="11"/>
    <n v="105.66328300000001"/>
  </r>
  <r>
    <x v="57"/>
    <s v="Công ty 35"/>
    <x v="2"/>
    <n v="26454545"/>
    <d v="2024-11-01T00:00:00"/>
    <x v="10"/>
    <x v="0"/>
    <s v="ĐB Sông Cửu Long"/>
    <x v="1"/>
    <x v="2"/>
    <n v="26.454545"/>
  </r>
  <r>
    <x v="12"/>
    <s v="Công ty 37"/>
    <x v="0"/>
    <n v="5311727"/>
    <d v="2024-11-01T00:00:00"/>
    <x v="10"/>
    <x v="0"/>
    <s v="Tây Bắc Bộ"/>
    <x v="1"/>
    <x v="1"/>
    <n v="5.3117270000000003"/>
  </r>
  <r>
    <x v="0"/>
    <s v="Công ty 44"/>
    <x v="0"/>
    <n v="10181818"/>
    <d v="2024-11-01T00:00:00"/>
    <x v="10"/>
    <x v="0"/>
    <s v="Bắc Trung Bộ"/>
    <x v="1"/>
    <x v="5"/>
    <n v="10.181818"/>
  </r>
  <r>
    <x v="46"/>
    <s v="Công ty 63"/>
    <x v="2"/>
    <n v="30371000"/>
    <d v="2024-11-01T00:00:00"/>
    <x v="10"/>
    <x v="0"/>
    <s v="ĐB Sông Cửu Long"/>
    <x v="1"/>
    <x v="0"/>
    <n v="30.370999999999999"/>
  </r>
  <r>
    <x v="23"/>
    <s v="Công ty 75"/>
    <x v="0"/>
    <n v="27706773"/>
    <d v="2024-11-01T00:00:00"/>
    <x v="10"/>
    <x v="0"/>
    <s v="Duyên hải Nam Trung Bộ"/>
    <x v="1"/>
    <x v="1"/>
    <n v="27.706772999999998"/>
  </r>
  <r>
    <x v="15"/>
    <s v="Công ty 76"/>
    <x v="4"/>
    <n v="5738467149"/>
    <d v="2024-11-01T00:00:00"/>
    <x v="10"/>
    <x v="0"/>
    <s v="Duyên hải Nam Trung Bộ"/>
    <x v="1"/>
    <x v="3"/>
    <n v="5738.4671490000001"/>
  </r>
  <r>
    <x v="19"/>
    <s v="Công ty 78"/>
    <x v="4"/>
    <n v="152545455"/>
    <d v="2024-11-01T00:00:00"/>
    <x v="10"/>
    <x v="0"/>
    <s v="Duyên hải Nam Trung Bộ"/>
    <x v="1"/>
    <x v="3"/>
    <n v="152.545455"/>
  </r>
  <r>
    <x v="5"/>
    <s v="Công ty 88"/>
    <x v="0"/>
    <n v="25201364"/>
    <d v="2024-11-01T00:00:00"/>
    <x v="10"/>
    <x v="0"/>
    <s v="Đông Nam Bộ"/>
    <x v="1"/>
    <x v="0"/>
    <n v="25.201364000000002"/>
  </r>
  <r>
    <x v="5"/>
    <s v="Công ty 90"/>
    <x v="0"/>
    <n v="32841818"/>
    <d v="2024-11-01T00:00:00"/>
    <x v="10"/>
    <x v="0"/>
    <s v="Đông Nam Bộ"/>
    <x v="1"/>
    <x v="0"/>
    <n v="32.841818000000004"/>
  </r>
  <r>
    <x v="14"/>
    <s v="Công ty 93"/>
    <x v="4"/>
    <n v="905974800"/>
    <d v="2024-11-01T00:00:00"/>
    <x v="10"/>
    <x v="0"/>
    <s v="ĐB Sông Hồng"/>
    <x v="1"/>
    <x v="3"/>
    <n v="905.97479999999996"/>
  </r>
  <r>
    <x v="30"/>
    <s v="Công ty 4"/>
    <x v="0"/>
    <n v="450763000"/>
    <d v="2024-11-01T00:00:00"/>
    <x v="10"/>
    <x v="0"/>
    <s v="ĐB Sông Cửu Long"/>
    <x v="1"/>
    <x v="1"/>
    <n v="450.76299999999998"/>
  </r>
  <r>
    <x v="9"/>
    <s v="Công ty 18"/>
    <x v="0"/>
    <n v="135109000"/>
    <d v="2024-11-01T00:00:00"/>
    <x v="10"/>
    <x v="0"/>
    <s v="Duyên hải Nam Trung Bộ"/>
    <x v="1"/>
    <x v="5"/>
    <n v="135.10900000000001"/>
  </r>
  <r>
    <x v="20"/>
    <s v="Công ty 31"/>
    <x v="0"/>
    <n v="33718300"/>
    <d v="2024-11-01T00:00:00"/>
    <x v="10"/>
    <x v="0"/>
    <s v="Duyên hải Nam Trung Bộ"/>
    <x v="1"/>
    <x v="1"/>
    <n v="33.718299999999999"/>
  </r>
  <r>
    <x v="10"/>
    <s v="Công ty 39"/>
    <x v="0"/>
    <n v="35592500"/>
    <d v="2024-11-01T00:00:00"/>
    <x v="10"/>
    <x v="0"/>
    <s v="Duyên hải Nam Trung Bộ"/>
    <x v="1"/>
    <x v="1"/>
    <n v="35.592500000000001"/>
  </r>
  <r>
    <x v="5"/>
    <s v="Công ty 59"/>
    <x v="0"/>
    <n v="62165636"/>
    <d v="2024-11-01T00:00:00"/>
    <x v="10"/>
    <x v="0"/>
    <s v="Đông Nam Bộ"/>
    <x v="1"/>
    <x v="0"/>
    <n v="62.165635999999999"/>
  </r>
  <r>
    <x v="62"/>
    <s v="Công ty 76"/>
    <x v="1"/>
    <n v="2609852753"/>
    <d v="2024-11-01T00:00:00"/>
    <x v="10"/>
    <x v="0"/>
    <s v="Bắc Trung Bộ"/>
    <x v="1"/>
    <x v="11"/>
    <n v="2609.8527530000001"/>
  </r>
  <r>
    <x v="0"/>
    <s v="Công ty 20"/>
    <x v="0"/>
    <n v="23804545"/>
    <d v="2024-11-01T00:00:00"/>
    <x v="10"/>
    <x v="0"/>
    <s v="Bắc Trung Bộ"/>
    <x v="1"/>
    <x v="1"/>
    <n v="23.804545000000001"/>
  </r>
  <r>
    <x v="1"/>
    <s v="Công ty 25"/>
    <x v="2"/>
    <n v="61957091"/>
    <d v="2024-11-01T00:00:00"/>
    <x v="10"/>
    <x v="0"/>
    <s v="Duyên hải Nam Trung Bộ"/>
    <x v="1"/>
    <x v="0"/>
    <n v="61.957090999999998"/>
  </r>
  <r>
    <x v="11"/>
    <s v="Công ty 30"/>
    <x v="4"/>
    <n v="8370494224"/>
    <d v="2024-11-01T00:00:00"/>
    <x v="10"/>
    <x v="0"/>
    <s v="Đông Nam Bộ"/>
    <x v="1"/>
    <x v="3"/>
    <n v="8370.494224"/>
  </r>
  <r>
    <x v="5"/>
    <s v="Công ty 40"/>
    <x v="0"/>
    <n v="12046909"/>
    <d v="2024-11-01T00:00:00"/>
    <x v="10"/>
    <x v="0"/>
    <s v="Đông Nam Bộ"/>
    <x v="1"/>
    <x v="0"/>
    <n v="12.046908999999999"/>
  </r>
  <r>
    <x v="5"/>
    <s v="Công ty 41"/>
    <x v="1"/>
    <n v="192000000"/>
    <d v="2024-11-01T00:00:00"/>
    <x v="10"/>
    <x v="0"/>
    <s v="Đông Nam Bộ"/>
    <x v="1"/>
    <x v="2"/>
    <n v="192"/>
  </r>
  <r>
    <x v="5"/>
    <s v="Công ty 43"/>
    <x v="0"/>
    <n v="7200000"/>
    <d v="2024-11-01T00:00:00"/>
    <x v="10"/>
    <x v="0"/>
    <s v="Đông Nam Bộ"/>
    <x v="1"/>
    <x v="0"/>
    <n v="7.2"/>
  </r>
  <r>
    <x v="11"/>
    <s v="Công ty 44"/>
    <x v="4"/>
    <n v="60442273"/>
    <d v="2024-11-01T00:00:00"/>
    <x v="10"/>
    <x v="0"/>
    <s v="Đông Nam Bộ"/>
    <x v="1"/>
    <x v="3"/>
    <n v="60.442273"/>
  </r>
  <r>
    <x v="27"/>
    <s v="Công ty 51"/>
    <x v="1"/>
    <n v="9860000"/>
    <d v="2024-11-01T00:00:00"/>
    <x v="10"/>
    <x v="0"/>
    <s v="Bắc Trung Bộ"/>
    <x v="1"/>
    <x v="2"/>
    <n v="9.86"/>
  </r>
  <r>
    <x v="16"/>
    <s v="Công ty 77"/>
    <x v="1"/>
    <n v="34150909"/>
    <d v="2024-11-01T00:00:00"/>
    <x v="10"/>
    <x v="0"/>
    <s v="ĐB Sông Hồng"/>
    <x v="1"/>
    <x v="2"/>
    <n v="34.150908999999999"/>
  </r>
  <r>
    <x v="37"/>
    <s v="Công ty 91"/>
    <x v="0"/>
    <n v="78181818"/>
    <d v="2024-11-01T00:00:00"/>
    <x v="10"/>
    <x v="0"/>
    <s v="ĐB Sông Cửu Long"/>
    <x v="1"/>
    <x v="1"/>
    <n v="78.181818000000007"/>
  </r>
  <r>
    <x v="38"/>
    <s v="Công ty 19"/>
    <x v="4"/>
    <n v="591221551"/>
    <d v="2024-11-01T00:00:00"/>
    <x v="10"/>
    <x v="0"/>
    <s v="Tây Nguyên"/>
    <x v="1"/>
    <x v="3"/>
    <n v="591.22155099999998"/>
  </r>
  <r>
    <x v="2"/>
    <s v="Công ty 28"/>
    <x v="4"/>
    <n v="275067273"/>
    <d v="2024-11-01T00:00:00"/>
    <x v="10"/>
    <x v="0"/>
    <s v="ĐB Sông Cửu Long"/>
    <x v="1"/>
    <x v="3"/>
    <n v="275.067273"/>
  </r>
  <r>
    <x v="48"/>
    <s v="Công ty 31"/>
    <x v="0"/>
    <n v="187200000"/>
    <d v="2024-11-01T00:00:00"/>
    <x v="10"/>
    <x v="0"/>
    <s v="Đông Bắc Bộ"/>
    <x v="1"/>
    <x v="5"/>
    <n v="187.2"/>
  </r>
  <r>
    <x v="14"/>
    <s v="Công ty 33"/>
    <x v="0"/>
    <n v="2972272727"/>
    <d v="2024-11-01T00:00:00"/>
    <x v="10"/>
    <x v="0"/>
    <s v="ĐB Sông Hồng"/>
    <x v="1"/>
    <x v="6"/>
    <n v="2972.272727"/>
  </r>
  <r>
    <x v="18"/>
    <s v="Công ty 39"/>
    <x v="0"/>
    <n v="197203636"/>
    <d v="2024-11-01T00:00:00"/>
    <x v="10"/>
    <x v="0"/>
    <s v="Tây Nguyên"/>
    <x v="1"/>
    <x v="0"/>
    <n v="197.20363599999999"/>
  </r>
  <r>
    <x v="55"/>
    <s v="Công ty 66"/>
    <x v="1"/>
    <n v="434330909"/>
    <d v="2024-11-01T00:00:00"/>
    <x v="10"/>
    <x v="0"/>
    <s v="ĐB Sông Hồng"/>
    <x v="1"/>
    <x v="2"/>
    <n v="434.33090900000002"/>
  </r>
  <r>
    <x v="47"/>
    <s v="Công ty 74"/>
    <x v="0"/>
    <n v="13926364"/>
    <d v="2024-11-01T00:00:00"/>
    <x v="10"/>
    <x v="0"/>
    <s v="Đông Bắc Bộ"/>
    <x v="1"/>
    <x v="1"/>
    <n v="13.926364"/>
  </r>
  <r>
    <x v="39"/>
    <s v="Công ty 85"/>
    <x v="1"/>
    <n v="47571636"/>
    <d v="2024-11-01T00:00:00"/>
    <x v="10"/>
    <x v="0"/>
    <s v="ĐB Sông Cửu Long"/>
    <x v="1"/>
    <x v="2"/>
    <n v="47.571635999999998"/>
  </r>
  <r>
    <x v="2"/>
    <s v="Công ty 92"/>
    <x v="1"/>
    <n v="125763636"/>
    <d v="2024-11-01T00:00:00"/>
    <x v="10"/>
    <x v="0"/>
    <s v="ĐB Sông Cửu Long"/>
    <x v="1"/>
    <x v="2"/>
    <n v="125.76363600000001"/>
  </r>
  <r>
    <x v="62"/>
    <s v="Công ty 5"/>
    <x v="2"/>
    <n v="520391657"/>
    <d v="2024-11-01T00:00:00"/>
    <x v="10"/>
    <x v="0"/>
    <s v="Bắc Trung Bộ"/>
    <x v="1"/>
    <x v="4"/>
    <n v="520.39165700000001"/>
  </r>
  <r>
    <x v="59"/>
    <s v="Công ty 6"/>
    <x v="4"/>
    <n v="98722727"/>
    <d v="2024-11-01T00:00:00"/>
    <x v="10"/>
    <x v="0"/>
    <s v="ĐB Sông Hồng"/>
    <x v="1"/>
    <x v="3"/>
    <n v="98.722727000000006"/>
  </r>
  <r>
    <x v="11"/>
    <s v="Công ty 18"/>
    <x v="4"/>
    <n v="1335775513"/>
    <d v="2024-11-01T00:00:00"/>
    <x v="10"/>
    <x v="0"/>
    <s v="Đông Nam Bộ"/>
    <x v="1"/>
    <x v="3"/>
    <n v="1335.775513"/>
  </r>
  <r>
    <x v="11"/>
    <s v="Công ty 24"/>
    <x v="4"/>
    <n v="241769091"/>
    <d v="2024-11-01T00:00:00"/>
    <x v="10"/>
    <x v="0"/>
    <s v="Đông Nam Bộ"/>
    <x v="1"/>
    <x v="3"/>
    <n v="241.769091"/>
  </r>
  <r>
    <x v="28"/>
    <s v="Công ty 76"/>
    <x v="4"/>
    <n v="23170200"/>
    <d v="2024-11-01T00:00:00"/>
    <x v="10"/>
    <x v="0"/>
    <s v="ĐB Sông Hồng"/>
    <x v="1"/>
    <x v="3"/>
    <n v="23.170200000000001"/>
  </r>
  <r>
    <x v="51"/>
    <s v="Công ty 25"/>
    <x v="4"/>
    <n v="86250172"/>
    <d v="2024-11-01T00:00:00"/>
    <x v="10"/>
    <x v="0"/>
    <s v="ĐB Sông Hồng"/>
    <x v="1"/>
    <x v="3"/>
    <n v="86.250172000000006"/>
  </r>
  <r>
    <x v="39"/>
    <s v="Công ty 32"/>
    <x v="0"/>
    <n v="55582836"/>
    <d v="2024-11-01T00:00:00"/>
    <x v="10"/>
    <x v="0"/>
    <s v="ĐB Sông Cửu Long"/>
    <x v="1"/>
    <x v="16"/>
    <n v="55.582836"/>
  </r>
  <r>
    <x v="0"/>
    <s v="Công ty 76"/>
    <x v="0"/>
    <n v="13155455"/>
    <d v="2024-11-01T00:00:00"/>
    <x v="10"/>
    <x v="0"/>
    <s v="Bắc Trung Bộ"/>
    <x v="1"/>
    <x v="5"/>
    <n v="13.155455"/>
  </r>
  <r>
    <x v="9"/>
    <s v="Công ty 32"/>
    <x v="2"/>
    <n v="46813636"/>
    <d v="2024-11-01T00:00:00"/>
    <x v="10"/>
    <x v="0"/>
    <s v="Duyên hải Nam Trung Bộ"/>
    <x v="1"/>
    <x v="1"/>
    <n v="46.813636000000002"/>
  </r>
  <r>
    <x v="14"/>
    <s v="Công ty 49"/>
    <x v="1"/>
    <n v="213258866"/>
    <d v="2024-11-01T00:00:00"/>
    <x v="10"/>
    <x v="0"/>
    <s v="ĐB Sông Hồng"/>
    <x v="1"/>
    <x v="4"/>
    <n v="213.25886600000001"/>
  </r>
  <r>
    <x v="29"/>
    <s v="Công ty 56"/>
    <x v="0"/>
    <n v="10293564"/>
    <d v="2024-11-01T00:00:00"/>
    <x v="10"/>
    <x v="0"/>
    <s v="ĐB Sông Cửu Long"/>
    <x v="1"/>
    <x v="1"/>
    <n v="10.293564"/>
  </r>
  <r>
    <x v="29"/>
    <s v="Công ty 57"/>
    <x v="0"/>
    <n v="25136364"/>
    <d v="2024-11-01T00:00:00"/>
    <x v="10"/>
    <x v="0"/>
    <s v="ĐB Sông Cửu Long"/>
    <x v="1"/>
    <x v="1"/>
    <n v="25.136364"/>
  </r>
  <r>
    <x v="29"/>
    <s v="Công ty 58"/>
    <x v="0"/>
    <n v="18477273"/>
    <d v="2024-11-01T00:00:00"/>
    <x v="10"/>
    <x v="0"/>
    <s v="ĐB Sông Cửu Long"/>
    <x v="1"/>
    <x v="1"/>
    <n v="18.477273"/>
  </r>
  <r>
    <x v="34"/>
    <s v="Công ty 68"/>
    <x v="4"/>
    <n v="120545455"/>
    <d v="2024-11-01T00:00:00"/>
    <x v="10"/>
    <x v="0"/>
    <s v="Tây Bắc Bộ"/>
    <x v="1"/>
    <x v="9"/>
    <n v="120.545455"/>
  </r>
  <r>
    <x v="59"/>
    <s v="Công ty 77"/>
    <x v="4"/>
    <n v="136365864"/>
    <d v="2024-11-01T00:00:00"/>
    <x v="10"/>
    <x v="0"/>
    <s v="ĐB Sông Hồng"/>
    <x v="1"/>
    <x v="3"/>
    <n v="136.36586399999999"/>
  </r>
  <r>
    <x v="9"/>
    <s v="Công ty 87"/>
    <x v="0"/>
    <n v="89289000"/>
    <d v="2024-11-01T00:00:00"/>
    <x v="10"/>
    <x v="0"/>
    <s v="Duyên hải Nam Trung Bộ"/>
    <x v="1"/>
    <x v="1"/>
    <n v="89.289000000000001"/>
  </r>
  <r>
    <x v="9"/>
    <s v="Công ty 88"/>
    <x v="2"/>
    <n v="32186000"/>
    <d v="2024-11-01T00:00:00"/>
    <x v="10"/>
    <x v="0"/>
    <s v="Duyên hải Nam Trung Bộ"/>
    <x v="1"/>
    <x v="1"/>
    <n v="32.186"/>
  </r>
  <r>
    <x v="30"/>
    <s v="Công ty 91"/>
    <x v="2"/>
    <n v="86400000"/>
    <d v="2024-11-01T00:00:00"/>
    <x v="10"/>
    <x v="0"/>
    <s v="ĐB Sông Cửu Long"/>
    <x v="1"/>
    <x v="0"/>
    <n v="86.4"/>
  </r>
  <r>
    <x v="39"/>
    <s v="Công ty 87"/>
    <x v="4"/>
    <n v="139090909"/>
    <d v="2024-11-01T00:00:00"/>
    <x v="10"/>
    <x v="0"/>
    <s v="ĐB Sông Cửu Long"/>
    <x v="1"/>
    <x v="3"/>
    <n v="139.09090900000001"/>
  </r>
  <r>
    <x v="37"/>
    <s v="Công ty 95"/>
    <x v="1"/>
    <n v="11818182"/>
    <d v="2024-11-01T00:00:00"/>
    <x v="10"/>
    <x v="0"/>
    <s v="ĐB Sông Cửu Long"/>
    <x v="1"/>
    <x v="2"/>
    <n v="11.818182"/>
  </r>
  <r>
    <x v="10"/>
    <s v="Doanh nghiệp 21"/>
    <x v="1"/>
    <n v="3063579855"/>
    <d v="2024-11-01T00:00:00"/>
    <x v="10"/>
    <x v="0"/>
    <s v="Duyên hải Nam Trung Bộ"/>
    <x v="1"/>
    <x v="4"/>
    <n v="3063.579855"/>
  </r>
  <r>
    <x v="48"/>
    <s v="Doanh nghiệp 23"/>
    <x v="4"/>
    <n v="141391591"/>
    <d v="2024-11-01T00:00:00"/>
    <x v="10"/>
    <x v="0"/>
    <s v="Đông Bắc Bộ"/>
    <x v="1"/>
    <x v="3"/>
    <n v="141.39159100000001"/>
  </r>
  <r>
    <x v="32"/>
    <s v="Doanh nghiệp 18"/>
    <x v="1"/>
    <n v="14700000"/>
    <d v="2024-11-01T00:00:00"/>
    <x v="10"/>
    <x v="0"/>
    <s v="ĐB Sông Cửu Long"/>
    <x v="1"/>
    <x v="2"/>
    <n v="14.7"/>
  </r>
  <r>
    <x v="30"/>
    <s v="Doanh nghiệp 1"/>
    <x v="1"/>
    <n v="62150000"/>
    <d v="2024-11-01T00:00:00"/>
    <x v="10"/>
    <x v="0"/>
    <s v="ĐB Sông Cửu Long"/>
    <x v="1"/>
    <x v="2"/>
    <n v="62.15"/>
  </r>
  <r>
    <x v="53"/>
    <s v="Doanh nghiệp 9"/>
    <x v="1"/>
    <n v="66363636"/>
    <d v="2024-11-01T00:00:00"/>
    <x v="10"/>
    <x v="0"/>
    <s v="Đông Bắc Bộ"/>
    <x v="1"/>
    <x v="13"/>
    <n v="66.363636"/>
  </r>
  <r>
    <x v="53"/>
    <s v="Doanh nghiệp 10"/>
    <x v="1"/>
    <n v="170454545"/>
    <d v="2024-11-01T00:00:00"/>
    <x v="10"/>
    <x v="0"/>
    <s v="Đông Bắc Bộ"/>
    <x v="1"/>
    <x v="13"/>
    <n v="170.454545"/>
  </r>
  <r>
    <x v="2"/>
    <s v="Doanh nghiệp 26"/>
    <x v="0"/>
    <n v="36434818"/>
    <d v="2024-11-01T00:00:00"/>
    <x v="10"/>
    <x v="0"/>
    <s v="ĐB Sông Cửu Long"/>
    <x v="1"/>
    <x v="1"/>
    <n v="36.434818"/>
  </r>
  <r>
    <x v="42"/>
    <s v="Tập đoàn 5"/>
    <x v="0"/>
    <n v="76020982"/>
    <d v="2024-11-01T00:00:00"/>
    <x v="10"/>
    <x v="0"/>
    <s v="Tây Bắc Bộ"/>
    <x v="1"/>
    <x v="0"/>
    <n v="76.020982000000004"/>
  </r>
  <r>
    <x v="38"/>
    <s v="Tập đoàn 8"/>
    <x v="1"/>
    <n v="200477455"/>
    <d v="2024-11-01T00:00:00"/>
    <x v="10"/>
    <x v="0"/>
    <s v="Tây Nguyên"/>
    <x v="1"/>
    <x v="13"/>
    <n v="200.47745499999999"/>
  </r>
  <r>
    <x v="28"/>
    <s v="Tập đoàn 15"/>
    <x v="0"/>
    <n v="515533464"/>
    <d v="2024-11-01T00:00:00"/>
    <x v="10"/>
    <x v="0"/>
    <s v="ĐB Sông Hồng"/>
    <x v="1"/>
    <x v="5"/>
    <n v="515.53346399999998"/>
  </r>
  <r>
    <x v="57"/>
    <s v="Tập đoàn 16"/>
    <x v="3"/>
    <n v="78900727"/>
    <d v="2024-11-01T00:00:00"/>
    <x v="10"/>
    <x v="0"/>
    <s v="ĐB Sông Cửu Long"/>
    <x v="1"/>
    <x v="7"/>
    <n v="78.900727000000003"/>
  </r>
  <r>
    <x v="12"/>
    <s v="Tập đoàn 23"/>
    <x v="1"/>
    <n v="229132909"/>
    <d v="2024-11-01T00:00:00"/>
    <x v="10"/>
    <x v="0"/>
    <s v="Tây Bắc Bộ"/>
    <x v="1"/>
    <x v="13"/>
    <n v="229.13290900000001"/>
  </r>
  <r>
    <x v="3"/>
    <s v="Tập đoàn 36"/>
    <x v="0"/>
    <n v="72690000"/>
    <d v="2024-11-01T00:00:00"/>
    <x v="10"/>
    <x v="0"/>
    <s v="ĐB Sông Cửu Long"/>
    <x v="1"/>
    <x v="1"/>
    <n v="72.69"/>
  </r>
  <r>
    <x v="51"/>
    <s v="Tập đoàn 54"/>
    <x v="3"/>
    <n v="75620000"/>
    <d v="2024-11-01T00:00:00"/>
    <x v="10"/>
    <x v="0"/>
    <s v="ĐB Sông Hồng"/>
    <x v="1"/>
    <x v="18"/>
    <n v="75.62"/>
  </r>
  <r>
    <x v="51"/>
    <s v="Tập đoàn 55"/>
    <x v="0"/>
    <n v="75337727"/>
    <d v="2024-11-01T00:00:00"/>
    <x v="10"/>
    <x v="0"/>
    <s v="ĐB Sông Hồng"/>
    <x v="1"/>
    <x v="18"/>
    <n v="75.337727000000001"/>
  </r>
  <r>
    <x v="0"/>
    <s v="Tập đoàn 72"/>
    <x v="2"/>
    <n v="20146909"/>
    <d v="2024-11-01T00:00:00"/>
    <x v="10"/>
    <x v="0"/>
    <s v="Bắc Trung Bộ"/>
    <x v="1"/>
    <x v="13"/>
    <n v="20.146909000000001"/>
  </r>
  <r>
    <x v="6"/>
    <s v="Tập đoàn 85"/>
    <x v="1"/>
    <n v="5091364"/>
    <d v="2024-11-01T00:00:00"/>
    <x v="10"/>
    <x v="0"/>
    <s v="Đông Bắc Bộ"/>
    <x v="1"/>
    <x v="11"/>
    <n v="5.0913639999999996"/>
  </r>
  <r>
    <x v="45"/>
    <s v="Tập đoàn 93"/>
    <x v="0"/>
    <n v="19800000"/>
    <d v="2024-11-01T00:00:00"/>
    <x v="10"/>
    <x v="0"/>
    <s v="ĐB Sông Cửu Long"/>
    <x v="1"/>
    <x v="1"/>
    <n v="19.8"/>
  </r>
  <r>
    <x v="45"/>
    <s v="Tập đoàn 94"/>
    <x v="0"/>
    <n v="4950000"/>
    <d v="2024-11-01T00:00:00"/>
    <x v="10"/>
    <x v="0"/>
    <s v="ĐB Sông Cửu Long"/>
    <x v="1"/>
    <x v="1"/>
    <n v="4.95"/>
  </r>
  <r>
    <x v="2"/>
    <s v="Tập đoàn 94"/>
    <x v="4"/>
    <n v="325930545"/>
    <d v="2024-11-01T00:00:00"/>
    <x v="10"/>
    <x v="0"/>
    <s v="ĐB Sông Cửu Long"/>
    <x v="1"/>
    <x v="3"/>
    <n v="325.930545"/>
  </r>
  <r>
    <x v="53"/>
    <s v="Tập đoàn 94"/>
    <x v="4"/>
    <n v="11345455"/>
    <d v="2024-11-01T00:00:00"/>
    <x v="10"/>
    <x v="0"/>
    <s v="Đông Bắc Bộ"/>
    <x v="1"/>
    <x v="9"/>
    <n v="11.345454999999999"/>
  </r>
  <r>
    <x v="39"/>
    <s v="Tập đoàn 93"/>
    <x v="0"/>
    <n v="4029091"/>
    <d v="2024-11-01T00:00:00"/>
    <x v="10"/>
    <x v="0"/>
    <s v="ĐB Sông Cửu Long"/>
    <x v="1"/>
    <x v="1"/>
    <n v="4.0290910000000002"/>
  </r>
  <r>
    <x v="10"/>
    <s v="Tập đoàn 93"/>
    <x v="0"/>
    <n v="63636364"/>
    <d v="2024-11-01T00:00:00"/>
    <x v="10"/>
    <x v="0"/>
    <s v="Duyên hải Nam Trung Bộ"/>
    <x v="1"/>
    <x v="1"/>
    <n v="63.636364"/>
  </r>
  <r>
    <x v="49"/>
    <s v="Tập đoàn 93"/>
    <x v="2"/>
    <n v="322779091"/>
    <d v="2024-11-01T00:00:00"/>
    <x v="10"/>
    <x v="0"/>
    <s v="ĐB Sông Cửu Long"/>
    <x v="1"/>
    <x v="5"/>
    <n v="322.77909099999999"/>
  </r>
  <r>
    <x v="53"/>
    <s v="Tập đoàn 92"/>
    <x v="2"/>
    <n v="1859400000"/>
    <d v="2024-11-01T00:00:00"/>
    <x v="10"/>
    <x v="0"/>
    <s v="Đông Bắc Bộ"/>
    <x v="1"/>
    <x v="13"/>
    <n v="1859.4"/>
  </r>
  <r>
    <x v="12"/>
    <s v="Tập đoàn 94"/>
    <x v="4"/>
    <n v="60000000"/>
    <d v="2024-11-01T00:00:00"/>
    <x v="10"/>
    <x v="0"/>
    <s v="Tây Bắc Bộ"/>
    <x v="1"/>
    <x v="9"/>
    <n v="60"/>
  </r>
  <r>
    <x v="34"/>
    <s v="CHI CỤC KIỂM LÂM"/>
    <x v="1"/>
    <n v="2218736364"/>
    <d v="2024-11-01T00:00:00"/>
    <x v="10"/>
    <x v="0"/>
    <s v="Tây Bắc Bộ"/>
    <x v="2"/>
    <x v="11"/>
    <n v="2218.7363639999999"/>
  </r>
  <r>
    <x v="51"/>
    <s v="CHI CỤC THỦY SẢN NAM ĐỊNH"/>
    <x v="2"/>
    <n v="12208909"/>
    <d v="2024-11-01T00:00:00"/>
    <x v="10"/>
    <x v="0"/>
    <s v="ĐB Sông Hồng"/>
    <x v="2"/>
    <x v="10"/>
    <n v="12.208909"/>
  </r>
  <r>
    <x v="58"/>
    <s v="Công ty 40"/>
    <x v="0"/>
    <n v="41750000"/>
    <d v="2024-11-01T00:00:00"/>
    <x v="10"/>
    <x v="0"/>
    <s v="Tây Nguyên"/>
    <x v="1"/>
    <x v="1"/>
    <n v="41.75"/>
  </r>
  <r>
    <x v="42"/>
    <s v="Công ty 84"/>
    <x v="4"/>
    <n v="132461818"/>
    <d v="2024-11-01T00:00:00"/>
    <x v="10"/>
    <x v="0"/>
    <s v="Tây Bắc Bộ"/>
    <x v="1"/>
    <x v="9"/>
    <n v="132.46181799999999"/>
  </r>
  <r>
    <x v="42"/>
    <s v="Công ty 85"/>
    <x v="4"/>
    <n v="3890909"/>
    <d v="2024-11-01T00:00:00"/>
    <x v="10"/>
    <x v="0"/>
    <s v="Tây Bắc Bộ"/>
    <x v="1"/>
    <x v="9"/>
    <n v="3.8909090000000002"/>
  </r>
  <r>
    <x v="42"/>
    <s v="Công ty 86"/>
    <x v="4"/>
    <n v="209783636"/>
    <d v="2024-11-01T00:00:00"/>
    <x v="10"/>
    <x v="0"/>
    <s v="Tây Bắc Bộ"/>
    <x v="1"/>
    <x v="9"/>
    <n v="209.783636"/>
  </r>
  <r>
    <x v="33"/>
    <s v="Công an huyện Lục Ngạn tỉnh Bắc Giang"/>
    <x v="2"/>
    <n v="85500000"/>
    <d v="2024-11-01T00:00:00"/>
    <x v="10"/>
    <x v="0"/>
    <s v="Đông Bắc Bộ"/>
    <x v="2"/>
    <x v="1"/>
    <n v="85.5"/>
  </r>
  <r>
    <x v="25"/>
    <s v="Công An Thành Phố Bảo Lộc"/>
    <x v="3"/>
    <n v="89015000"/>
    <d v="2024-11-01T00:00:00"/>
    <x v="10"/>
    <x v="0"/>
    <s v="Tây Nguyên"/>
    <x v="2"/>
    <x v="19"/>
    <n v="89.015000000000001"/>
  </r>
  <r>
    <x v="56"/>
    <s v="Công An Tỉnh Cà Mau"/>
    <x v="0"/>
    <n v="36363236"/>
    <d v="2024-11-01T00:00:00"/>
    <x v="10"/>
    <x v="0"/>
    <s v="ĐB Sông Cửu Long"/>
    <x v="2"/>
    <x v="1"/>
    <n v="36.363236000000001"/>
  </r>
  <r>
    <x v="53"/>
    <s v="Công ty 3"/>
    <x v="4"/>
    <n v="36818182"/>
    <d v="2024-11-01T00:00:00"/>
    <x v="10"/>
    <x v="0"/>
    <s v="Đông Bắc Bộ"/>
    <x v="1"/>
    <x v="9"/>
    <n v="36.818182"/>
  </r>
  <r>
    <x v="53"/>
    <s v="Công ty 6"/>
    <x v="4"/>
    <n v="36818182"/>
    <d v="2024-11-01T00:00:00"/>
    <x v="10"/>
    <x v="0"/>
    <s v="Đông Bắc Bộ"/>
    <x v="1"/>
    <x v="9"/>
    <n v="36.818182"/>
  </r>
  <r>
    <x v="53"/>
    <s v="Công ty 8"/>
    <x v="4"/>
    <n v="36363636"/>
    <d v="2024-11-01T00:00:00"/>
    <x v="10"/>
    <x v="0"/>
    <s v="Đông Bắc Bộ"/>
    <x v="1"/>
    <x v="9"/>
    <n v="36.363636"/>
  </r>
  <r>
    <x v="53"/>
    <s v="Công ty 11"/>
    <x v="4"/>
    <n v="36818182"/>
    <d v="2024-11-01T00:00:00"/>
    <x v="10"/>
    <x v="0"/>
    <s v="Đông Bắc Bộ"/>
    <x v="1"/>
    <x v="9"/>
    <n v="36.818182"/>
  </r>
  <r>
    <x v="53"/>
    <s v="Công ty 18"/>
    <x v="4"/>
    <n v="36256364"/>
    <d v="2024-11-01T00:00:00"/>
    <x v="10"/>
    <x v="0"/>
    <s v="Đông Bắc Bộ"/>
    <x v="1"/>
    <x v="9"/>
    <n v="36.256363999999998"/>
  </r>
  <r>
    <x v="53"/>
    <s v="Công ty 21"/>
    <x v="4"/>
    <n v="36256364"/>
    <d v="2024-11-01T00:00:00"/>
    <x v="10"/>
    <x v="0"/>
    <s v="Đông Bắc Bộ"/>
    <x v="1"/>
    <x v="9"/>
    <n v="36.256363999999998"/>
  </r>
  <r>
    <x v="13"/>
    <s v="Công ty 21"/>
    <x v="4"/>
    <n v="28363636"/>
    <d v="2024-11-01T00:00:00"/>
    <x v="10"/>
    <x v="0"/>
    <s v="Tây Bắc Bộ"/>
    <x v="1"/>
    <x v="9"/>
    <n v="28.363636"/>
  </r>
  <r>
    <x v="49"/>
    <s v="Công ty 21"/>
    <x v="1"/>
    <n v="175600000"/>
    <d v="2024-11-01T00:00:00"/>
    <x v="10"/>
    <x v="0"/>
    <s v="ĐB Sông Cửu Long"/>
    <x v="1"/>
    <x v="13"/>
    <n v="175.6"/>
  </r>
  <r>
    <x v="41"/>
    <s v="KHỐI ĐOÀN THỂ HUYỆN THẠCH AN TỈNH CAO BẰNG"/>
    <x v="4"/>
    <n v="12727273"/>
    <d v="2024-11-01T00:00:00"/>
    <x v="10"/>
    <x v="0"/>
    <s v="Đông Bắc Bộ"/>
    <x v="2"/>
    <x v="9"/>
    <n v="12.727273"/>
  </r>
  <r>
    <x v="0"/>
    <s v="Ngân Hàng Nông Nghiệp Và Phát Triển Nông Thôn Việt Nam - Chi Nhánh Nam Nghệ An"/>
    <x v="0"/>
    <n v="6231818"/>
    <d v="2024-11-01T00:00:00"/>
    <x v="10"/>
    <x v="0"/>
    <s v="Bắc Trung Bộ"/>
    <x v="3"/>
    <x v="14"/>
    <n v="6.2318179999999996"/>
  </r>
  <r>
    <x v="35"/>
    <s v="Phòng Giao Dịch Ngân Hàng Chính Sách Xã Hội (nhcsxh) Huyện Hữu Lũng"/>
    <x v="0"/>
    <n v="1928000"/>
    <d v="2024-11-01T00:00:00"/>
    <x v="10"/>
    <x v="0"/>
    <s v="Đông Bắc Bộ"/>
    <x v="3"/>
    <x v="1"/>
    <n v="1.9279999999999999"/>
  </r>
  <r>
    <x v="41"/>
    <s v="PHÒNG KINH TẾ HẠ TẦNG"/>
    <x v="4"/>
    <n v="433636364"/>
    <d v="2024-11-01T00:00:00"/>
    <x v="10"/>
    <x v="0"/>
    <s v="Đông Bắc Bộ"/>
    <x v="2"/>
    <x v="9"/>
    <n v="433.63636400000001"/>
  </r>
  <r>
    <x v="41"/>
    <s v="Phòng Kinh Tế Và Hạ Tầng Huyện Quảng Hòa"/>
    <x v="4"/>
    <n v="90245455"/>
    <d v="2024-11-01T00:00:00"/>
    <x v="10"/>
    <x v="0"/>
    <s v="Đông Bắc Bộ"/>
    <x v="2"/>
    <x v="9"/>
    <n v="90.245455000000007"/>
  </r>
  <r>
    <x v="18"/>
    <s v="PHÒNG VĂN HOÁ THÔNG TIN"/>
    <x v="0"/>
    <n v="398209091"/>
    <d v="2024-11-01T00:00:00"/>
    <x v="10"/>
    <x v="0"/>
    <s v="Tây Nguyên"/>
    <x v="2"/>
    <x v="5"/>
    <n v="398.209091"/>
  </r>
  <r>
    <x v="10"/>
    <s v="PHÒNG VĂN HOÁ THÔNG TIN HUYỆN ĐÔNG GIANG"/>
    <x v="3"/>
    <n v="816000000"/>
    <d v="2024-11-01T00:00:00"/>
    <x v="10"/>
    <x v="0"/>
    <s v="Duyên hải Nam Trung Bộ"/>
    <x v="2"/>
    <x v="18"/>
    <n v="816"/>
  </r>
  <r>
    <x v="17"/>
    <s v="PHÒNG VĂN HÓA VÀ THÔNG TIN HUYỆN SÔNG HINH"/>
    <x v="0"/>
    <n v="27100000"/>
    <d v="2024-11-01T00:00:00"/>
    <x v="10"/>
    <x v="0"/>
    <s v="Duyên hải Nam Trung Bộ"/>
    <x v="2"/>
    <x v="5"/>
    <n v="27.1"/>
  </r>
  <r>
    <x v="13"/>
    <s v="PHÒNG VĂN HOÁ VÀ THÔNG TIN HUYỆN TRẠM TẤU"/>
    <x v="0"/>
    <n v="270245455"/>
    <d v="2024-11-01T00:00:00"/>
    <x v="10"/>
    <x v="0"/>
    <s v="Tây Bắc Bộ"/>
    <x v="2"/>
    <x v="16"/>
    <n v="270.24545499999999"/>
  </r>
  <r>
    <x v="13"/>
    <s v="PHÒNG VĂN HOÁ VÀ THÔNG TIN HUYỆN TRẠM TẤU"/>
    <x v="0"/>
    <n v="394431818"/>
    <d v="2024-11-01T00:00:00"/>
    <x v="10"/>
    <x v="0"/>
    <s v="Tây Bắc Bộ"/>
    <x v="2"/>
    <x v="16"/>
    <n v="394.43181800000002"/>
  </r>
  <r>
    <x v="34"/>
    <s v="Sở Thông Tin Và Truyền Thông Tỉnh Sơn La"/>
    <x v="0"/>
    <n v="391479091"/>
    <d v="2024-11-01T00:00:00"/>
    <x v="10"/>
    <x v="0"/>
    <s v="Tây Bắc Bộ"/>
    <x v="2"/>
    <x v="5"/>
    <n v="391.47909099999998"/>
  </r>
  <r>
    <x v="35"/>
    <s v="TẬP ĐOÀN CÔNG NGHIỆP - VIỄN THÔNG QUÂN ĐỘI"/>
    <x v="2"/>
    <n v="456417170"/>
    <d v="2024-11-01T00:00:00"/>
    <x v="10"/>
    <x v="0"/>
    <s v="Đông Bắc Bộ"/>
    <x v="1"/>
    <x v="0"/>
    <n v="456.41717"/>
  </r>
  <r>
    <x v="31"/>
    <s v="Thanh Tra Thị Xã Buôn Hồ"/>
    <x v="0"/>
    <n v="9011818"/>
    <d v="2024-11-01T00:00:00"/>
    <x v="10"/>
    <x v="0"/>
    <s v="Tây Nguyên"/>
    <x v="2"/>
    <x v="1"/>
    <n v="9.0118179999999999"/>
  </r>
  <r>
    <x v="35"/>
    <s v="Trung Tâm Quản Lý Cửa Khẩu"/>
    <x v="0"/>
    <n v="157098182"/>
    <d v="2024-11-01T00:00:00"/>
    <x v="10"/>
    <x v="0"/>
    <s v="Đông Bắc Bộ"/>
    <x v="2"/>
    <x v="0"/>
    <n v="157.09818200000001"/>
  </r>
  <r>
    <x v="34"/>
    <s v="TRUNG TÂM THÔNG TIN"/>
    <x v="0"/>
    <n v="518400000"/>
    <d v="2024-11-01T00:00:00"/>
    <x v="10"/>
    <x v="0"/>
    <s v="Tây Bắc Bộ"/>
    <x v="2"/>
    <x v="5"/>
    <n v="518.4"/>
  </r>
  <r>
    <x v="1"/>
    <s v="Trung tâm y tế huyện Phù Mỹ"/>
    <x v="0"/>
    <n v="26265909"/>
    <d v="2024-11-01T00:00:00"/>
    <x v="10"/>
    <x v="0"/>
    <s v="Duyên hải Nam Trung Bộ"/>
    <x v="2"/>
    <x v="0"/>
    <n v="26.265909000000001"/>
  </r>
  <r>
    <x v="17"/>
    <s v="Trung Tâm Y Tế Thành Phố Tuy Hòa"/>
    <x v="1"/>
    <n v="81419091"/>
    <d v="2024-11-01T00:00:00"/>
    <x v="10"/>
    <x v="0"/>
    <s v="Duyên hải Nam Trung Bộ"/>
    <x v="2"/>
    <x v="11"/>
    <n v="81.419090999999995"/>
  </r>
  <r>
    <x v="33"/>
    <s v="Trung Tâm Y Tế Thị Xã Việt Yên"/>
    <x v="2"/>
    <n v="24745455"/>
    <d v="2024-11-01T00:00:00"/>
    <x v="10"/>
    <x v="0"/>
    <s v="Đông Bắc Bộ"/>
    <x v="2"/>
    <x v="2"/>
    <n v="24.745455"/>
  </r>
  <r>
    <x v="15"/>
    <s v="Ubnd Thị Trấn Diên Khánh"/>
    <x v="0"/>
    <n v="19900000"/>
    <d v="2024-11-01T00:00:00"/>
    <x v="10"/>
    <x v="0"/>
    <s v="Duyên hải Nam Trung Bộ"/>
    <x v="2"/>
    <x v="0"/>
    <n v="19.899999999999999"/>
  </r>
  <r>
    <x v="53"/>
    <s v="UBND THỊ TRẤN PHỦ THÔNG"/>
    <x v="1"/>
    <n v="38682450"/>
    <d v="2024-11-01T00:00:00"/>
    <x v="10"/>
    <x v="0"/>
    <s v="Đông Bắc Bộ"/>
    <x v="2"/>
    <x v="4"/>
    <n v="38.682450000000003"/>
  </r>
  <r>
    <x v="20"/>
    <s v="UBND THỊ TRẤN TÂN MINH"/>
    <x v="0"/>
    <n v="185502800"/>
    <d v="2024-11-01T00:00:00"/>
    <x v="10"/>
    <x v="0"/>
    <s v="Duyên hải Nam Trung Bộ"/>
    <x v="2"/>
    <x v="18"/>
    <n v="185.50280000000001"/>
  </r>
  <r>
    <x v="47"/>
    <s v="Ubnd Xã Chân Sơn"/>
    <x v="4"/>
    <n v="90689491"/>
    <d v="2024-11-01T00:00:00"/>
    <x v="10"/>
    <x v="0"/>
    <s v="Đông Bắc Bộ"/>
    <x v="2"/>
    <x v="9"/>
    <n v="90.689491000000004"/>
  </r>
  <r>
    <x v="41"/>
    <s v="UBND XÃ ĐỒNG LOAN"/>
    <x v="4"/>
    <n v="52272727"/>
    <d v="2024-11-01T00:00:00"/>
    <x v="10"/>
    <x v="0"/>
    <s v="Đông Bắc Bộ"/>
    <x v="2"/>
    <x v="9"/>
    <n v="52.272727000000003"/>
  </r>
  <r>
    <x v="58"/>
    <s v="UBND Xã Hơ Mông"/>
    <x v="4"/>
    <n v="43982830"/>
    <d v="2024-11-01T00:00:00"/>
    <x v="10"/>
    <x v="0"/>
    <s v="Tây Nguyên"/>
    <x v="2"/>
    <x v="9"/>
    <n v="43.98283"/>
  </r>
  <r>
    <x v="58"/>
    <s v="UBND Xã Hơ Mông"/>
    <x v="4"/>
    <n v="40067802"/>
    <d v="2024-11-01T00:00:00"/>
    <x v="10"/>
    <x v="0"/>
    <s v="Tây Nguyên"/>
    <x v="2"/>
    <x v="9"/>
    <n v="40.067802"/>
  </r>
  <r>
    <x v="6"/>
    <s v="UBND XÃ HY CƯƠNG"/>
    <x v="3"/>
    <n v="79427473"/>
    <d v="2024-11-01T00:00:00"/>
    <x v="10"/>
    <x v="0"/>
    <s v="Đông Bắc Bộ"/>
    <x v="2"/>
    <x v="7"/>
    <n v="79.427473000000006"/>
  </r>
  <r>
    <x v="6"/>
    <s v="UBND XÃ HY CƯƠNG"/>
    <x v="1"/>
    <n v="65018182"/>
    <d v="2024-11-01T00:00:00"/>
    <x v="10"/>
    <x v="0"/>
    <s v="Đông Bắc Bộ"/>
    <x v="2"/>
    <x v="10"/>
    <n v="65.018181999999996"/>
  </r>
  <r>
    <x v="41"/>
    <s v="Ubnd Xã Kim Loan"/>
    <x v="4"/>
    <n v="22727273"/>
    <d v="2024-11-01T00:00:00"/>
    <x v="10"/>
    <x v="0"/>
    <s v="Đông Bắc Bộ"/>
    <x v="2"/>
    <x v="9"/>
    <n v="22.727273"/>
  </r>
  <r>
    <x v="53"/>
    <s v="UBND XÃ LIÊM THUỶ"/>
    <x v="4"/>
    <n v="54511856"/>
    <d v="2024-11-01T00:00:00"/>
    <x v="10"/>
    <x v="0"/>
    <s v="Đông Bắc Bộ"/>
    <x v="2"/>
    <x v="9"/>
    <n v="54.511856000000002"/>
  </r>
  <r>
    <x v="33"/>
    <s v="UBND XÃ LIÊN CHUNG"/>
    <x v="0"/>
    <n v="24110000"/>
    <d v="2024-11-01T00:00:00"/>
    <x v="10"/>
    <x v="0"/>
    <s v="Đông Bắc Bộ"/>
    <x v="2"/>
    <x v="0"/>
    <n v="24.11"/>
  </r>
  <r>
    <x v="33"/>
    <s v="UBND XÃ MAI TRUNG"/>
    <x v="0"/>
    <n v="14440000"/>
    <d v="2024-11-01T00:00:00"/>
    <x v="10"/>
    <x v="0"/>
    <s v="Đông Bắc Bộ"/>
    <x v="2"/>
    <x v="5"/>
    <n v="14.44"/>
  </r>
  <r>
    <x v="33"/>
    <s v="UBND XÃ NGỌC CHÂU"/>
    <x v="0"/>
    <n v="2190000"/>
    <d v="2024-11-01T00:00:00"/>
    <x v="10"/>
    <x v="0"/>
    <s v="Đông Bắc Bộ"/>
    <x v="2"/>
    <x v="5"/>
    <n v="2.19"/>
  </r>
  <r>
    <x v="32"/>
    <s v="UBND XÃ PHÚ HỰU"/>
    <x v="4"/>
    <n v="29000000"/>
    <d v="2024-11-01T00:00:00"/>
    <x v="10"/>
    <x v="0"/>
    <s v="ĐB Sông Cửu Long"/>
    <x v="2"/>
    <x v="9"/>
    <n v="29"/>
  </r>
  <r>
    <x v="10"/>
    <s v="Ubnd Xã Tam Sơn"/>
    <x v="3"/>
    <n v="84960000"/>
    <d v="2024-11-01T00:00:00"/>
    <x v="10"/>
    <x v="0"/>
    <s v="Duyên hải Nam Trung Bộ"/>
    <x v="2"/>
    <x v="18"/>
    <n v="84.96"/>
  </r>
  <r>
    <x v="20"/>
    <s v="UBND XÃ TÂN PHÚC"/>
    <x v="3"/>
    <n v="207725500"/>
    <d v="2024-11-01T00:00:00"/>
    <x v="10"/>
    <x v="0"/>
    <s v="Duyên hải Nam Trung Bộ"/>
    <x v="2"/>
    <x v="18"/>
    <n v="207.72550000000001"/>
  </r>
  <r>
    <x v="20"/>
    <s v="UBND XÃ TÂN XUÂN"/>
    <x v="3"/>
    <n v="207356900"/>
    <d v="2024-11-01T00:00:00"/>
    <x v="10"/>
    <x v="0"/>
    <s v="Duyên hải Nam Trung Bộ"/>
    <x v="2"/>
    <x v="18"/>
    <n v="207.3569"/>
  </r>
  <r>
    <x v="47"/>
    <s v="Ubnd Xã Thái Bình"/>
    <x v="4"/>
    <n v="90638982"/>
    <d v="2024-11-01T00:00:00"/>
    <x v="10"/>
    <x v="0"/>
    <s v="Đông Bắc Bộ"/>
    <x v="2"/>
    <x v="9"/>
    <n v="90.638981999999999"/>
  </r>
  <r>
    <x v="20"/>
    <s v="UBND XÃ THẮNG HẢI"/>
    <x v="3"/>
    <n v="205067700"/>
    <d v="2024-11-01T00:00:00"/>
    <x v="10"/>
    <x v="0"/>
    <s v="Duyên hải Nam Trung Bộ"/>
    <x v="2"/>
    <x v="18"/>
    <n v="205.0677"/>
  </r>
  <r>
    <x v="5"/>
    <s v="UBND XÃ THỌ SƠN"/>
    <x v="1"/>
    <n v="54477000"/>
    <d v="2024-11-01T00:00:00"/>
    <x v="10"/>
    <x v="0"/>
    <s v="Đông Nam Bộ"/>
    <x v="2"/>
    <x v="11"/>
    <n v="54.476999999999997"/>
  </r>
  <r>
    <x v="10"/>
    <s v="UBND XÃ TIÊN THỌ"/>
    <x v="2"/>
    <n v="191350000"/>
    <d v="2024-11-01T00:00:00"/>
    <x v="10"/>
    <x v="0"/>
    <s v="Duyên hải Nam Trung Bộ"/>
    <x v="2"/>
    <x v="9"/>
    <n v="191.35"/>
  </r>
  <r>
    <x v="13"/>
    <s v="Ủy Ban Mặt Trận Tổ Quốc Việt Nam"/>
    <x v="4"/>
    <n v="136363636"/>
    <d v="2024-11-01T00:00:00"/>
    <x v="10"/>
    <x v="0"/>
    <s v="Tây Bắc Bộ"/>
    <x v="2"/>
    <x v="3"/>
    <n v="136.36363600000001"/>
  </r>
  <r>
    <x v="0"/>
    <s v="Ủy Ban Mttq Việt Nam Xã Nghĩa Trung"/>
    <x v="0"/>
    <n v="109373633"/>
    <d v="2024-11-01T00:00:00"/>
    <x v="10"/>
    <x v="0"/>
    <s v="Bắc Trung Bộ"/>
    <x v="2"/>
    <x v="1"/>
    <n v="109.373633"/>
  </r>
  <r>
    <x v="41"/>
    <s v="Ủy ban nhân dân Thị trấn Lương Sơn"/>
    <x v="4"/>
    <n v="36427273"/>
    <d v="2024-11-01T00:00:00"/>
    <x v="10"/>
    <x v="0"/>
    <s v="Đông Bắc Bộ"/>
    <x v="2"/>
    <x v="9"/>
    <n v="36.427273"/>
  </r>
  <r>
    <x v="33"/>
    <s v="Uỷ Ban Nhân Dân Xã Kiên Thành"/>
    <x v="3"/>
    <n v="21900000"/>
    <d v="2024-11-01T00:00:00"/>
    <x v="10"/>
    <x v="0"/>
    <s v="Đông Bắc Bộ"/>
    <x v="2"/>
    <x v="19"/>
    <n v="21.9"/>
  </r>
  <r>
    <x v="47"/>
    <s v="ỦY BAN NHÂN DÂN XÃ LANG QUÁN"/>
    <x v="4"/>
    <n v="90638982"/>
    <d v="2024-11-01T00:00:00"/>
    <x v="10"/>
    <x v="0"/>
    <s v="Đông Bắc Bộ"/>
    <x v="2"/>
    <x v="9"/>
    <n v="90.638981999999999"/>
  </r>
  <r>
    <x v="6"/>
    <s v="UỶ BAN NHÂN DÂN XÃ MINH TÂN"/>
    <x v="3"/>
    <n v="72727273"/>
    <d v="2024-11-01T00:00:00"/>
    <x v="10"/>
    <x v="0"/>
    <s v="Đông Bắc Bộ"/>
    <x v="2"/>
    <x v="7"/>
    <n v="72.727272999999997"/>
  </r>
  <r>
    <x v="19"/>
    <s v="Ủy Ban Nhân Dân Xã Phước Diêm"/>
    <x v="1"/>
    <n v="81804545"/>
    <d v="2024-11-01T00:00:00"/>
    <x v="10"/>
    <x v="0"/>
    <s v="Duyên hải Nam Trung Bộ"/>
    <x v="2"/>
    <x v="10"/>
    <n v="81.804545000000005"/>
  </r>
  <r>
    <x v="6"/>
    <s v="Ủy Ban Nhân Dân Xã Phượng Vỹ"/>
    <x v="3"/>
    <n v="72727273"/>
    <d v="2024-11-01T00:00:00"/>
    <x v="10"/>
    <x v="0"/>
    <s v="Đông Bắc Bộ"/>
    <x v="2"/>
    <x v="7"/>
    <n v="72.727272999999997"/>
  </r>
  <r>
    <x v="10"/>
    <s v="ỦY BAN NHÂN DÂN XÃ TAM LÃNH"/>
    <x v="0"/>
    <n v="89747273"/>
    <d v="2024-11-01T00:00:00"/>
    <x v="10"/>
    <x v="0"/>
    <s v="Duyên hải Nam Trung Bộ"/>
    <x v="2"/>
    <x v="1"/>
    <n v="89.747273000000007"/>
  </r>
  <r>
    <x v="6"/>
    <s v="Ủy Ban Nhân Dân Xã Vạn Xuân"/>
    <x v="0"/>
    <n v="11219091"/>
    <d v="2024-11-01T00:00:00"/>
    <x v="10"/>
    <x v="0"/>
    <s v="Đông Bắc Bộ"/>
    <x v="2"/>
    <x v="1"/>
    <n v="11.219091000000001"/>
  </r>
  <r>
    <x v="35"/>
    <s v="Uỷ Ban Nhân Dân Xã Yên Thịnh"/>
    <x v="1"/>
    <n v="36512000"/>
    <d v="2024-11-01T00:00:00"/>
    <x v="10"/>
    <x v="0"/>
    <s v="Đông Bắc Bộ"/>
    <x v="2"/>
    <x v="9"/>
    <n v="36.512"/>
  </r>
  <r>
    <x v="9"/>
    <s v="VĂN PHÒNG ĐĂNG KÝ ĐẤT ĐAI THÀNH PHỐ ĐÀ NẴNG"/>
    <x v="0"/>
    <n v="795454545"/>
    <d v="2024-11-01T00:00:00"/>
    <x v="10"/>
    <x v="0"/>
    <s v="Duyên hải Nam Trung Bộ"/>
    <x v="2"/>
    <x v="5"/>
    <n v="795.45454500000005"/>
  </r>
  <r>
    <x v="9"/>
    <s v="VĂN PHÒNG ĐĂNG KÝ ĐẤT ĐAI THÀNH PHỐ ĐÀ NẴNG"/>
    <x v="0"/>
    <n v="795454545"/>
    <d v="2024-11-01T00:00:00"/>
    <x v="10"/>
    <x v="0"/>
    <s v="Duyên hải Nam Trung Bộ"/>
    <x v="2"/>
    <x v="5"/>
    <n v="795.45454500000005"/>
  </r>
  <r>
    <x v="0"/>
    <s v="VĂN PHÒNG UBND HUYỆN QUỲ HỢP"/>
    <x v="0"/>
    <n v="90181818"/>
    <d v="2024-11-01T00:00:00"/>
    <x v="10"/>
    <x v="0"/>
    <s v="Bắc Trung Bộ"/>
    <x v="2"/>
    <x v="0"/>
    <n v="90.181818000000007"/>
  </r>
  <r>
    <x v="29"/>
    <s v="Văn Phòng Uỷ Ban Nhân Dân Tỉnh Tiền Giang"/>
    <x v="2"/>
    <n v="83754208"/>
    <d v="2024-11-01T00:00:00"/>
    <x v="10"/>
    <x v="0"/>
    <s v="ĐB Sông Cửu Long"/>
    <x v="2"/>
    <x v="13"/>
    <n v="83.754208000000006"/>
  </r>
  <r>
    <x v="27"/>
    <s v="Viettel Hà Tĩnh-Chi nhánh Tập đoàn Viễn thông Quân đội"/>
    <x v="0"/>
    <n v="816754274"/>
    <d v="2024-11-01T00:00:00"/>
    <x v="10"/>
    <x v="0"/>
    <s v="Bắc Trung Bộ"/>
    <x v="1"/>
    <x v="1"/>
    <n v="816.75427400000001"/>
  </r>
  <r>
    <x v="56"/>
    <s v="Cục Quản Lý Thị Trường Tỉnh Cà Mau"/>
    <x v="0"/>
    <n v="22372364"/>
    <d v="2024-11-01T00:00:00"/>
    <x v="10"/>
    <x v="0"/>
    <s v="ĐB Sông Cửu Long"/>
    <x v="4"/>
    <x v="0"/>
    <n v="22.372364000000001"/>
  </r>
  <r>
    <x v="14"/>
    <s v="Học Viện Chính Sách Và Phát Triển"/>
    <x v="0"/>
    <n v="89650000"/>
    <d v="2024-11-01T00:00:00"/>
    <x v="10"/>
    <x v="0"/>
    <s v="ĐB Sông Hồng"/>
    <x v="4"/>
    <x v="0"/>
    <n v="89.65"/>
  </r>
  <r>
    <x v="57"/>
    <s v="Sở Tài Nguyên Và Môi Trường Tỉnh Hậu Giang"/>
    <x v="0"/>
    <n v="90301000"/>
    <d v="2024-11-01T00:00:00"/>
    <x v="10"/>
    <x v="0"/>
    <s v="ĐB Sông Cửu Long"/>
    <x v="4"/>
    <x v="14"/>
    <n v="90.301000000000002"/>
  </r>
  <r>
    <x v="14"/>
    <s v="TRƯỜNG CAO ĐẲNG ĐIỆN LỰC MIỀN BẮC"/>
    <x v="1"/>
    <n v="99275400"/>
    <d v="2024-11-01T00:00:00"/>
    <x v="10"/>
    <x v="0"/>
    <s v="ĐB Sông Hồng"/>
    <x v="4"/>
    <x v="13"/>
    <n v="99.275400000000005"/>
  </r>
  <r>
    <x v="14"/>
    <s v="TRƯỜNG CAO ĐẲNG ĐIỆN LỰC MIỀN BẮC"/>
    <x v="0"/>
    <n v="635454545"/>
    <d v="2024-11-01T00:00:00"/>
    <x v="10"/>
    <x v="0"/>
    <s v="ĐB Sông Hồng"/>
    <x v="4"/>
    <x v="5"/>
    <n v="635.45454500000005"/>
  </r>
  <r>
    <x v="1"/>
    <s v="Trường Cao Đẳng Y Tế Bình Định"/>
    <x v="0"/>
    <n v="560000000"/>
    <d v="2024-11-01T00:00:00"/>
    <x v="10"/>
    <x v="0"/>
    <s v="Duyên hải Nam Trung Bộ"/>
    <x v="4"/>
    <x v="5"/>
    <n v="560"/>
  </r>
  <r>
    <x v="41"/>
    <s v="Trường Mầm Non Chí Viễn"/>
    <x v="4"/>
    <n v="16947273"/>
    <d v="2024-11-01T00:00:00"/>
    <x v="10"/>
    <x v="0"/>
    <s v="Đông Bắc Bộ"/>
    <x v="4"/>
    <x v="9"/>
    <n v="16.947272999999999"/>
  </r>
  <r>
    <x v="49"/>
    <s v="Trường MN Hưng Lễ"/>
    <x v="2"/>
    <n v="10545455"/>
    <d v="2024-11-01T00:00:00"/>
    <x v="10"/>
    <x v="0"/>
    <s v="ĐB Sông Cửu Long"/>
    <x v="4"/>
    <x v="0"/>
    <n v="10.545455"/>
  </r>
  <r>
    <x v="6"/>
    <s v="Trường Phổ Thông DTBT THCS Kim Thượng"/>
    <x v="0"/>
    <n v="44338680"/>
    <d v="2024-11-01T00:00:00"/>
    <x v="10"/>
    <x v="0"/>
    <s v="Đông Bắc Bộ"/>
    <x v="4"/>
    <x v="1"/>
    <n v="44.338679999999997"/>
  </r>
  <r>
    <x v="53"/>
    <s v="Trường Phổ Thông Dtnt Thcs Pác Nặm"/>
    <x v="0"/>
    <n v="26928182"/>
    <d v="2024-11-01T00:00:00"/>
    <x v="10"/>
    <x v="0"/>
    <s v="Đông Bắc Bộ"/>
    <x v="4"/>
    <x v="0"/>
    <n v="26.928182"/>
  </r>
  <r>
    <x v="18"/>
    <s v="Trường Th &amp; Thcs Nguyễn Du"/>
    <x v="0"/>
    <n v="27145455"/>
    <d v="2024-11-01T00:00:00"/>
    <x v="10"/>
    <x v="0"/>
    <s v="Tây Nguyên"/>
    <x v="4"/>
    <x v="1"/>
    <n v="27.145454999999998"/>
  </r>
  <r>
    <x v="0"/>
    <s v="TRƯỜNG THCS HÀ HUY TẬP"/>
    <x v="0"/>
    <n v="25931818"/>
    <d v="2024-11-01T00:00:00"/>
    <x v="10"/>
    <x v="0"/>
    <s v="Bắc Trung Bộ"/>
    <x v="4"/>
    <x v="0"/>
    <n v="25.931818"/>
  </r>
  <r>
    <x v="49"/>
    <s v="TRƯỜNG THCS NGUYỄN VĂN TƯ"/>
    <x v="2"/>
    <n v="13409091"/>
    <d v="2024-11-01T00:00:00"/>
    <x v="10"/>
    <x v="0"/>
    <s v="ĐB Sông Cửu Long"/>
    <x v="4"/>
    <x v="0"/>
    <n v="13.409091"/>
  </r>
  <r>
    <x v="54"/>
    <s v="TRƯỜNG THCS SỐ 2 VÕ LAO"/>
    <x v="0"/>
    <n v="161343483"/>
    <d v="2024-11-01T00:00:00"/>
    <x v="10"/>
    <x v="0"/>
    <s v="Tây Bắc Bộ"/>
    <x v="4"/>
    <x v="5"/>
    <n v="161.34348299999999"/>
  </r>
  <r>
    <x v="14"/>
    <s v="Trường Thcs Tam Đồng"/>
    <x v="0"/>
    <n v="44474000"/>
    <d v="2024-11-01T00:00:00"/>
    <x v="10"/>
    <x v="0"/>
    <s v="ĐB Sông Hồng"/>
    <x v="4"/>
    <x v="0"/>
    <n v="44.473999999999997"/>
  </r>
  <r>
    <x v="33"/>
    <s v="Trường Thcs Thân Nhân Trung"/>
    <x v="0"/>
    <n v="26503800"/>
    <d v="2024-11-01T00:00:00"/>
    <x v="10"/>
    <x v="0"/>
    <s v="Đông Bắc Bộ"/>
    <x v="4"/>
    <x v="0"/>
    <n v="26.503799999999998"/>
  </r>
  <r>
    <x v="5"/>
    <s v="Trường Thcs Thanh Bình"/>
    <x v="1"/>
    <n v="16060000"/>
    <d v="2024-11-01T00:00:00"/>
    <x v="10"/>
    <x v="0"/>
    <s v="Đông Nam Bộ"/>
    <x v="4"/>
    <x v="11"/>
    <n v="16.059999999999999"/>
  </r>
  <r>
    <x v="49"/>
    <s v="Trường Tiểu Học Long Hòa"/>
    <x v="0"/>
    <n v="15622727"/>
    <d v="2024-11-01T00:00:00"/>
    <x v="10"/>
    <x v="0"/>
    <s v="ĐB Sông Cửu Long"/>
    <x v="4"/>
    <x v="0"/>
    <n v="15.622726999999999"/>
  </r>
  <r>
    <x v="20"/>
    <s v="Trường Tiểu Học Phú Trinh 2"/>
    <x v="0"/>
    <n v="4254545"/>
    <d v="2024-11-01T00:00:00"/>
    <x v="10"/>
    <x v="0"/>
    <s v="Duyên hải Nam Trung Bộ"/>
    <x v="4"/>
    <x v="1"/>
    <n v="4.2545450000000002"/>
  </r>
  <r>
    <x v="33"/>
    <s v="Trường Tiểu Học Tân Dĩnh"/>
    <x v="0"/>
    <n v="30185000"/>
    <d v="2024-11-01T00:00:00"/>
    <x v="10"/>
    <x v="0"/>
    <s v="Đông Bắc Bộ"/>
    <x v="4"/>
    <x v="0"/>
    <n v="30.184999999999999"/>
  </r>
  <r>
    <x v="33"/>
    <s v="TRƯỜNG TIỀU HỌC THỊ TRẤN THẮNG"/>
    <x v="0"/>
    <n v="32345000"/>
    <d v="2024-11-01T00:00:00"/>
    <x v="10"/>
    <x v="0"/>
    <s v="Đông Bắc Bộ"/>
    <x v="4"/>
    <x v="0"/>
    <n v="32.344999999999999"/>
  </r>
  <r>
    <x v="46"/>
    <s v="TRƯỜNG TIỂU HỌC TRƯNG VƯƠNG"/>
    <x v="2"/>
    <n v="23870000"/>
    <d v="2024-11-01T00:00:00"/>
    <x v="10"/>
    <x v="0"/>
    <s v="ĐB Sông Cửu Long"/>
    <x v="4"/>
    <x v="0"/>
    <n v="23.87"/>
  </r>
  <r>
    <x v="1"/>
    <s v="Trường Trung Học Cơ Sở Đào Duy Từ"/>
    <x v="0"/>
    <n v="11120909"/>
    <d v="2024-11-01T00:00:00"/>
    <x v="10"/>
    <x v="0"/>
    <s v="Duyên hải Nam Trung Bộ"/>
    <x v="4"/>
    <x v="0"/>
    <n v="11.120908999999999"/>
  </r>
  <r>
    <x v="54"/>
    <s v="Trường trung học cơ sở Nậm Mả"/>
    <x v="0"/>
    <n v="124509091"/>
    <d v="2024-11-01T00:00:00"/>
    <x v="10"/>
    <x v="0"/>
    <s v="Tây Bắc Bộ"/>
    <x v="4"/>
    <x v="5"/>
    <n v="124.509091"/>
  </r>
  <r>
    <x v="57"/>
    <s v="BỆNH VIỆN ĐA KHOA BƯU ĐIỆN."/>
    <x v="1"/>
    <n v="534666364"/>
    <d v="2024-12-01T00:00:00"/>
    <x v="11"/>
    <x v="0"/>
    <s v="ĐB Sông Cửu Long"/>
    <x v="0"/>
    <x v="2"/>
    <n v="534.66636400000004"/>
  </r>
  <r>
    <x v="9"/>
    <s v="Công ty 1"/>
    <x v="1"/>
    <n v="293385000"/>
    <d v="2024-12-01T00:00:00"/>
    <x v="11"/>
    <x v="0"/>
    <s v="Duyên hải Nam Trung Bộ"/>
    <x v="1"/>
    <x v="10"/>
    <n v="293.38499999999999"/>
  </r>
  <r>
    <x v="12"/>
    <s v="Công ty 1"/>
    <x v="4"/>
    <n v="271818182"/>
    <d v="2024-12-01T00:00:00"/>
    <x v="11"/>
    <x v="0"/>
    <s v="Tây Bắc Bộ"/>
    <x v="1"/>
    <x v="9"/>
    <n v="271.81818199999998"/>
  </r>
  <r>
    <x v="57"/>
    <s v="Công ty 1"/>
    <x v="1"/>
    <n v="250580909"/>
    <d v="2024-12-01T00:00:00"/>
    <x v="11"/>
    <x v="0"/>
    <s v="ĐB Sông Cửu Long"/>
    <x v="1"/>
    <x v="2"/>
    <n v="250.58090899999999"/>
  </r>
  <r>
    <x v="16"/>
    <s v="Công ty 1"/>
    <x v="4"/>
    <n v="201994545"/>
    <d v="2024-12-01T00:00:00"/>
    <x v="11"/>
    <x v="0"/>
    <s v="ĐB Sông Hồng"/>
    <x v="1"/>
    <x v="3"/>
    <n v="201.99454499999999"/>
  </r>
  <r>
    <x v="24"/>
    <s v="Công ty 28"/>
    <x v="1"/>
    <n v="1075213761"/>
    <d v="2024-12-01T00:00:00"/>
    <x v="11"/>
    <x v="0"/>
    <s v="ĐB Sông Hồng"/>
    <x v="1"/>
    <x v="4"/>
    <n v="1075.213761"/>
  </r>
  <r>
    <x v="14"/>
    <s v="Công ty 97"/>
    <x v="0"/>
    <n v="104800000"/>
    <d v="2024-12-01T00:00:00"/>
    <x v="11"/>
    <x v="0"/>
    <s v="ĐB Sông Hồng"/>
    <x v="1"/>
    <x v="5"/>
    <n v="104.8"/>
  </r>
  <r>
    <x v="28"/>
    <s v="Công ty 27"/>
    <x v="0"/>
    <n v="33387273"/>
    <d v="2024-12-01T00:00:00"/>
    <x v="11"/>
    <x v="0"/>
    <s v="ĐB Sông Hồng"/>
    <x v="1"/>
    <x v="5"/>
    <n v="33.387273"/>
  </r>
  <r>
    <x v="59"/>
    <s v="Công ty 39"/>
    <x v="4"/>
    <n v="527361199"/>
    <d v="2024-12-01T00:00:00"/>
    <x v="11"/>
    <x v="0"/>
    <s v="ĐB Sông Hồng"/>
    <x v="1"/>
    <x v="3"/>
    <n v="527.36119900000006"/>
  </r>
  <r>
    <x v="25"/>
    <s v="Công ty 51"/>
    <x v="2"/>
    <n v="87172864"/>
    <d v="2024-12-01T00:00:00"/>
    <x v="11"/>
    <x v="0"/>
    <s v="Tây Nguyên"/>
    <x v="1"/>
    <x v="11"/>
    <n v="87.172864000000004"/>
  </r>
  <r>
    <x v="14"/>
    <s v="Công ty 52"/>
    <x v="4"/>
    <n v="11088780300"/>
    <d v="2024-12-01T00:00:00"/>
    <x v="11"/>
    <x v="0"/>
    <s v="ĐB Sông Hồng"/>
    <x v="1"/>
    <x v="3"/>
    <n v="11088.7803"/>
  </r>
  <r>
    <x v="9"/>
    <s v="Công ty 67"/>
    <x v="0"/>
    <n v="1412663630"/>
    <d v="2024-12-01T00:00:00"/>
    <x v="11"/>
    <x v="0"/>
    <s v="Duyên hải Nam Trung Bộ"/>
    <x v="1"/>
    <x v="5"/>
    <n v="1412.66363"/>
  </r>
  <r>
    <x v="3"/>
    <s v="Công ty 76"/>
    <x v="4"/>
    <n v="20567273"/>
    <d v="2024-12-01T00:00:00"/>
    <x v="11"/>
    <x v="0"/>
    <s v="ĐB Sông Cửu Long"/>
    <x v="1"/>
    <x v="9"/>
    <n v="20.567273"/>
  </r>
  <r>
    <x v="22"/>
    <s v="Công ty 90"/>
    <x v="1"/>
    <n v="104480182"/>
    <d v="2024-12-01T00:00:00"/>
    <x v="11"/>
    <x v="0"/>
    <s v="Bắc Trung Bộ"/>
    <x v="1"/>
    <x v="10"/>
    <n v="104.480182"/>
  </r>
  <r>
    <x v="11"/>
    <s v="Công ty 93"/>
    <x v="2"/>
    <n v="7159440"/>
    <d v="2024-12-01T00:00:00"/>
    <x v="11"/>
    <x v="0"/>
    <s v="Đông Nam Bộ"/>
    <x v="1"/>
    <x v="7"/>
    <n v="7.15944"/>
  </r>
  <r>
    <x v="11"/>
    <s v="Công ty 94"/>
    <x v="2"/>
    <n v="6805640"/>
    <d v="2024-12-01T00:00:00"/>
    <x v="11"/>
    <x v="0"/>
    <s v="Đông Nam Bộ"/>
    <x v="1"/>
    <x v="7"/>
    <n v="6.8056400000000004"/>
  </r>
  <r>
    <x v="14"/>
    <s v="Công ty 9"/>
    <x v="4"/>
    <n v="15750203700"/>
    <d v="2024-12-01T00:00:00"/>
    <x v="11"/>
    <x v="0"/>
    <s v="ĐB Sông Hồng"/>
    <x v="1"/>
    <x v="3"/>
    <n v="15750.2037"/>
  </r>
  <r>
    <x v="14"/>
    <s v="Công ty 11"/>
    <x v="4"/>
    <n v="10759037300"/>
    <d v="2024-12-01T00:00:00"/>
    <x v="11"/>
    <x v="0"/>
    <s v="ĐB Sông Hồng"/>
    <x v="1"/>
    <x v="3"/>
    <n v="10759.0373"/>
  </r>
  <r>
    <x v="6"/>
    <s v="Công ty 26"/>
    <x v="2"/>
    <n v="186433994"/>
    <d v="2024-12-01T00:00:00"/>
    <x v="11"/>
    <x v="0"/>
    <s v="Đông Bắc Bộ"/>
    <x v="1"/>
    <x v="16"/>
    <n v="186.43399400000001"/>
  </r>
  <r>
    <x v="6"/>
    <s v="Công ty 27"/>
    <x v="2"/>
    <n v="209333994"/>
    <d v="2024-12-01T00:00:00"/>
    <x v="11"/>
    <x v="0"/>
    <s v="Đông Bắc Bộ"/>
    <x v="1"/>
    <x v="5"/>
    <n v="209.33399399999999"/>
  </r>
  <r>
    <x v="5"/>
    <s v="Công ty 48"/>
    <x v="0"/>
    <n v="8283100"/>
    <d v="2024-12-01T00:00:00"/>
    <x v="11"/>
    <x v="0"/>
    <s v="Đông Nam Bộ"/>
    <x v="1"/>
    <x v="5"/>
    <n v="8.2830999999999992"/>
  </r>
  <r>
    <x v="26"/>
    <s v="Công ty 57"/>
    <x v="4"/>
    <n v="1256206167"/>
    <d v="2024-12-01T00:00:00"/>
    <x v="11"/>
    <x v="0"/>
    <s v="Đông Nam Bộ"/>
    <x v="1"/>
    <x v="3"/>
    <n v="1256.2061670000001"/>
  </r>
  <r>
    <x v="10"/>
    <s v="Công ty 72"/>
    <x v="0"/>
    <n v="259671500"/>
    <d v="2024-12-01T00:00:00"/>
    <x v="11"/>
    <x v="0"/>
    <s v="Duyên hải Nam Trung Bộ"/>
    <x v="1"/>
    <x v="1"/>
    <n v="259.67149999999998"/>
  </r>
  <r>
    <x v="0"/>
    <s v="Công ty 74"/>
    <x v="2"/>
    <n v="145734727"/>
    <d v="2024-12-01T00:00:00"/>
    <x v="11"/>
    <x v="0"/>
    <s v="Bắc Trung Bộ"/>
    <x v="1"/>
    <x v="10"/>
    <n v="145.73472699999999"/>
  </r>
  <r>
    <x v="22"/>
    <s v="Công ty 75"/>
    <x v="4"/>
    <n v="3164327533"/>
    <d v="2024-12-01T00:00:00"/>
    <x v="11"/>
    <x v="0"/>
    <s v="Bắc Trung Bộ"/>
    <x v="1"/>
    <x v="3"/>
    <n v="3164.3275330000001"/>
  </r>
  <r>
    <x v="14"/>
    <s v="Công ty 1"/>
    <x v="0"/>
    <n v="181783636"/>
    <d v="2024-12-01T00:00:00"/>
    <x v="11"/>
    <x v="0"/>
    <s v="ĐB Sông Hồng"/>
    <x v="1"/>
    <x v="0"/>
    <n v="181.783636"/>
  </r>
  <r>
    <x v="32"/>
    <s v="Công ty 7"/>
    <x v="0"/>
    <n v="17130000"/>
    <d v="2024-12-01T00:00:00"/>
    <x v="11"/>
    <x v="0"/>
    <s v="ĐB Sông Cửu Long"/>
    <x v="1"/>
    <x v="1"/>
    <n v="17.13"/>
  </r>
  <r>
    <x v="62"/>
    <s v="Công ty 40"/>
    <x v="2"/>
    <n v="181636364"/>
    <d v="2024-12-01T00:00:00"/>
    <x v="11"/>
    <x v="0"/>
    <s v="Bắc Trung Bộ"/>
    <x v="1"/>
    <x v="4"/>
    <n v="181.63636399999999"/>
  </r>
  <r>
    <x v="0"/>
    <s v="Công ty 3"/>
    <x v="4"/>
    <n v="174941364"/>
    <d v="2024-12-01T00:00:00"/>
    <x v="11"/>
    <x v="0"/>
    <s v="Bắc Trung Bộ"/>
    <x v="1"/>
    <x v="3"/>
    <n v="174.94136399999999"/>
  </r>
  <r>
    <x v="59"/>
    <s v="Công ty 24"/>
    <x v="0"/>
    <n v="18245091"/>
    <d v="2024-12-01T00:00:00"/>
    <x v="11"/>
    <x v="0"/>
    <s v="ĐB Sông Hồng"/>
    <x v="1"/>
    <x v="1"/>
    <n v="18.245090999999999"/>
  </r>
  <r>
    <x v="0"/>
    <s v="Công ty 29"/>
    <x v="4"/>
    <n v="140909091"/>
    <d v="2024-12-01T00:00:00"/>
    <x v="11"/>
    <x v="0"/>
    <s v="Bắc Trung Bộ"/>
    <x v="1"/>
    <x v="3"/>
    <n v="140.90909099999999"/>
  </r>
  <r>
    <x v="25"/>
    <s v="Công ty 39"/>
    <x v="0"/>
    <n v="187699000"/>
    <d v="2024-12-01T00:00:00"/>
    <x v="11"/>
    <x v="0"/>
    <s v="Tây Nguyên"/>
    <x v="1"/>
    <x v="0"/>
    <n v="187.69900000000001"/>
  </r>
  <r>
    <x v="17"/>
    <s v="Công ty 43"/>
    <x v="1"/>
    <n v="20454545"/>
    <d v="2024-12-01T00:00:00"/>
    <x v="11"/>
    <x v="0"/>
    <s v="Duyên hải Nam Trung Bộ"/>
    <x v="1"/>
    <x v="4"/>
    <n v="20.454545"/>
  </r>
  <r>
    <x v="6"/>
    <s v="Công ty 54"/>
    <x v="2"/>
    <n v="42182500"/>
    <d v="2024-12-01T00:00:00"/>
    <x v="11"/>
    <x v="0"/>
    <s v="Đông Bắc Bộ"/>
    <x v="1"/>
    <x v="10"/>
    <n v="42.182499999999997"/>
  </r>
  <r>
    <x v="54"/>
    <s v="Công ty 59"/>
    <x v="4"/>
    <n v="22781818"/>
    <d v="2024-12-01T00:00:00"/>
    <x v="11"/>
    <x v="0"/>
    <s v="Tây Bắc Bộ"/>
    <x v="1"/>
    <x v="9"/>
    <n v="22.781818000000001"/>
  </r>
  <r>
    <x v="59"/>
    <s v="Công ty 89"/>
    <x v="4"/>
    <n v="1355435345"/>
    <d v="2024-12-01T00:00:00"/>
    <x v="11"/>
    <x v="0"/>
    <s v="ĐB Sông Hồng"/>
    <x v="1"/>
    <x v="3"/>
    <n v="1355.4353450000001"/>
  </r>
  <r>
    <x v="16"/>
    <s v="Công ty 91"/>
    <x v="1"/>
    <n v="4490650765"/>
    <d v="2024-12-01T00:00:00"/>
    <x v="11"/>
    <x v="0"/>
    <s v="ĐB Sông Hồng"/>
    <x v="1"/>
    <x v="4"/>
    <n v="4490.6507650000003"/>
  </r>
  <r>
    <x v="36"/>
    <s v="Công ty 93"/>
    <x v="1"/>
    <n v="15227273"/>
    <d v="2024-12-01T00:00:00"/>
    <x v="11"/>
    <x v="0"/>
    <s v="ĐB Sông Hồng"/>
    <x v="1"/>
    <x v="2"/>
    <n v="15.227273"/>
  </r>
  <r>
    <x v="29"/>
    <s v="Công ty 98"/>
    <x v="4"/>
    <n v="9818182"/>
    <d v="2024-12-01T00:00:00"/>
    <x v="11"/>
    <x v="0"/>
    <s v="ĐB Sông Cửu Long"/>
    <x v="1"/>
    <x v="3"/>
    <n v="9.8181820000000002"/>
  </r>
  <r>
    <x v="39"/>
    <s v="Công ty 50"/>
    <x v="0"/>
    <n v="820854545"/>
    <d v="2024-12-01T00:00:00"/>
    <x v="11"/>
    <x v="0"/>
    <s v="ĐB Sông Cửu Long"/>
    <x v="1"/>
    <x v="5"/>
    <n v="820.85454500000003"/>
  </r>
  <r>
    <x v="32"/>
    <s v="Công ty 58"/>
    <x v="0"/>
    <n v="398225000"/>
    <d v="2024-12-01T00:00:00"/>
    <x v="11"/>
    <x v="0"/>
    <s v="ĐB Sông Cửu Long"/>
    <x v="1"/>
    <x v="0"/>
    <n v="398.22500000000002"/>
  </r>
  <r>
    <x v="15"/>
    <s v="Công ty 77"/>
    <x v="4"/>
    <n v="932200800"/>
    <d v="2024-12-01T00:00:00"/>
    <x v="11"/>
    <x v="0"/>
    <s v="Duyên hải Nam Trung Bộ"/>
    <x v="1"/>
    <x v="3"/>
    <n v="932.20079999999996"/>
  </r>
  <r>
    <x v="30"/>
    <s v="Công ty 91"/>
    <x v="1"/>
    <n v="184152000"/>
    <d v="2024-12-01T00:00:00"/>
    <x v="11"/>
    <x v="0"/>
    <s v="ĐB Sông Cửu Long"/>
    <x v="1"/>
    <x v="2"/>
    <n v="184.15199999999999"/>
  </r>
  <r>
    <x v="3"/>
    <s v="Công ty 92"/>
    <x v="0"/>
    <n v="12132727"/>
    <d v="2024-12-01T00:00:00"/>
    <x v="11"/>
    <x v="0"/>
    <s v="ĐB Sông Cửu Long"/>
    <x v="1"/>
    <x v="0"/>
    <n v="12.132726999999999"/>
  </r>
  <r>
    <x v="30"/>
    <s v="Công ty 5"/>
    <x v="1"/>
    <n v="193711000"/>
    <d v="2024-12-01T00:00:00"/>
    <x v="11"/>
    <x v="0"/>
    <s v="ĐB Sông Cửu Long"/>
    <x v="1"/>
    <x v="2"/>
    <n v="193.71100000000001"/>
  </r>
  <r>
    <x v="30"/>
    <s v="Công ty 22"/>
    <x v="0"/>
    <n v="22737982"/>
    <d v="2024-12-01T00:00:00"/>
    <x v="11"/>
    <x v="0"/>
    <s v="ĐB Sông Cửu Long"/>
    <x v="1"/>
    <x v="1"/>
    <n v="22.737981999999999"/>
  </r>
  <r>
    <x v="30"/>
    <s v="Công ty 23"/>
    <x v="1"/>
    <n v="192824000"/>
    <d v="2024-12-01T00:00:00"/>
    <x v="11"/>
    <x v="0"/>
    <s v="ĐB Sông Cửu Long"/>
    <x v="1"/>
    <x v="2"/>
    <n v="192.82400000000001"/>
  </r>
  <r>
    <x v="14"/>
    <s v="Công ty 51"/>
    <x v="4"/>
    <n v="229926400"/>
    <d v="2024-12-01T00:00:00"/>
    <x v="11"/>
    <x v="0"/>
    <s v="ĐB Sông Hồng"/>
    <x v="1"/>
    <x v="3"/>
    <n v="229.9264"/>
  </r>
  <r>
    <x v="25"/>
    <s v="Công ty 55"/>
    <x v="0"/>
    <n v="39338843"/>
    <d v="2024-12-01T00:00:00"/>
    <x v="11"/>
    <x v="0"/>
    <s v="Tây Nguyên"/>
    <x v="1"/>
    <x v="1"/>
    <n v="39.338842999999997"/>
  </r>
  <r>
    <x v="1"/>
    <s v="Công ty 93"/>
    <x v="0"/>
    <n v="27567400"/>
    <d v="2024-12-01T00:00:00"/>
    <x v="11"/>
    <x v="0"/>
    <s v="Duyên hải Nam Trung Bộ"/>
    <x v="1"/>
    <x v="0"/>
    <n v="27.567399999999999"/>
  </r>
  <r>
    <x v="46"/>
    <s v="Công ty 16"/>
    <x v="2"/>
    <n v="14727273"/>
    <d v="2024-12-01T00:00:00"/>
    <x v="11"/>
    <x v="0"/>
    <s v="ĐB Sông Cửu Long"/>
    <x v="1"/>
    <x v="3"/>
    <n v="14.727273"/>
  </r>
  <r>
    <x v="0"/>
    <s v="Công ty 21"/>
    <x v="4"/>
    <n v="177783381"/>
    <d v="2024-12-01T00:00:00"/>
    <x v="11"/>
    <x v="0"/>
    <s v="Bắc Trung Bộ"/>
    <x v="1"/>
    <x v="3"/>
    <n v="177.78338099999999"/>
  </r>
  <r>
    <x v="1"/>
    <s v="Công ty 26"/>
    <x v="0"/>
    <n v="191114091"/>
    <d v="2024-12-01T00:00:00"/>
    <x v="11"/>
    <x v="0"/>
    <s v="Duyên hải Nam Trung Bộ"/>
    <x v="1"/>
    <x v="1"/>
    <n v="191.114091"/>
  </r>
  <r>
    <x v="2"/>
    <s v="Công ty 66"/>
    <x v="0"/>
    <n v="184610000"/>
    <d v="2024-12-01T00:00:00"/>
    <x v="11"/>
    <x v="0"/>
    <s v="ĐB Sông Cửu Long"/>
    <x v="1"/>
    <x v="1"/>
    <n v="184.61"/>
  </r>
  <r>
    <x v="38"/>
    <s v="Công ty 9"/>
    <x v="4"/>
    <n v="85054545"/>
    <d v="2024-12-01T00:00:00"/>
    <x v="11"/>
    <x v="0"/>
    <s v="Tây Nguyên"/>
    <x v="1"/>
    <x v="9"/>
    <n v="85.054545000000005"/>
  </r>
  <r>
    <x v="46"/>
    <s v="Công ty 12"/>
    <x v="4"/>
    <n v="63325455"/>
    <d v="2024-12-01T00:00:00"/>
    <x v="11"/>
    <x v="0"/>
    <s v="ĐB Sông Cửu Long"/>
    <x v="1"/>
    <x v="3"/>
    <n v="63.325454999999998"/>
  </r>
  <r>
    <x v="54"/>
    <s v="Công ty 24"/>
    <x v="2"/>
    <n v="102147273"/>
    <d v="2024-12-01T00:00:00"/>
    <x v="11"/>
    <x v="0"/>
    <s v="Tây Bắc Bộ"/>
    <x v="1"/>
    <x v="0"/>
    <n v="102.147273"/>
  </r>
  <r>
    <x v="38"/>
    <s v="Công ty 37"/>
    <x v="0"/>
    <n v="390000000"/>
    <d v="2024-12-01T00:00:00"/>
    <x v="11"/>
    <x v="0"/>
    <s v="Tây Nguyên"/>
    <x v="1"/>
    <x v="0"/>
    <n v="390"/>
  </r>
  <r>
    <x v="18"/>
    <s v="Công ty 40"/>
    <x v="2"/>
    <n v="361818182"/>
    <d v="2024-12-01T00:00:00"/>
    <x v="11"/>
    <x v="0"/>
    <s v="Tây Nguyên"/>
    <x v="1"/>
    <x v="13"/>
    <n v="361.81818199999998"/>
  </r>
  <r>
    <x v="31"/>
    <s v="Công ty 64"/>
    <x v="1"/>
    <n v="38319000"/>
    <d v="2024-12-01T00:00:00"/>
    <x v="11"/>
    <x v="0"/>
    <s v="Tây Nguyên"/>
    <x v="1"/>
    <x v="4"/>
    <n v="38.319000000000003"/>
  </r>
  <r>
    <x v="34"/>
    <s v="Công ty 68"/>
    <x v="4"/>
    <n v="172090909"/>
    <d v="2024-12-01T00:00:00"/>
    <x v="11"/>
    <x v="0"/>
    <s v="Tây Bắc Bộ"/>
    <x v="1"/>
    <x v="9"/>
    <n v="172.09090900000001"/>
  </r>
  <r>
    <x v="51"/>
    <s v="Công ty 45"/>
    <x v="4"/>
    <n v="456489700"/>
    <d v="2024-12-01T00:00:00"/>
    <x v="11"/>
    <x v="0"/>
    <s v="ĐB Sông Hồng"/>
    <x v="1"/>
    <x v="3"/>
    <n v="456.48970000000003"/>
  </r>
  <r>
    <x v="6"/>
    <s v="Công ty 50"/>
    <x v="1"/>
    <n v="2639799309"/>
    <d v="2024-12-01T00:00:00"/>
    <x v="11"/>
    <x v="0"/>
    <s v="Đông Bắc Bộ"/>
    <x v="1"/>
    <x v="2"/>
    <n v="2639.799309"/>
  </r>
  <r>
    <x v="0"/>
    <s v="Công ty 60"/>
    <x v="4"/>
    <n v="165463737"/>
    <d v="2024-12-01T00:00:00"/>
    <x v="11"/>
    <x v="0"/>
    <s v="Bắc Trung Bộ"/>
    <x v="1"/>
    <x v="3"/>
    <n v="165.46373700000001"/>
  </r>
  <r>
    <x v="0"/>
    <s v="Công ty 77"/>
    <x v="4"/>
    <n v="86363636"/>
    <d v="2024-12-01T00:00:00"/>
    <x v="11"/>
    <x v="0"/>
    <s v="Bắc Trung Bộ"/>
    <x v="1"/>
    <x v="3"/>
    <n v="86.363636"/>
  </r>
  <r>
    <x v="6"/>
    <s v="Công ty 85"/>
    <x v="0"/>
    <n v="1045497600"/>
    <d v="2024-12-01T00:00:00"/>
    <x v="11"/>
    <x v="0"/>
    <s v="Đông Bắc Bộ"/>
    <x v="1"/>
    <x v="1"/>
    <n v="1045.4975999999999"/>
  </r>
  <r>
    <x v="6"/>
    <s v="Công ty 86"/>
    <x v="0"/>
    <n v="204784989"/>
    <d v="2024-12-01T00:00:00"/>
    <x v="11"/>
    <x v="0"/>
    <s v="Đông Bắc Bộ"/>
    <x v="1"/>
    <x v="0"/>
    <n v="204.784989"/>
  </r>
  <r>
    <x v="39"/>
    <s v="Công ty 88"/>
    <x v="0"/>
    <n v="16409091"/>
    <d v="2024-12-01T00:00:00"/>
    <x v="11"/>
    <x v="0"/>
    <s v="ĐB Sông Cửu Long"/>
    <x v="1"/>
    <x v="1"/>
    <n v="16.409091"/>
  </r>
  <r>
    <x v="46"/>
    <s v="Công ty 97"/>
    <x v="1"/>
    <n v="881400000"/>
    <d v="2024-12-01T00:00:00"/>
    <x v="11"/>
    <x v="0"/>
    <s v="ĐB Sông Cửu Long"/>
    <x v="1"/>
    <x v="2"/>
    <n v="881.4"/>
  </r>
  <r>
    <x v="15"/>
    <s v="Công ty 5"/>
    <x v="2"/>
    <n v="88191545"/>
    <d v="2024-12-01T00:00:00"/>
    <x v="11"/>
    <x v="0"/>
    <s v="Duyên hải Nam Trung Bộ"/>
    <x v="1"/>
    <x v="4"/>
    <n v="88.191545000000005"/>
  </r>
  <r>
    <x v="29"/>
    <s v="Công ty 14"/>
    <x v="0"/>
    <n v="40561252"/>
    <d v="2024-12-01T00:00:00"/>
    <x v="11"/>
    <x v="0"/>
    <s v="ĐB Sông Cửu Long"/>
    <x v="1"/>
    <x v="1"/>
    <n v="40.561252000000003"/>
  </r>
  <r>
    <x v="37"/>
    <s v="Công ty 20"/>
    <x v="4"/>
    <n v="226997500"/>
    <d v="2024-12-01T00:00:00"/>
    <x v="11"/>
    <x v="0"/>
    <s v="ĐB Sông Cửu Long"/>
    <x v="1"/>
    <x v="9"/>
    <n v="226.9975"/>
  </r>
  <r>
    <x v="15"/>
    <s v="Công ty 33"/>
    <x v="4"/>
    <n v="103132727"/>
    <d v="2024-12-01T00:00:00"/>
    <x v="11"/>
    <x v="0"/>
    <s v="Duyên hải Nam Trung Bộ"/>
    <x v="1"/>
    <x v="3"/>
    <n v="103.132727"/>
  </r>
  <r>
    <x v="38"/>
    <s v="Công ty 50"/>
    <x v="0"/>
    <n v="468325318"/>
    <d v="2024-12-01T00:00:00"/>
    <x v="11"/>
    <x v="0"/>
    <s v="Tây Nguyên"/>
    <x v="1"/>
    <x v="1"/>
    <n v="468.32531799999998"/>
  </r>
  <r>
    <x v="38"/>
    <s v="Công ty 51"/>
    <x v="0"/>
    <n v="260996091"/>
    <d v="2024-12-01T00:00:00"/>
    <x v="11"/>
    <x v="0"/>
    <s v="Tây Nguyên"/>
    <x v="1"/>
    <x v="1"/>
    <n v="260.99609099999998"/>
  </r>
  <r>
    <x v="38"/>
    <s v="Công ty 52"/>
    <x v="0"/>
    <n v="240365409"/>
    <d v="2024-12-01T00:00:00"/>
    <x v="11"/>
    <x v="0"/>
    <s v="Tây Nguyên"/>
    <x v="1"/>
    <x v="1"/>
    <n v="240.365409"/>
  </r>
  <r>
    <x v="14"/>
    <s v="Công ty 58"/>
    <x v="1"/>
    <n v="270273400"/>
    <d v="2024-12-01T00:00:00"/>
    <x v="11"/>
    <x v="0"/>
    <s v="ĐB Sông Hồng"/>
    <x v="1"/>
    <x v="4"/>
    <n v="270.27339999999998"/>
  </r>
  <r>
    <x v="1"/>
    <s v="Công ty 63"/>
    <x v="0"/>
    <n v="73050000"/>
    <d v="2024-12-01T00:00:00"/>
    <x v="11"/>
    <x v="0"/>
    <s v="Duyên hải Nam Trung Bộ"/>
    <x v="1"/>
    <x v="0"/>
    <n v="73.05"/>
  </r>
  <r>
    <x v="29"/>
    <s v="Công ty 64"/>
    <x v="0"/>
    <n v="38761391"/>
    <d v="2024-12-01T00:00:00"/>
    <x v="11"/>
    <x v="0"/>
    <s v="ĐB Sông Cửu Long"/>
    <x v="1"/>
    <x v="1"/>
    <n v="38.761391000000003"/>
  </r>
  <r>
    <x v="23"/>
    <s v="Công ty 72"/>
    <x v="0"/>
    <n v="33632727"/>
    <d v="2024-12-01T00:00:00"/>
    <x v="11"/>
    <x v="0"/>
    <s v="Duyên hải Nam Trung Bộ"/>
    <x v="1"/>
    <x v="1"/>
    <n v="33.632727000000003"/>
  </r>
  <r>
    <x v="0"/>
    <s v="Công ty 77"/>
    <x v="1"/>
    <n v="31970000"/>
    <d v="2024-12-01T00:00:00"/>
    <x v="11"/>
    <x v="0"/>
    <s v="Bắc Trung Bộ"/>
    <x v="1"/>
    <x v="13"/>
    <n v="31.97"/>
  </r>
  <r>
    <x v="46"/>
    <s v="Công ty 81"/>
    <x v="4"/>
    <n v="238680000"/>
    <d v="2024-12-01T00:00:00"/>
    <x v="11"/>
    <x v="0"/>
    <s v="ĐB Sông Cửu Long"/>
    <x v="1"/>
    <x v="3"/>
    <n v="238.68"/>
  </r>
  <r>
    <x v="59"/>
    <s v="Công ty 5"/>
    <x v="0"/>
    <n v="223634618"/>
    <d v="2024-12-01T00:00:00"/>
    <x v="11"/>
    <x v="0"/>
    <s v="ĐB Sông Hồng"/>
    <x v="1"/>
    <x v="1"/>
    <n v="223.63461799999999"/>
  </r>
  <r>
    <x v="14"/>
    <s v="Công ty 33"/>
    <x v="2"/>
    <n v="207949091"/>
    <d v="2024-12-01T00:00:00"/>
    <x v="11"/>
    <x v="0"/>
    <s v="ĐB Sông Hồng"/>
    <x v="1"/>
    <x v="2"/>
    <n v="207.94909100000001"/>
  </r>
  <r>
    <x v="45"/>
    <s v="Công ty 46"/>
    <x v="0"/>
    <n v="15930000"/>
    <d v="2024-12-01T00:00:00"/>
    <x v="11"/>
    <x v="0"/>
    <s v="ĐB Sông Cửu Long"/>
    <x v="1"/>
    <x v="1"/>
    <n v="15.93"/>
  </r>
  <r>
    <x v="0"/>
    <s v="Công ty 48"/>
    <x v="4"/>
    <n v="95101278"/>
    <d v="2024-12-01T00:00:00"/>
    <x v="11"/>
    <x v="0"/>
    <s v="Bắc Trung Bộ"/>
    <x v="1"/>
    <x v="3"/>
    <n v="95.101277999999994"/>
  </r>
  <r>
    <x v="29"/>
    <s v="Công ty 59"/>
    <x v="0"/>
    <n v="20972727"/>
    <d v="2024-12-01T00:00:00"/>
    <x v="11"/>
    <x v="0"/>
    <s v="ĐB Sông Cửu Long"/>
    <x v="1"/>
    <x v="1"/>
    <n v="20.972726999999999"/>
  </r>
  <r>
    <x v="34"/>
    <s v="Công ty 69"/>
    <x v="4"/>
    <n v="236363636"/>
    <d v="2024-12-01T00:00:00"/>
    <x v="11"/>
    <x v="0"/>
    <s v="Tây Bắc Bộ"/>
    <x v="1"/>
    <x v="9"/>
    <n v="236.36363600000001"/>
  </r>
  <r>
    <x v="59"/>
    <s v="Công ty 87"/>
    <x v="4"/>
    <n v="3494664000"/>
    <d v="2024-12-01T00:00:00"/>
    <x v="11"/>
    <x v="0"/>
    <s v="ĐB Sông Hồng"/>
    <x v="1"/>
    <x v="3"/>
    <n v="3494.6640000000002"/>
  </r>
  <r>
    <x v="44"/>
    <s v="Công ty 96"/>
    <x v="4"/>
    <n v="450000000"/>
    <d v="2024-12-01T00:00:00"/>
    <x v="11"/>
    <x v="0"/>
    <s v="Bắc Trung Bộ"/>
    <x v="1"/>
    <x v="3"/>
    <n v="450"/>
  </r>
  <r>
    <x v="48"/>
    <s v="Công ty 84"/>
    <x v="1"/>
    <n v="7480000"/>
    <d v="2024-12-01T00:00:00"/>
    <x v="11"/>
    <x v="0"/>
    <s v="Đông Bắc Bộ"/>
    <x v="1"/>
    <x v="10"/>
    <n v="7.48"/>
  </r>
  <r>
    <x v="38"/>
    <s v="Công ty 98"/>
    <x v="3"/>
    <n v="89492727"/>
    <d v="2024-12-01T00:00:00"/>
    <x v="11"/>
    <x v="0"/>
    <s v="Tây Nguyên"/>
    <x v="1"/>
    <x v="7"/>
    <n v="89.492727000000002"/>
  </r>
  <r>
    <x v="30"/>
    <s v="Công ty 90"/>
    <x v="3"/>
    <n v="192531000"/>
    <d v="2024-12-01T00:00:00"/>
    <x v="11"/>
    <x v="0"/>
    <s v="ĐB Sông Cửu Long"/>
    <x v="1"/>
    <x v="7"/>
    <n v="192.53100000000001"/>
  </r>
  <r>
    <x v="19"/>
    <s v="Công ty 93"/>
    <x v="4"/>
    <n v="308439091"/>
    <d v="2024-12-01T00:00:00"/>
    <x v="11"/>
    <x v="0"/>
    <s v="Duyên hải Nam Trung Bộ"/>
    <x v="1"/>
    <x v="9"/>
    <n v="308.43909100000002"/>
  </r>
  <r>
    <x v="47"/>
    <s v="Công ty 99"/>
    <x v="0"/>
    <n v="208621587"/>
    <d v="2024-12-01T00:00:00"/>
    <x v="11"/>
    <x v="0"/>
    <s v="Đông Bắc Bộ"/>
    <x v="1"/>
    <x v="1"/>
    <n v="208.62158700000001"/>
  </r>
  <r>
    <x v="14"/>
    <s v="Công ty 95"/>
    <x v="0"/>
    <n v="270981818"/>
    <d v="2024-12-01T00:00:00"/>
    <x v="11"/>
    <x v="0"/>
    <s v="ĐB Sông Hồng"/>
    <x v="1"/>
    <x v="14"/>
    <n v="270.98181799999998"/>
  </r>
  <r>
    <x v="14"/>
    <s v="Công ty 96"/>
    <x v="0"/>
    <n v="204600000"/>
    <d v="2024-12-01T00:00:00"/>
    <x v="11"/>
    <x v="0"/>
    <s v="ĐB Sông Hồng"/>
    <x v="1"/>
    <x v="14"/>
    <n v="204.6"/>
  </r>
  <r>
    <x v="14"/>
    <s v="Công ty 97"/>
    <x v="0"/>
    <n v="320063636"/>
    <d v="2024-12-01T00:00:00"/>
    <x v="11"/>
    <x v="0"/>
    <s v="ĐB Sông Hồng"/>
    <x v="1"/>
    <x v="5"/>
    <n v="320.06363599999997"/>
  </r>
  <r>
    <x v="19"/>
    <s v="Doanh nghiệp 17"/>
    <x v="0"/>
    <n v="357272727"/>
    <d v="2024-12-01T00:00:00"/>
    <x v="11"/>
    <x v="0"/>
    <s v="Duyên hải Nam Trung Bộ"/>
    <x v="1"/>
    <x v="14"/>
    <n v="357.27272699999997"/>
  </r>
  <r>
    <x v="48"/>
    <s v="Doanh nghiệp 30"/>
    <x v="4"/>
    <n v="160909091"/>
    <d v="2024-12-01T00:00:00"/>
    <x v="11"/>
    <x v="0"/>
    <s v="Đông Bắc Bộ"/>
    <x v="1"/>
    <x v="3"/>
    <n v="160.90909099999999"/>
  </r>
  <r>
    <x v="48"/>
    <s v="Doanh nghiệp 27"/>
    <x v="2"/>
    <n v="106363636"/>
    <d v="2024-12-01T00:00:00"/>
    <x v="11"/>
    <x v="0"/>
    <s v="Đông Bắc Bộ"/>
    <x v="1"/>
    <x v="3"/>
    <n v="106.363636"/>
  </r>
  <r>
    <x v="12"/>
    <s v="Doanh nghiệp 8"/>
    <x v="4"/>
    <n v="228327273"/>
    <d v="2024-12-01T00:00:00"/>
    <x v="11"/>
    <x v="0"/>
    <s v="Tây Bắc Bộ"/>
    <x v="1"/>
    <x v="9"/>
    <n v="228.32727299999999"/>
  </r>
  <r>
    <x v="14"/>
    <s v="Doanh nghiệp 11"/>
    <x v="0"/>
    <n v="31473000"/>
    <d v="2024-12-01T00:00:00"/>
    <x v="11"/>
    <x v="0"/>
    <s v="ĐB Sông Hồng"/>
    <x v="1"/>
    <x v="1"/>
    <n v="31.472999999999999"/>
  </r>
  <r>
    <x v="19"/>
    <s v="Doanh nghiệp 18"/>
    <x v="4"/>
    <n v="96363636"/>
    <d v="2024-12-01T00:00:00"/>
    <x v="11"/>
    <x v="0"/>
    <s v="Duyên hải Nam Trung Bộ"/>
    <x v="1"/>
    <x v="3"/>
    <n v="96.363636"/>
  </r>
  <r>
    <x v="27"/>
    <s v="Doanh nghiệp 22"/>
    <x v="4"/>
    <n v="54443200"/>
    <d v="2024-12-01T00:00:00"/>
    <x v="11"/>
    <x v="0"/>
    <s v="Bắc Trung Bộ"/>
    <x v="1"/>
    <x v="3"/>
    <n v="54.443199999999997"/>
  </r>
  <r>
    <x v="45"/>
    <s v="Doanh nghiệp 31"/>
    <x v="0"/>
    <n v="2527333000"/>
    <d v="2024-12-01T00:00:00"/>
    <x v="11"/>
    <x v="0"/>
    <s v="ĐB Sông Cửu Long"/>
    <x v="1"/>
    <x v="1"/>
    <n v="2527.3330000000001"/>
  </r>
  <r>
    <x v="1"/>
    <s v="Doanh nghiệp 1"/>
    <x v="0"/>
    <n v="771049127"/>
    <d v="2024-12-01T00:00:00"/>
    <x v="11"/>
    <x v="0"/>
    <s v="Duyên hải Nam Trung Bộ"/>
    <x v="1"/>
    <x v="1"/>
    <n v="771.049127"/>
  </r>
  <r>
    <x v="49"/>
    <s v="Doanh nghiệp 2"/>
    <x v="3"/>
    <n v="79272727"/>
    <d v="2024-12-01T00:00:00"/>
    <x v="11"/>
    <x v="0"/>
    <s v="ĐB Sông Cửu Long"/>
    <x v="1"/>
    <x v="18"/>
    <n v="79.272727000000003"/>
  </r>
  <r>
    <x v="51"/>
    <s v="Doanh nghiệp 3"/>
    <x v="0"/>
    <n v="332865455"/>
    <d v="2024-12-01T00:00:00"/>
    <x v="11"/>
    <x v="0"/>
    <s v="ĐB Sông Hồng"/>
    <x v="1"/>
    <x v="5"/>
    <n v="332.865455"/>
  </r>
  <r>
    <x v="40"/>
    <s v="Doanh nghiệp 4"/>
    <x v="2"/>
    <n v="318636364"/>
    <d v="2024-12-01T00:00:00"/>
    <x v="11"/>
    <x v="0"/>
    <s v="ĐB Sông Cửu Long"/>
    <x v="1"/>
    <x v="6"/>
    <n v="318.63636400000001"/>
  </r>
  <r>
    <x v="2"/>
    <s v="Doanh nghiệp 15"/>
    <x v="3"/>
    <n v="244354545"/>
    <d v="2024-12-01T00:00:00"/>
    <x v="11"/>
    <x v="0"/>
    <s v="ĐB Sông Cửu Long"/>
    <x v="1"/>
    <x v="7"/>
    <n v="244.354545"/>
  </r>
  <r>
    <x v="13"/>
    <s v="Doanh nghiệp 17"/>
    <x v="4"/>
    <n v="62727273"/>
    <d v="2024-12-01T00:00:00"/>
    <x v="11"/>
    <x v="0"/>
    <s v="Tây Bắc Bộ"/>
    <x v="1"/>
    <x v="9"/>
    <n v="62.727272999999997"/>
  </r>
  <r>
    <x v="40"/>
    <s v="Doanh nghiệp 19"/>
    <x v="1"/>
    <n v="8088182"/>
    <d v="2024-12-01T00:00:00"/>
    <x v="11"/>
    <x v="0"/>
    <s v="ĐB Sông Cửu Long"/>
    <x v="1"/>
    <x v="2"/>
    <n v="8.0881819999999998"/>
  </r>
  <r>
    <x v="15"/>
    <s v="Doanh nghiệp 20"/>
    <x v="1"/>
    <n v="53365455"/>
    <d v="2024-12-01T00:00:00"/>
    <x v="11"/>
    <x v="0"/>
    <s v="Duyên hải Nam Trung Bộ"/>
    <x v="1"/>
    <x v="2"/>
    <n v="53.365454999999997"/>
  </r>
  <r>
    <x v="40"/>
    <s v="Doanh nghiệp 21"/>
    <x v="1"/>
    <n v="40628099"/>
    <d v="2024-12-01T00:00:00"/>
    <x v="11"/>
    <x v="0"/>
    <s v="ĐB Sông Cửu Long"/>
    <x v="1"/>
    <x v="2"/>
    <n v="40.628098999999999"/>
  </r>
  <r>
    <x v="6"/>
    <s v="Doanh nghiệp 22"/>
    <x v="1"/>
    <n v="119430000"/>
    <d v="2024-12-01T00:00:00"/>
    <x v="11"/>
    <x v="0"/>
    <s v="Đông Bắc Bộ"/>
    <x v="1"/>
    <x v="2"/>
    <n v="119.43"/>
  </r>
  <r>
    <x v="41"/>
    <s v="Doanh nghiệp 23"/>
    <x v="1"/>
    <n v="15124909"/>
    <d v="2024-12-01T00:00:00"/>
    <x v="11"/>
    <x v="0"/>
    <s v="Đông Bắc Bộ"/>
    <x v="1"/>
    <x v="13"/>
    <n v="15.124909000000001"/>
  </r>
  <r>
    <x v="6"/>
    <s v="Doanh nghiệp 24"/>
    <x v="1"/>
    <n v="55363636"/>
    <d v="2024-12-01T00:00:00"/>
    <x v="11"/>
    <x v="0"/>
    <s v="Đông Bắc Bộ"/>
    <x v="1"/>
    <x v="13"/>
    <n v="55.363636"/>
  </r>
  <r>
    <x v="44"/>
    <s v="Doanh nghiệp 25"/>
    <x v="1"/>
    <n v="45346000"/>
    <d v="2024-12-01T00:00:00"/>
    <x v="11"/>
    <x v="0"/>
    <s v="Bắc Trung Bộ"/>
    <x v="1"/>
    <x v="13"/>
    <n v="45.345999999999997"/>
  </r>
  <r>
    <x v="48"/>
    <s v="Doanh nghiệp 4"/>
    <x v="2"/>
    <n v="179280000"/>
    <d v="2024-12-01T00:00:00"/>
    <x v="11"/>
    <x v="0"/>
    <s v="Đông Bắc Bộ"/>
    <x v="1"/>
    <x v="0"/>
    <n v="179.28"/>
  </r>
  <r>
    <x v="29"/>
    <s v="Doanh nghiệp 19"/>
    <x v="1"/>
    <n v="1812427273"/>
    <d v="2024-12-01T00:00:00"/>
    <x v="11"/>
    <x v="0"/>
    <s v="ĐB Sông Cửu Long"/>
    <x v="1"/>
    <x v="2"/>
    <n v="1812.427273"/>
  </r>
  <r>
    <x v="48"/>
    <s v="Doanh nghiệp 23"/>
    <x v="4"/>
    <n v="2182400000"/>
    <d v="2024-12-01T00:00:00"/>
    <x v="11"/>
    <x v="0"/>
    <s v="Đông Bắc Bộ"/>
    <x v="1"/>
    <x v="5"/>
    <n v="2182.4"/>
  </r>
  <r>
    <x v="30"/>
    <s v="Doanh nghiệp 2"/>
    <x v="2"/>
    <n v="9610377"/>
    <d v="2024-12-01T00:00:00"/>
    <x v="11"/>
    <x v="0"/>
    <s v="ĐB Sông Cửu Long"/>
    <x v="1"/>
    <x v="0"/>
    <n v="9.6103769999999997"/>
  </r>
  <r>
    <x v="30"/>
    <s v="Doanh nghiệp 3"/>
    <x v="2"/>
    <n v="694038981"/>
    <d v="2024-12-01T00:00:00"/>
    <x v="11"/>
    <x v="0"/>
    <s v="ĐB Sông Cửu Long"/>
    <x v="1"/>
    <x v="0"/>
    <n v="694.03898100000004"/>
  </r>
  <r>
    <x v="49"/>
    <s v="Doanh nghiệp 13"/>
    <x v="0"/>
    <n v="109448000"/>
    <d v="2024-12-01T00:00:00"/>
    <x v="11"/>
    <x v="0"/>
    <s v="ĐB Sông Cửu Long"/>
    <x v="1"/>
    <x v="1"/>
    <n v="109.44799999999999"/>
  </r>
  <r>
    <x v="41"/>
    <s v="Doanh nghiệp 30"/>
    <x v="1"/>
    <n v="51481273"/>
    <d v="2024-12-01T00:00:00"/>
    <x v="11"/>
    <x v="0"/>
    <s v="Đông Bắc Bộ"/>
    <x v="1"/>
    <x v="13"/>
    <n v="51.481273000000002"/>
  </r>
  <r>
    <x v="51"/>
    <s v="Tập đoàn 56"/>
    <x v="3"/>
    <n v="78325455"/>
    <d v="2024-12-01T00:00:00"/>
    <x v="11"/>
    <x v="0"/>
    <s v="ĐB Sông Hồng"/>
    <x v="1"/>
    <x v="18"/>
    <n v="78.325455000000005"/>
  </r>
  <r>
    <x v="51"/>
    <s v="Tập đoàn 57"/>
    <x v="3"/>
    <n v="81324900"/>
    <d v="2024-12-01T00:00:00"/>
    <x v="11"/>
    <x v="0"/>
    <s v="ĐB Sông Hồng"/>
    <x v="1"/>
    <x v="7"/>
    <n v="81.3249"/>
  </r>
  <r>
    <x v="51"/>
    <s v="Tập đoàn 58"/>
    <x v="0"/>
    <n v="27862545"/>
    <d v="2024-12-01T00:00:00"/>
    <x v="11"/>
    <x v="0"/>
    <s v="ĐB Sông Hồng"/>
    <x v="1"/>
    <x v="1"/>
    <n v="27.862545000000001"/>
  </r>
  <r>
    <x v="0"/>
    <s v="Tập đoàn 73"/>
    <x v="2"/>
    <n v="20500364"/>
    <d v="2024-12-01T00:00:00"/>
    <x v="11"/>
    <x v="0"/>
    <s v="Bắc Trung Bộ"/>
    <x v="1"/>
    <x v="2"/>
    <n v="20.500364000000001"/>
  </r>
  <r>
    <x v="0"/>
    <s v="Tập đoàn 74"/>
    <x v="0"/>
    <n v="72958409"/>
    <d v="2024-12-01T00:00:00"/>
    <x v="11"/>
    <x v="0"/>
    <s v="Bắc Trung Bộ"/>
    <x v="1"/>
    <x v="0"/>
    <n v="72.958409000000003"/>
  </r>
  <r>
    <x v="10"/>
    <s v="Tập đoàn 87"/>
    <x v="2"/>
    <n v="62100888"/>
    <d v="2024-12-01T00:00:00"/>
    <x v="11"/>
    <x v="0"/>
    <s v="Duyên hải Nam Trung Bộ"/>
    <x v="1"/>
    <x v="0"/>
    <n v="62.100887999999998"/>
  </r>
  <r>
    <x v="23"/>
    <s v="Tập đoàn 89"/>
    <x v="2"/>
    <n v="17202436"/>
    <d v="2024-12-01T00:00:00"/>
    <x v="11"/>
    <x v="0"/>
    <s v="Duyên hải Nam Trung Bộ"/>
    <x v="1"/>
    <x v="4"/>
    <n v="17.202435999999999"/>
  </r>
  <r>
    <x v="22"/>
    <s v="Tập đoàn 86"/>
    <x v="2"/>
    <n v="43407036"/>
    <d v="2024-12-01T00:00:00"/>
    <x v="11"/>
    <x v="0"/>
    <s v="Bắc Trung Bộ"/>
    <x v="1"/>
    <x v="0"/>
    <n v="43.407035999999998"/>
  </r>
  <r>
    <x v="13"/>
    <s v="Tập đoàn 90"/>
    <x v="1"/>
    <n v="70010000"/>
    <d v="2024-12-01T00:00:00"/>
    <x v="11"/>
    <x v="0"/>
    <s v="Tây Bắc Bộ"/>
    <x v="1"/>
    <x v="4"/>
    <n v="70.010000000000005"/>
  </r>
  <r>
    <x v="45"/>
    <s v="Tập đoàn 93"/>
    <x v="4"/>
    <n v="154567091"/>
    <d v="2024-12-01T00:00:00"/>
    <x v="11"/>
    <x v="0"/>
    <s v="ĐB Sông Cửu Long"/>
    <x v="1"/>
    <x v="9"/>
    <n v="154.567091"/>
  </r>
  <r>
    <x v="32"/>
    <s v="Tập đoàn 93"/>
    <x v="0"/>
    <n v="89325455"/>
    <d v="2024-12-01T00:00:00"/>
    <x v="11"/>
    <x v="0"/>
    <s v="ĐB Sông Cửu Long"/>
    <x v="1"/>
    <x v="0"/>
    <n v="89.325455000000005"/>
  </r>
  <r>
    <x v="42"/>
    <s v="Tập đoàn 91"/>
    <x v="0"/>
    <n v="74545455"/>
    <d v="2024-12-01T00:00:00"/>
    <x v="11"/>
    <x v="0"/>
    <s v="Tây Bắc Bộ"/>
    <x v="1"/>
    <x v="1"/>
    <n v="74.545455000000004"/>
  </r>
  <r>
    <x v="60"/>
    <s v="Tập đoàn 92"/>
    <x v="0"/>
    <n v="1157724409"/>
    <d v="2024-12-01T00:00:00"/>
    <x v="11"/>
    <x v="0"/>
    <s v="Đông Bắc Bộ"/>
    <x v="1"/>
    <x v="5"/>
    <n v="1157.7244089999999"/>
  </r>
  <r>
    <x v="40"/>
    <s v="Tập đoàn 91"/>
    <x v="4"/>
    <n v="78181818"/>
    <d v="2024-12-01T00:00:00"/>
    <x v="11"/>
    <x v="0"/>
    <s v="ĐB Sông Cửu Long"/>
    <x v="1"/>
    <x v="9"/>
    <n v="78.181818000000007"/>
  </r>
  <r>
    <x v="49"/>
    <s v="Tập đoàn 94"/>
    <x v="0"/>
    <n v="180000000"/>
    <d v="2024-12-01T00:00:00"/>
    <x v="11"/>
    <x v="0"/>
    <s v="ĐB Sông Cửu Long"/>
    <x v="1"/>
    <x v="0"/>
    <n v="180"/>
  </r>
  <r>
    <x v="49"/>
    <s v="Tập đoàn 91"/>
    <x v="0"/>
    <n v="385000000"/>
    <d v="2024-12-01T00:00:00"/>
    <x v="11"/>
    <x v="0"/>
    <s v="ĐB Sông Cửu Long"/>
    <x v="1"/>
    <x v="0"/>
    <n v="385"/>
  </r>
  <r>
    <x v="53"/>
    <s v="Tập đoàn 94"/>
    <x v="0"/>
    <n v="142727273"/>
    <d v="2024-12-01T00:00:00"/>
    <x v="11"/>
    <x v="0"/>
    <s v="Đông Bắc Bộ"/>
    <x v="1"/>
    <x v="5"/>
    <n v="142.727273"/>
  </r>
  <r>
    <x v="41"/>
    <s v="Tập đoàn 91"/>
    <x v="4"/>
    <n v="36363000"/>
    <d v="2024-12-01T00:00:00"/>
    <x v="11"/>
    <x v="0"/>
    <s v="Đông Bắc Bộ"/>
    <x v="1"/>
    <x v="9"/>
    <n v="36.363"/>
  </r>
  <r>
    <x v="41"/>
    <s v="Tập đoàn 92"/>
    <x v="4"/>
    <n v="36363000"/>
    <d v="2024-12-01T00:00:00"/>
    <x v="11"/>
    <x v="0"/>
    <s v="Đông Bắc Bộ"/>
    <x v="1"/>
    <x v="9"/>
    <n v="36.363"/>
  </r>
  <r>
    <x v="41"/>
    <s v="Tập đoàn 93"/>
    <x v="4"/>
    <n v="36363000"/>
    <d v="2024-12-01T00:00:00"/>
    <x v="11"/>
    <x v="0"/>
    <s v="Đông Bắc Bộ"/>
    <x v="1"/>
    <x v="9"/>
    <n v="36.363"/>
  </r>
  <r>
    <x v="27"/>
    <s v="Tập đoàn 91"/>
    <x v="0"/>
    <n v="165386364"/>
    <d v="2024-12-01T00:00:00"/>
    <x v="11"/>
    <x v="0"/>
    <s v="Bắc Trung Bộ"/>
    <x v="1"/>
    <x v="14"/>
    <n v="165.38636399999999"/>
  </r>
  <r>
    <x v="52"/>
    <s v="BỘ CHỈ HUY QUÂN SỰ TỈNH BẮC NINH"/>
    <x v="0"/>
    <n v="172233862"/>
    <d v="2024-12-01T00:00:00"/>
    <x v="11"/>
    <x v="0"/>
    <s v="ĐB Sông Hồng"/>
    <x v="2"/>
    <x v="1"/>
    <n v="172.23386199999999"/>
  </r>
  <r>
    <x v="56"/>
    <s v="BỘ CHỈ HUY QUÂN SỰ TỈNH CÀ MAU"/>
    <x v="0"/>
    <n v="20484773"/>
    <d v="2024-12-01T00:00:00"/>
    <x v="11"/>
    <x v="0"/>
    <s v="ĐB Sông Cửu Long"/>
    <x v="2"/>
    <x v="1"/>
    <n v="20.484773000000001"/>
  </r>
  <r>
    <x v="18"/>
    <s v="Bộ Chỉ Huy Quân Sự Tỉnh Đăk Nông"/>
    <x v="3"/>
    <n v="201436364"/>
    <d v="2024-12-01T00:00:00"/>
    <x v="11"/>
    <x v="0"/>
    <s v="Tây Nguyên"/>
    <x v="2"/>
    <x v="7"/>
    <n v="201.436364"/>
  </r>
  <r>
    <x v="32"/>
    <s v="Bộ Chỉ Huy Quân Sự Tỉnh Đồng Tháp"/>
    <x v="2"/>
    <n v="44000000"/>
    <d v="2024-12-01T00:00:00"/>
    <x v="11"/>
    <x v="0"/>
    <s v="ĐB Sông Cửu Long"/>
    <x v="2"/>
    <x v="6"/>
    <n v="44"/>
  </r>
  <r>
    <x v="46"/>
    <s v="Công ty 36"/>
    <x v="1"/>
    <n v="82290909"/>
    <d v="2024-12-01T00:00:00"/>
    <x v="11"/>
    <x v="0"/>
    <s v="ĐB Sông Cửu Long"/>
    <x v="1"/>
    <x v="11"/>
    <n v="82.290908999999999"/>
  </r>
  <r>
    <x v="18"/>
    <s v="Công ty 38"/>
    <x v="1"/>
    <n v="239800000"/>
    <d v="2024-12-01T00:00:00"/>
    <x v="11"/>
    <x v="0"/>
    <s v="Tây Nguyên"/>
    <x v="1"/>
    <x v="2"/>
    <n v="239.8"/>
  </r>
  <r>
    <x v="58"/>
    <s v="Công ty 41"/>
    <x v="0"/>
    <n v="12727273"/>
    <d v="2024-12-01T00:00:00"/>
    <x v="11"/>
    <x v="0"/>
    <s v="Tây Nguyên"/>
    <x v="1"/>
    <x v="0"/>
    <n v="12.727273"/>
  </r>
  <r>
    <x v="42"/>
    <s v="Công ty 87"/>
    <x v="4"/>
    <n v="43756364"/>
    <d v="2024-12-01T00:00:00"/>
    <x v="11"/>
    <x v="0"/>
    <s v="Tây Bắc Bộ"/>
    <x v="1"/>
    <x v="9"/>
    <n v="43.756363999999998"/>
  </r>
  <r>
    <x v="42"/>
    <s v="Công ty 88"/>
    <x v="4"/>
    <n v="43756364"/>
    <d v="2024-12-01T00:00:00"/>
    <x v="11"/>
    <x v="0"/>
    <s v="Tây Bắc Bộ"/>
    <x v="1"/>
    <x v="9"/>
    <n v="43.756363999999998"/>
  </r>
  <r>
    <x v="42"/>
    <s v="Công ty 89"/>
    <x v="4"/>
    <n v="87098182"/>
    <d v="2024-12-01T00:00:00"/>
    <x v="11"/>
    <x v="0"/>
    <s v="Tây Bắc Bộ"/>
    <x v="1"/>
    <x v="9"/>
    <n v="87.098181999999994"/>
  </r>
  <r>
    <x v="42"/>
    <s v="Công ty 90"/>
    <x v="4"/>
    <n v="27087273"/>
    <d v="2024-12-01T00:00:00"/>
    <x v="11"/>
    <x v="0"/>
    <s v="Tây Bắc Bộ"/>
    <x v="1"/>
    <x v="9"/>
    <n v="27.087273"/>
  </r>
  <r>
    <x v="29"/>
    <s v="CÔNG AN HUYỆN GÒ CÔNG ĐÔNG"/>
    <x v="0"/>
    <n v="44480000"/>
    <d v="2024-12-01T00:00:00"/>
    <x v="11"/>
    <x v="0"/>
    <s v="ĐB Sông Cửu Long"/>
    <x v="2"/>
    <x v="1"/>
    <n v="44.48"/>
  </r>
  <r>
    <x v="33"/>
    <s v="Công An Huyện Hiệp Hòa"/>
    <x v="1"/>
    <n v="152727273"/>
    <d v="2024-12-01T00:00:00"/>
    <x v="11"/>
    <x v="0"/>
    <s v="Đông Bắc Bộ"/>
    <x v="2"/>
    <x v="11"/>
    <n v="152.727273"/>
  </r>
  <r>
    <x v="33"/>
    <s v="Công an huyện Lục Ngạn tỉnh Bắc Giang"/>
    <x v="0"/>
    <n v="293156411"/>
    <d v="2024-12-01T00:00:00"/>
    <x v="11"/>
    <x v="0"/>
    <s v="Đông Bắc Bộ"/>
    <x v="2"/>
    <x v="5"/>
    <n v="293.15641099999999"/>
  </r>
  <r>
    <x v="48"/>
    <s v="Công An Huyện Phú Bình"/>
    <x v="2"/>
    <n v="287289091"/>
    <d v="2024-12-01T00:00:00"/>
    <x v="11"/>
    <x v="0"/>
    <s v="Đông Bắc Bộ"/>
    <x v="2"/>
    <x v="1"/>
    <n v="287.28909099999998"/>
  </r>
  <r>
    <x v="28"/>
    <s v="Công An Huyện Thanh Hà"/>
    <x v="0"/>
    <n v="567727273"/>
    <d v="2024-12-01T00:00:00"/>
    <x v="11"/>
    <x v="0"/>
    <s v="ĐB Sông Hồng"/>
    <x v="2"/>
    <x v="5"/>
    <n v="567.72727299999997"/>
  </r>
  <r>
    <x v="60"/>
    <s v="CÔNG AN HUYỆN YÊN MINH"/>
    <x v="0"/>
    <n v="146242224"/>
    <d v="2024-12-01T00:00:00"/>
    <x v="11"/>
    <x v="0"/>
    <s v="Đông Bắc Bộ"/>
    <x v="2"/>
    <x v="1"/>
    <n v="146.24222399999999"/>
  </r>
  <r>
    <x v="56"/>
    <s v="CÔNG AN THÀNH PHỐ CÀ MAU"/>
    <x v="0"/>
    <n v="40919182"/>
    <d v="2024-12-01T00:00:00"/>
    <x v="11"/>
    <x v="0"/>
    <s v="ĐB Sông Cửu Long"/>
    <x v="2"/>
    <x v="1"/>
    <n v="40.919181999999999"/>
  </r>
  <r>
    <x v="14"/>
    <s v="CÔNG AN THÀNH PHỐ HÀ NỘI"/>
    <x v="0"/>
    <n v="536400000"/>
    <d v="2024-12-01T00:00:00"/>
    <x v="11"/>
    <x v="0"/>
    <s v="ĐB Sông Hồng"/>
    <x v="2"/>
    <x v="5"/>
    <n v="536.4"/>
  </r>
  <r>
    <x v="56"/>
    <s v="CÔNG AN TỈNH CÀ MAU"/>
    <x v="0"/>
    <n v="36304873"/>
    <d v="2024-12-01T00:00:00"/>
    <x v="11"/>
    <x v="0"/>
    <s v="ĐB Sông Cửu Long"/>
    <x v="2"/>
    <x v="1"/>
    <n v="36.304873000000001"/>
  </r>
  <r>
    <x v="56"/>
    <s v="CÔNG AN TỈNH CÀ MAU"/>
    <x v="0"/>
    <n v="18989745"/>
    <d v="2024-12-01T00:00:00"/>
    <x v="11"/>
    <x v="0"/>
    <s v="ĐB Sông Cửu Long"/>
    <x v="2"/>
    <x v="1"/>
    <n v="18.989744999999999"/>
  </r>
  <r>
    <x v="60"/>
    <s v="CÔNG AN TỈNH HÀ GIANG"/>
    <x v="0"/>
    <n v="250657386"/>
    <d v="2024-12-01T00:00:00"/>
    <x v="11"/>
    <x v="0"/>
    <s v="Đông Bắc Bộ"/>
    <x v="2"/>
    <x v="1"/>
    <n v="250.657386"/>
  </r>
  <r>
    <x v="60"/>
    <s v="CÔNG AN TỈNH HÀ GIANG"/>
    <x v="0"/>
    <n v="125083636"/>
    <d v="2024-12-01T00:00:00"/>
    <x v="11"/>
    <x v="0"/>
    <s v="Đông Bắc Bộ"/>
    <x v="2"/>
    <x v="1"/>
    <n v="125.083636"/>
  </r>
  <r>
    <x v="53"/>
    <s v="Công ty 1"/>
    <x v="4"/>
    <n v="9090909"/>
    <d v="2024-12-01T00:00:00"/>
    <x v="11"/>
    <x v="0"/>
    <s v="Đông Bắc Bộ"/>
    <x v="1"/>
    <x v="9"/>
    <n v="9.0909089999999999"/>
  </r>
  <r>
    <x v="53"/>
    <s v="Công ty 2"/>
    <x v="4"/>
    <n v="9090909"/>
    <d v="2024-12-01T00:00:00"/>
    <x v="11"/>
    <x v="0"/>
    <s v="Đông Bắc Bộ"/>
    <x v="1"/>
    <x v="9"/>
    <n v="9.0909089999999999"/>
  </r>
  <r>
    <x v="53"/>
    <s v="Công ty 4"/>
    <x v="4"/>
    <n v="9090909"/>
    <d v="2024-12-01T00:00:00"/>
    <x v="11"/>
    <x v="0"/>
    <s v="Đông Bắc Bộ"/>
    <x v="1"/>
    <x v="9"/>
    <n v="9.0909089999999999"/>
  </r>
  <r>
    <x v="53"/>
    <s v="Công ty 5"/>
    <x v="4"/>
    <n v="9090909"/>
    <d v="2024-12-01T00:00:00"/>
    <x v="11"/>
    <x v="0"/>
    <s v="Đông Bắc Bộ"/>
    <x v="1"/>
    <x v="9"/>
    <n v="9.0909089999999999"/>
  </r>
  <r>
    <x v="53"/>
    <s v="Công ty 7"/>
    <x v="4"/>
    <n v="9090909"/>
    <d v="2024-12-01T00:00:00"/>
    <x v="11"/>
    <x v="0"/>
    <s v="Đông Bắc Bộ"/>
    <x v="1"/>
    <x v="9"/>
    <n v="9.0909089999999999"/>
  </r>
  <r>
    <x v="53"/>
    <s v="Công ty 9"/>
    <x v="4"/>
    <n v="22327273"/>
    <d v="2024-12-01T00:00:00"/>
    <x v="11"/>
    <x v="0"/>
    <s v="Đông Bắc Bộ"/>
    <x v="1"/>
    <x v="9"/>
    <n v="22.327273000000002"/>
  </r>
  <r>
    <x v="53"/>
    <s v="Công ty 12"/>
    <x v="4"/>
    <n v="9090909"/>
    <d v="2024-12-01T00:00:00"/>
    <x v="11"/>
    <x v="0"/>
    <s v="Đông Bắc Bộ"/>
    <x v="1"/>
    <x v="9"/>
    <n v="9.0909089999999999"/>
  </r>
  <r>
    <x v="53"/>
    <s v="Công ty 13"/>
    <x v="4"/>
    <n v="9090909"/>
    <d v="2024-12-01T00:00:00"/>
    <x v="11"/>
    <x v="0"/>
    <s v="Đông Bắc Bộ"/>
    <x v="1"/>
    <x v="9"/>
    <n v="9.0909089999999999"/>
  </r>
  <r>
    <x v="53"/>
    <s v="Công ty 14"/>
    <x v="4"/>
    <n v="9090909"/>
    <d v="2024-12-01T00:00:00"/>
    <x v="11"/>
    <x v="0"/>
    <s v="Đông Bắc Bộ"/>
    <x v="1"/>
    <x v="9"/>
    <n v="9.0909089999999999"/>
  </r>
  <r>
    <x v="53"/>
    <s v="Công ty 15"/>
    <x v="4"/>
    <n v="45381818"/>
    <d v="2024-12-01T00:00:00"/>
    <x v="11"/>
    <x v="0"/>
    <s v="Đông Bắc Bộ"/>
    <x v="1"/>
    <x v="9"/>
    <n v="45.381818000000003"/>
  </r>
  <r>
    <x v="29"/>
    <s v="Cục Thuế Tỉnh Tiền Giang"/>
    <x v="1"/>
    <n v="387873636"/>
    <d v="2024-12-01T00:00:00"/>
    <x v="11"/>
    <x v="0"/>
    <s v="ĐB Sông Cửu Long"/>
    <x v="2"/>
    <x v="2"/>
    <n v="387.87363599999998"/>
  </r>
  <r>
    <x v="49"/>
    <s v="NGÂN HÀNG NHÀ NƯỚC CHI NHÁNH TỈNH BẾN TRE"/>
    <x v="0"/>
    <n v="11818182"/>
    <d v="2024-12-01T00:00:00"/>
    <x v="11"/>
    <x v="0"/>
    <s v="ĐB Sông Cửu Long"/>
    <x v="3"/>
    <x v="0"/>
    <n v="11.818182"/>
  </r>
  <r>
    <x v="22"/>
    <s v="NGÂN HÀNG TMCP ĐẦU TƯ VÀ PHÁT TRIỂN VIỆT NAM CHI NHÁNH THỪA THIÊN HUẾ"/>
    <x v="1"/>
    <n v="417434545"/>
    <d v="2024-12-01T00:00:00"/>
    <x v="11"/>
    <x v="0"/>
    <s v="Bắc Trung Bộ"/>
    <x v="3"/>
    <x v="2"/>
    <n v="417.43454500000001"/>
  </r>
  <r>
    <x v="32"/>
    <s v="NGÂN HÀNG TMCP KIÊN LONG CN ĐỒNG THÁP"/>
    <x v="2"/>
    <n v="17636364"/>
    <d v="2024-12-01T00:00:00"/>
    <x v="11"/>
    <x v="0"/>
    <s v="ĐB Sông Cửu Long"/>
    <x v="3"/>
    <x v="2"/>
    <n v="17.636364"/>
  </r>
  <r>
    <x v="41"/>
    <s v="Phòng Dân Tộc Huyện Quảng Hòa"/>
    <x v="1"/>
    <n v="704954545"/>
    <d v="2024-12-01T00:00:00"/>
    <x v="11"/>
    <x v="0"/>
    <s v="Đông Bắc Bộ"/>
    <x v="2"/>
    <x v="13"/>
    <n v="704.95454500000005"/>
  </r>
  <r>
    <x v="35"/>
    <s v="Phòng Giao Dịch Ngân Hàng Chính Sách Xã Hội (nhcsxh) Huyện Tràng Định"/>
    <x v="0"/>
    <n v="1928000"/>
    <d v="2024-12-01T00:00:00"/>
    <x v="11"/>
    <x v="0"/>
    <s v="Đông Bắc Bộ"/>
    <x v="3"/>
    <x v="1"/>
    <n v="1.9279999999999999"/>
  </r>
  <r>
    <x v="35"/>
    <s v="Phòng Giao Dịch Ngân Hàng Chính Sách Xã Hội (nhcsxh) Huyện Văn Lãng"/>
    <x v="0"/>
    <n v="1928000"/>
    <d v="2024-12-01T00:00:00"/>
    <x v="11"/>
    <x v="0"/>
    <s v="Đông Bắc Bộ"/>
    <x v="3"/>
    <x v="1"/>
    <n v="1.9279999999999999"/>
  </r>
  <r>
    <x v="18"/>
    <s v="PHÒNG GIÁO DỤC VÀ ĐÀO TẠO HUYỆN ĐẮK GLONG"/>
    <x v="3"/>
    <n v="881836364"/>
    <d v="2024-12-01T00:00:00"/>
    <x v="11"/>
    <x v="0"/>
    <s v="Tây Nguyên"/>
    <x v="2"/>
    <x v="7"/>
    <n v="881.836364"/>
  </r>
  <r>
    <x v="54"/>
    <s v="PHÒNG LAO ĐỘNG - THƯƠNG BINH &amp; XÃ HỘI HUYỆN VĂN BÀN"/>
    <x v="0"/>
    <n v="714900826"/>
    <d v="2024-12-01T00:00:00"/>
    <x v="11"/>
    <x v="0"/>
    <s v="Tây Bắc Bộ"/>
    <x v="2"/>
    <x v="5"/>
    <n v="714.90082600000005"/>
  </r>
  <r>
    <x v="3"/>
    <s v="PHÒNG NÔNG NGHIỆP VÀ PHÁT TRIỂN NÔNG THÔN"/>
    <x v="1"/>
    <n v="40419091"/>
    <d v="2024-12-01T00:00:00"/>
    <x v="11"/>
    <x v="0"/>
    <s v="ĐB Sông Cửu Long"/>
    <x v="2"/>
    <x v="1"/>
    <n v="40.419091000000002"/>
  </r>
  <r>
    <x v="3"/>
    <s v="PHÒNG NÔNG NGHIỆP VÀ PHÁT TRIỂN NÔNG THÔN"/>
    <x v="1"/>
    <n v="40419091"/>
    <d v="2024-12-01T00:00:00"/>
    <x v="11"/>
    <x v="0"/>
    <s v="ĐB Sông Cửu Long"/>
    <x v="2"/>
    <x v="1"/>
    <n v="40.419091000000002"/>
  </r>
  <r>
    <x v="3"/>
    <s v="PHÒNG NÔNG NGHIỆP VÀ PHÁT TRIỂN NÔNG THÔN"/>
    <x v="1"/>
    <n v="40419091"/>
    <d v="2024-12-01T00:00:00"/>
    <x v="11"/>
    <x v="0"/>
    <s v="ĐB Sông Cửu Long"/>
    <x v="2"/>
    <x v="1"/>
    <n v="40.419091000000002"/>
  </r>
  <r>
    <x v="3"/>
    <s v="PHÒNG NÔNG NGHIỆP VÀ PHÁT TRIỂN NÔNG THÔN"/>
    <x v="1"/>
    <n v="40419091"/>
    <d v="2024-12-01T00:00:00"/>
    <x v="11"/>
    <x v="0"/>
    <s v="ĐB Sông Cửu Long"/>
    <x v="2"/>
    <x v="1"/>
    <n v="40.419091000000002"/>
  </r>
  <r>
    <x v="3"/>
    <s v="PHÒNG NÔNG NGHIỆP VÀ PHÁT TRIỂN NÔNG THÔN"/>
    <x v="1"/>
    <n v="40419091"/>
    <d v="2024-12-01T00:00:00"/>
    <x v="11"/>
    <x v="0"/>
    <s v="ĐB Sông Cửu Long"/>
    <x v="2"/>
    <x v="1"/>
    <n v="40.419091000000002"/>
  </r>
  <r>
    <x v="40"/>
    <s v="PHÒNG NÔNG NGHIỆP VÀ PHÁT TRIỂN NÔNG THÔN CẦU KÈ"/>
    <x v="3"/>
    <n v="432763636"/>
    <d v="2024-12-01T00:00:00"/>
    <x v="11"/>
    <x v="0"/>
    <s v="ĐB Sông Cửu Long"/>
    <x v="2"/>
    <x v="7"/>
    <n v="432.76363600000002"/>
  </r>
  <r>
    <x v="54"/>
    <s v="PHÒNG NÔNG NGHIỆP VÀ PHÁT TRIỂN NÔNG THÔN HUYỆN BẢO THẮNG"/>
    <x v="1"/>
    <n v="72661570"/>
    <d v="2024-12-01T00:00:00"/>
    <x v="11"/>
    <x v="0"/>
    <s v="Tây Bắc Bộ"/>
    <x v="2"/>
    <x v="1"/>
    <n v="72.661569999999998"/>
  </r>
  <r>
    <x v="3"/>
    <s v="PHÒNG NÔNG NGHIỆP VÀ PHÁT TRIỂN NÔNG THÔN HUYỆN TÂN THẠNH"/>
    <x v="0"/>
    <n v="22709091"/>
    <d v="2024-12-01T00:00:00"/>
    <x v="11"/>
    <x v="0"/>
    <s v="ĐB Sông Cửu Long"/>
    <x v="2"/>
    <x v="5"/>
    <n v="22.709091000000001"/>
  </r>
  <r>
    <x v="3"/>
    <s v="PHÒNG TƯ PHÁP HUYỆN TÂN THẠNH"/>
    <x v="0"/>
    <n v="22709091"/>
    <d v="2024-12-01T00:00:00"/>
    <x v="11"/>
    <x v="0"/>
    <s v="ĐB Sông Cửu Long"/>
    <x v="2"/>
    <x v="5"/>
    <n v="22.709091000000001"/>
  </r>
  <r>
    <x v="27"/>
    <s v="Phòng Văn Hóa - Thông Tin Thành Phố Hà Tĩnh"/>
    <x v="0"/>
    <n v="227541818"/>
    <d v="2024-12-01T00:00:00"/>
    <x v="11"/>
    <x v="0"/>
    <s v="Bắc Trung Bộ"/>
    <x v="2"/>
    <x v="0"/>
    <n v="227.54181800000001"/>
  </r>
  <r>
    <x v="41"/>
    <s v="PHÒNG VĂN HOÁ THÔNG TIN"/>
    <x v="0"/>
    <n v="278345455"/>
    <d v="2024-12-01T00:00:00"/>
    <x v="11"/>
    <x v="0"/>
    <s v="Đông Bắc Bộ"/>
    <x v="2"/>
    <x v="16"/>
    <n v="278.34545500000002"/>
  </r>
  <r>
    <x v="41"/>
    <s v="Phòng Văn Hóa Và Thông Tin Huyện Bảo Lâm"/>
    <x v="0"/>
    <n v="891090909"/>
    <d v="2024-12-01T00:00:00"/>
    <x v="11"/>
    <x v="0"/>
    <s v="Đông Bắc Bộ"/>
    <x v="2"/>
    <x v="16"/>
    <n v="891.09090900000001"/>
  </r>
  <r>
    <x v="49"/>
    <s v="Phòng Văn Hóa Và Thông Tin Huyện Châu Thành"/>
    <x v="0"/>
    <n v="336300000"/>
    <d v="2024-12-01T00:00:00"/>
    <x v="11"/>
    <x v="0"/>
    <s v="ĐB Sông Cửu Long"/>
    <x v="2"/>
    <x v="0"/>
    <n v="336.3"/>
  </r>
  <r>
    <x v="57"/>
    <s v="Phòng Văn Hóa Và Thông Tin Huyện Châu Thành A"/>
    <x v="3"/>
    <n v="255450000"/>
    <d v="2024-12-01T00:00:00"/>
    <x v="11"/>
    <x v="0"/>
    <s v="ĐB Sông Cửu Long"/>
    <x v="2"/>
    <x v="7"/>
    <n v="255.45"/>
  </r>
  <r>
    <x v="57"/>
    <s v="Phòng Văn Hóa Và Thông Tin Huyện Châu Thành A"/>
    <x v="3"/>
    <n v="87272727"/>
    <d v="2024-12-01T00:00:00"/>
    <x v="11"/>
    <x v="0"/>
    <s v="ĐB Sông Cửu Long"/>
    <x v="2"/>
    <x v="7"/>
    <n v="87.272727000000003"/>
  </r>
  <r>
    <x v="3"/>
    <s v="PHÒNG VĂN HÓA VÀ THÔNG TIN HUYỆN TÂN THẠNH"/>
    <x v="0"/>
    <n v="22709091"/>
    <d v="2024-12-01T00:00:00"/>
    <x v="11"/>
    <x v="0"/>
    <s v="ĐB Sông Cửu Long"/>
    <x v="2"/>
    <x v="5"/>
    <n v="22.709091000000001"/>
  </r>
  <r>
    <x v="56"/>
    <s v="Phòng Văn Hoá Và Thông Tin Huyện Trần Văn Thời"/>
    <x v="0"/>
    <n v="90902727"/>
    <d v="2024-12-01T00:00:00"/>
    <x v="11"/>
    <x v="0"/>
    <s v="ĐB Sông Cửu Long"/>
    <x v="2"/>
    <x v="0"/>
    <n v="90.902726999999999"/>
  </r>
  <r>
    <x v="13"/>
    <s v="Phòng Văn Hóa Và Thông Tin Huyện Văn Chấn"/>
    <x v="0"/>
    <n v="32241818"/>
    <d v="2024-12-01T00:00:00"/>
    <x v="11"/>
    <x v="0"/>
    <s v="Tây Bắc Bộ"/>
    <x v="2"/>
    <x v="0"/>
    <n v="32.241818000000002"/>
  </r>
  <r>
    <x v="13"/>
    <s v="Phòng Văn Hóa Và Thông Tin Huyện Văn Chấn"/>
    <x v="0"/>
    <n v="18000000"/>
    <d v="2024-12-01T00:00:00"/>
    <x v="11"/>
    <x v="0"/>
    <s v="Tây Bắc Bộ"/>
    <x v="2"/>
    <x v="0"/>
    <n v="18"/>
  </r>
  <r>
    <x v="53"/>
    <s v="PHÒNG VĂN HOÁ VÀ THÔNG TIN NGÂN SƠN"/>
    <x v="1"/>
    <n v="351976182"/>
    <d v="2024-12-01T00:00:00"/>
    <x v="11"/>
    <x v="0"/>
    <s v="Đông Bắc Bộ"/>
    <x v="2"/>
    <x v="5"/>
    <n v="351.97618199999999"/>
  </r>
  <r>
    <x v="30"/>
    <s v="SỞ KẾ HOẠCH VÀ ĐẦU TƯ AN GIANG"/>
    <x v="1"/>
    <n v="87270000"/>
    <d v="2024-12-01T00:00:00"/>
    <x v="11"/>
    <x v="0"/>
    <s v="ĐB Sông Cửu Long"/>
    <x v="2"/>
    <x v="2"/>
    <n v="87.27"/>
  </r>
  <r>
    <x v="27"/>
    <s v="SỞ KHOA HỌC VÀ CÔNG NGHỆ HÀ TĨNH"/>
    <x v="0"/>
    <n v="145454545"/>
    <d v="2024-12-01T00:00:00"/>
    <x v="11"/>
    <x v="0"/>
    <s v="Bắc Trung Bộ"/>
    <x v="2"/>
    <x v="14"/>
    <n v="145.454545"/>
  </r>
  <r>
    <x v="30"/>
    <s v="SỞ NGOẠI VỤ TỈNH AN GIANG"/>
    <x v="1"/>
    <n v="63636145"/>
    <d v="2024-12-01T00:00:00"/>
    <x v="11"/>
    <x v="0"/>
    <s v="ĐB Sông Cửu Long"/>
    <x v="2"/>
    <x v="2"/>
    <n v="63.636144999999999"/>
  </r>
  <r>
    <x v="29"/>
    <s v="SỞ NỘI VỤ TỈNH TIỀN GIANG"/>
    <x v="2"/>
    <n v="14181818"/>
    <d v="2024-12-01T00:00:00"/>
    <x v="11"/>
    <x v="0"/>
    <s v="ĐB Sông Cửu Long"/>
    <x v="2"/>
    <x v="2"/>
    <n v="14.181818"/>
  </r>
  <r>
    <x v="17"/>
    <s v="Sở Thông Tin Và Truyền Thông Phú Yên"/>
    <x v="0"/>
    <n v="1338587273"/>
    <d v="2024-12-01T00:00:00"/>
    <x v="11"/>
    <x v="0"/>
    <s v="Duyên hải Nam Trung Bộ"/>
    <x v="2"/>
    <x v="16"/>
    <n v="1338.5872730000001"/>
  </r>
  <r>
    <x v="44"/>
    <s v="SỞ THÔNG TIN VÀ TRUYỀN THÔNG THANH HOÁ"/>
    <x v="1"/>
    <n v="1436090909"/>
    <d v="2024-12-01T00:00:00"/>
    <x v="11"/>
    <x v="0"/>
    <s v="Bắc Trung Bộ"/>
    <x v="2"/>
    <x v="13"/>
    <n v="1436.090909"/>
  </r>
  <r>
    <x v="35"/>
    <s v="TẬP ĐOÀN CÔNG NGHIỆP - VIỄN THÔNG QUÂN ĐỘI"/>
    <x v="0"/>
    <n v="215860727"/>
    <d v="2024-12-01T00:00:00"/>
    <x v="11"/>
    <x v="0"/>
    <s v="Đông Bắc Bộ"/>
    <x v="1"/>
    <x v="1"/>
    <n v="215.860727"/>
  </r>
  <r>
    <x v="35"/>
    <s v="TẬP ĐOÀN CÔNG NGHIỆP - VIỄN THÔNG QUÂN ĐỘI"/>
    <x v="0"/>
    <n v="221881818"/>
    <d v="2024-12-01T00:00:00"/>
    <x v="11"/>
    <x v="0"/>
    <s v="Đông Bắc Bộ"/>
    <x v="1"/>
    <x v="0"/>
    <n v="221.88181800000001"/>
  </r>
  <r>
    <x v="2"/>
    <s v="TẬP ĐOÀN CÔNG NGHIỆP - VIỄN THÔNG QUÂN ĐỘI"/>
    <x v="0"/>
    <n v="1060760937"/>
    <d v="2024-12-01T00:00:00"/>
    <x v="11"/>
    <x v="0"/>
    <s v="ĐB Sông Cửu Long"/>
    <x v="1"/>
    <x v="1"/>
    <n v="1060.760937"/>
  </r>
  <r>
    <x v="54"/>
    <s v="TẬP ĐOÀN CÔNG NGHIỆP - VIỄN THÔNG QUÂN ĐỘI"/>
    <x v="2"/>
    <n v="27686764"/>
    <d v="2024-12-01T00:00:00"/>
    <x v="11"/>
    <x v="0"/>
    <s v="Tây Bắc Bộ"/>
    <x v="1"/>
    <x v="1"/>
    <n v="27.686764"/>
  </r>
  <r>
    <x v="32"/>
    <s v="TRUNG TÂM CHÍNH TRỊ THÀNH PHỐ CAO LÃNH"/>
    <x v="2"/>
    <n v="39418182"/>
    <d v="2024-12-01T00:00:00"/>
    <x v="11"/>
    <x v="0"/>
    <s v="ĐB Sông Cửu Long"/>
    <x v="2"/>
    <x v="4"/>
    <n v="39.418182000000002"/>
  </r>
  <r>
    <x v="21"/>
    <s v="Trung Tâm Chính Trị Thị Xã"/>
    <x v="0"/>
    <n v="598345708"/>
    <d v="2024-12-01T00:00:00"/>
    <x v="11"/>
    <x v="0"/>
    <s v="Đông Bắc Bộ"/>
    <x v="2"/>
    <x v="7"/>
    <n v="598.34570799999995"/>
  </r>
  <r>
    <x v="39"/>
    <s v="TRUNG TÂM GIÁM ĐỊNH CHẤT LƯỢNG XÂY DỰNG"/>
    <x v="0"/>
    <n v="12409636"/>
    <d v="2024-12-01T00:00:00"/>
    <x v="11"/>
    <x v="0"/>
    <s v="ĐB Sông Cửu Long"/>
    <x v="2"/>
    <x v="0"/>
    <n v="12.409636000000001"/>
  </r>
  <r>
    <x v="22"/>
    <s v="TRUNG TÂM GIÁM SÁT ĐIỀU HÀNH ĐÔ THỊ THÔNG MINH TỈNH THỪA THIÊN HUẾ"/>
    <x v="2"/>
    <n v="435176836"/>
    <d v="2024-12-01T00:00:00"/>
    <x v="11"/>
    <x v="0"/>
    <s v="Bắc Trung Bộ"/>
    <x v="2"/>
    <x v="1"/>
    <n v="435.17683599999998"/>
  </r>
  <r>
    <x v="10"/>
    <s v="TRUNG TÂM NUÔI DƯỠNG, ĐIỀU DƯỠNG NGƯỜI CÓ CÔNG QUẢNG NAM"/>
    <x v="1"/>
    <n v="27239091"/>
    <d v="2024-12-01T00:00:00"/>
    <x v="11"/>
    <x v="0"/>
    <s v="Duyên hải Nam Trung Bộ"/>
    <x v="2"/>
    <x v="15"/>
    <n v="27.239090999999998"/>
  </r>
  <r>
    <x v="9"/>
    <s v="Trung Tâm Tiết Kiệm Năng Lượng Và Tư Vấn Chuyển Giao Công Nghệ Đà Nẵng"/>
    <x v="2"/>
    <n v="297714000"/>
    <d v="2024-12-01T00:00:00"/>
    <x v="11"/>
    <x v="0"/>
    <s v="Duyên hải Nam Trung Bộ"/>
    <x v="2"/>
    <x v="3"/>
    <n v="297.714"/>
  </r>
  <r>
    <x v="29"/>
    <s v="Trung Tâm Văn Hóa - Thể Thao Và Truyền Thanh Huyện Tân Phước"/>
    <x v="0"/>
    <n v="227093182"/>
    <d v="2024-12-01T00:00:00"/>
    <x v="11"/>
    <x v="0"/>
    <s v="ĐB Sông Cửu Long"/>
    <x v="2"/>
    <x v="5"/>
    <n v="227.09318200000001"/>
  </r>
  <r>
    <x v="29"/>
    <s v="Trung Tâm Văn Hóa - Thể Thao Và Truyền Thanh Huyện Tân Phước"/>
    <x v="0"/>
    <n v="227093182"/>
    <d v="2024-12-01T00:00:00"/>
    <x v="11"/>
    <x v="0"/>
    <s v="ĐB Sông Cửu Long"/>
    <x v="2"/>
    <x v="5"/>
    <n v="227.09318200000001"/>
  </r>
  <r>
    <x v="25"/>
    <s v="TRUNG TÂM Y TẾ DI LINH"/>
    <x v="2"/>
    <n v="68878182"/>
    <d v="2024-12-01T00:00:00"/>
    <x v="11"/>
    <x v="0"/>
    <s v="Tây Nguyên"/>
    <x v="2"/>
    <x v="2"/>
    <n v="68.878181999999995"/>
  </r>
  <r>
    <x v="40"/>
    <s v="TRUNG TÂM Y TẾ HUYỆN DUYÊN HẢI"/>
    <x v="2"/>
    <n v="43807273"/>
    <d v="2024-12-01T00:00:00"/>
    <x v="11"/>
    <x v="0"/>
    <s v="ĐB Sông Cửu Long"/>
    <x v="2"/>
    <x v="0"/>
    <n v="43.807273000000002"/>
  </r>
  <r>
    <x v="27"/>
    <s v="Trung Tâm Y Tế Huyện Kỳ Anh"/>
    <x v="0"/>
    <n v="270909091"/>
    <d v="2024-12-01T00:00:00"/>
    <x v="11"/>
    <x v="0"/>
    <s v="Bắc Trung Bộ"/>
    <x v="2"/>
    <x v="14"/>
    <n v="270.90909099999999"/>
  </r>
  <r>
    <x v="27"/>
    <s v="TRUNG TÂM Y TẾ HUYỆN KỲ ANH"/>
    <x v="0"/>
    <n v="180000000"/>
    <d v="2024-12-01T00:00:00"/>
    <x v="11"/>
    <x v="0"/>
    <s v="Bắc Trung Bộ"/>
    <x v="2"/>
    <x v="14"/>
    <n v="180"/>
  </r>
  <r>
    <x v="14"/>
    <s v="Trung Tâm Y Tế Huyện Quốc Oai"/>
    <x v="0"/>
    <n v="81722274"/>
    <d v="2024-12-01T00:00:00"/>
    <x v="11"/>
    <x v="0"/>
    <s v="ĐB Sông Hồng"/>
    <x v="2"/>
    <x v="1"/>
    <n v="81.722273999999999"/>
  </r>
  <r>
    <x v="17"/>
    <s v="Trung Tâm Y Tế Thị Xã Đông Hòa"/>
    <x v="1"/>
    <n v="46773818"/>
    <d v="2024-12-01T00:00:00"/>
    <x v="11"/>
    <x v="0"/>
    <s v="Duyên hải Nam Trung Bộ"/>
    <x v="2"/>
    <x v="11"/>
    <n v="46.773817999999999"/>
  </r>
  <r>
    <x v="33"/>
    <s v="UBND THỊ TRẤN BỐ HẠ"/>
    <x v="0"/>
    <n v="8480000"/>
    <d v="2024-12-01T00:00:00"/>
    <x v="11"/>
    <x v="0"/>
    <s v="Đông Bắc Bộ"/>
    <x v="2"/>
    <x v="5"/>
    <n v="8.48"/>
  </r>
  <r>
    <x v="48"/>
    <s v="UBND THỊ TRẤN ĐU"/>
    <x v="2"/>
    <n v="16690909"/>
    <d v="2024-12-01T00:00:00"/>
    <x v="11"/>
    <x v="0"/>
    <s v="Đông Bắc Bộ"/>
    <x v="2"/>
    <x v="1"/>
    <n v="16.690909000000001"/>
  </r>
  <r>
    <x v="57"/>
    <s v="UBND THỊ TRẤN NGÃ SÁU"/>
    <x v="0"/>
    <n v="19709091"/>
    <d v="2024-12-01T00:00:00"/>
    <x v="11"/>
    <x v="0"/>
    <s v="ĐB Sông Cửu Long"/>
    <x v="2"/>
    <x v="0"/>
    <n v="19.709091000000001"/>
  </r>
  <r>
    <x v="20"/>
    <s v="UBND THỊ TRẤN TÂN NGHĨA"/>
    <x v="3"/>
    <n v="185367000"/>
    <d v="2024-12-01T00:00:00"/>
    <x v="11"/>
    <x v="0"/>
    <s v="Duyên hải Nam Trung Bộ"/>
    <x v="2"/>
    <x v="18"/>
    <n v="185.36699999999999"/>
  </r>
  <r>
    <x v="41"/>
    <s v="UBND THỊ TRẤN THANH NHẬT"/>
    <x v="4"/>
    <n v="27272727"/>
    <d v="2024-12-01T00:00:00"/>
    <x v="11"/>
    <x v="0"/>
    <s v="Đông Bắc Bộ"/>
    <x v="2"/>
    <x v="9"/>
    <n v="27.272727"/>
  </r>
  <r>
    <x v="33"/>
    <s v="UBND XÃ AN THƯỢNG"/>
    <x v="3"/>
    <n v="4200000"/>
    <d v="2024-12-01T00:00:00"/>
    <x v="11"/>
    <x v="0"/>
    <s v="Đông Bắc Bộ"/>
    <x v="2"/>
    <x v="7"/>
    <n v="4.2"/>
  </r>
  <r>
    <x v="58"/>
    <s v="UBND XÃ ĐẮK BLÀ"/>
    <x v="3"/>
    <n v="128181818"/>
    <d v="2024-12-01T00:00:00"/>
    <x v="11"/>
    <x v="0"/>
    <s v="Tây Nguyên"/>
    <x v="2"/>
    <x v="18"/>
    <n v="128.18181799999999"/>
  </r>
  <r>
    <x v="58"/>
    <s v="UBND XÃ ĐĂK CHOONG"/>
    <x v="4"/>
    <n v="53636364"/>
    <d v="2024-12-01T00:00:00"/>
    <x v="11"/>
    <x v="0"/>
    <s v="Tây Nguyên"/>
    <x v="2"/>
    <x v="9"/>
    <n v="53.636364"/>
  </r>
  <r>
    <x v="33"/>
    <s v="UBND XÃ ĐÔNG SƠN"/>
    <x v="3"/>
    <n v="4200000"/>
    <d v="2024-12-01T00:00:00"/>
    <x v="11"/>
    <x v="0"/>
    <s v="Đông Bắc Bộ"/>
    <x v="2"/>
    <x v="7"/>
    <n v="4.2"/>
  </r>
  <r>
    <x v="33"/>
    <s v="UBND XÃ ĐỒNG TÂM"/>
    <x v="0"/>
    <n v="4200000"/>
    <d v="2024-12-01T00:00:00"/>
    <x v="11"/>
    <x v="0"/>
    <s v="Đông Bắc Bộ"/>
    <x v="2"/>
    <x v="5"/>
    <n v="4.2"/>
  </r>
  <r>
    <x v="33"/>
    <s v="UBND XÃ ĐỒNG VƯƠNG"/>
    <x v="0"/>
    <n v="4200000"/>
    <d v="2024-12-01T00:00:00"/>
    <x v="11"/>
    <x v="0"/>
    <s v="Đông Bắc Bộ"/>
    <x v="2"/>
    <x v="5"/>
    <n v="4.2"/>
  </r>
  <r>
    <x v="31"/>
    <s v="Ubnd Xã Ea Kmút"/>
    <x v="0"/>
    <n v="26527400"/>
    <d v="2024-12-01T00:00:00"/>
    <x v="11"/>
    <x v="0"/>
    <s v="Tây Nguyên"/>
    <x v="2"/>
    <x v="1"/>
    <n v="26.5274"/>
  </r>
  <r>
    <x v="17"/>
    <s v="UBND XÃ HÒA ĐỒNG"/>
    <x v="0"/>
    <n v="146266364"/>
    <d v="2024-12-01T00:00:00"/>
    <x v="11"/>
    <x v="0"/>
    <s v="Duyên hải Nam Trung Bộ"/>
    <x v="2"/>
    <x v="1"/>
    <n v="146.26636400000001"/>
  </r>
  <r>
    <x v="33"/>
    <s v="UBND XÃ HỒNG KỲ"/>
    <x v="0"/>
    <n v="8480000"/>
    <d v="2024-12-01T00:00:00"/>
    <x v="11"/>
    <x v="0"/>
    <s v="Đông Bắc Bộ"/>
    <x v="2"/>
    <x v="5"/>
    <n v="8.48"/>
  </r>
  <r>
    <x v="6"/>
    <s v="UBND XÃ HY CƯƠNG"/>
    <x v="1"/>
    <n v="38534971"/>
    <d v="2024-12-01T00:00:00"/>
    <x v="11"/>
    <x v="0"/>
    <s v="Đông Bắc Bộ"/>
    <x v="2"/>
    <x v="4"/>
    <n v="38.534970999999999"/>
  </r>
  <r>
    <x v="37"/>
    <s v="UBND XÃ NINH THẠNH LỢI"/>
    <x v="4"/>
    <n v="568066227"/>
    <d v="2024-12-01T00:00:00"/>
    <x v="11"/>
    <x v="0"/>
    <s v="ĐB Sông Cửu Long"/>
    <x v="2"/>
    <x v="9"/>
    <n v="568.06622700000003"/>
  </r>
  <r>
    <x v="20"/>
    <s v="UBND XÃ PHAN DŨNG"/>
    <x v="4"/>
    <n v="9454545"/>
    <d v="2024-12-01T00:00:00"/>
    <x v="11"/>
    <x v="0"/>
    <s v="Duyên hải Nam Trung Bộ"/>
    <x v="2"/>
    <x v="9"/>
    <n v="9.4545449999999995"/>
  </r>
  <r>
    <x v="19"/>
    <s v="UBND XÃ PHƯỚC DINH"/>
    <x v="1"/>
    <n v="72722727"/>
    <d v="2024-12-01T00:00:00"/>
    <x v="11"/>
    <x v="0"/>
    <s v="Duyên hải Nam Trung Bộ"/>
    <x v="2"/>
    <x v="10"/>
    <n v="72.722727000000006"/>
  </r>
  <r>
    <x v="19"/>
    <s v="Ubnd Xã Phước Ninh"/>
    <x v="1"/>
    <n v="81736364"/>
    <d v="2024-12-01T00:00:00"/>
    <x v="11"/>
    <x v="0"/>
    <s v="Duyên hải Nam Trung Bộ"/>
    <x v="2"/>
    <x v="10"/>
    <n v="81.736363999999995"/>
  </r>
  <r>
    <x v="42"/>
    <s v="Ubnd Xã Pú Xi"/>
    <x v="4"/>
    <n v="90454545"/>
    <d v="2024-12-01T00:00:00"/>
    <x v="11"/>
    <x v="0"/>
    <s v="Tây Bắc Bộ"/>
    <x v="2"/>
    <x v="9"/>
    <n v="90.454544999999996"/>
  </r>
  <r>
    <x v="20"/>
    <s v="UBND XÃ SƠN MỸ"/>
    <x v="3"/>
    <n v="205921300"/>
    <d v="2024-12-01T00:00:00"/>
    <x v="11"/>
    <x v="0"/>
    <s v="Duyên hải Nam Trung Bộ"/>
    <x v="2"/>
    <x v="18"/>
    <n v="205.9213"/>
  </r>
  <r>
    <x v="20"/>
    <s v="UBND XÃ SƠN MỸ"/>
    <x v="3"/>
    <n v="205921300"/>
    <d v="2024-12-01T00:00:00"/>
    <x v="11"/>
    <x v="0"/>
    <s v="Duyên hải Nam Trung Bộ"/>
    <x v="2"/>
    <x v="18"/>
    <n v="205.9213"/>
  </r>
  <r>
    <x v="20"/>
    <s v="UBND XÃ SÔNG PHAN"/>
    <x v="3"/>
    <n v="207696400"/>
    <d v="2024-12-01T00:00:00"/>
    <x v="11"/>
    <x v="0"/>
    <s v="Duyên hải Nam Trung Bộ"/>
    <x v="2"/>
    <x v="18"/>
    <n v="207.69640000000001"/>
  </r>
  <r>
    <x v="10"/>
    <s v="UBND XÃ TAM ĐẠI"/>
    <x v="0"/>
    <n v="90669091"/>
    <d v="2024-12-01T00:00:00"/>
    <x v="11"/>
    <x v="0"/>
    <s v="Duyên hải Nam Trung Bộ"/>
    <x v="2"/>
    <x v="1"/>
    <n v="90.669090999999995"/>
  </r>
  <r>
    <x v="33"/>
    <s v="UBND XÃ TAM HIỆP"/>
    <x v="0"/>
    <n v="8480000"/>
    <d v="2024-12-01T00:00:00"/>
    <x v="11"/>
    <x v="0"/>
    <s v="Đông Bắc Bộ"/>
    <x v="2"/>
    <x v="5"/>
    <n v="8.48"/>
  </r>
  <r>
    <x v="20"/>
    <s v="UBND XÃ TÂN HÀ"/>
    <x v="3"/>
    <n v="207841900"/>
    <d v="2024-12-01T00:00:00"/>
    <x v="11"/>
    <x v="0"/>
    <s v="Duyên hải Nam Trung Bộ"/>
    <x v="2"/>
    <x v="18"/>
    <n v="207.84190000000001"/>
  </r>
  <r>
    <x v="20"/>
    <s v="UBND XÃ TÂN HÀ"/>
    <x v="1"/>
    <n v="79331818"/>
    <d v="2024-12-01T00:00:00"/>
    <x v="11"/>
    <x v="0"/>
    <s v="Duyên hải Nam Trung Bộ"/>
    <x v="2"/>
    <x v="10"/>
    <n v="79.331817999999998"/>
  </r>
  <r>
    <x v="1"/>
    <s v="UBND XÃ TÂY PHÚ"/>
    <x v="0"/>
    <n v="86805000"/>
    <d v="2024-12-01T00:00:00"/>
    <x v="11"/>
    <x v="0"/>
    <s v="Duyên hải Nam Trung Bộ"/>
    <x v="2"/>
    <x v="0"/>
    <n v="86.805000000000007"/>
  </r>
  <r>
    <x v="47"/>
    <s v="UBND XÃ TRUNG HÀ"/>
    <x v="0"/>
    <n v="26017727"/>
    <d v="2024-12-01T00:00:00"/>
    <x v="11"/>
    <x v="0"/>
    <s v="Đông Bắc Bộ"/>
    <x v="2"/>
    <x v="1"/>
    <n v="26.017727000000001"/>
  </r>
  <r>
    <x v="33"/>
    <s v="UBND XÃ XUÂN LƯƠNG"/>
    <x v="0"/>
    <n v="8480000"/>
    <d v="2024-12-01T00:00:00"/>
    <x v="11"/>
    <x v="0"/>
    <s v="Đông Bắc Bộ"/>
    <x v="2"/>
    <x v="5"/>
    <n v="8.48"/>
  </r>
  <r>
    <x v="27"/>
    <s v="UBND XÃ XUÂN THÀNH"/>
    <x v="0"/>
    <n v="85575273"/>
    <d v="2024-12-01T00:00:00"/>
    <x v="11"/>
    <x v="0"/>
    <s v="Bắc Trung Bộ"/>
    <x v="2"/>
    <x v="1"/>
    <n v="85.575272999999996"/>
  </r>
  <r>
    <x v="47"/>
    <s v="UBND XÃ XUÂN VÂN"/>
    <x v="4"/>
    <n v="90778991"/>
    <d v="2024-12-01T00:00:00"/>
    <x v="11"/>
    <x v="0"/>
    <s v="Đông Bắc Bộ"/>
    <x v="2"/>
    <x v="9"/>
    <n v="90.778991000000005"/>
  </r>
  <r>
    <x v="20"/>
    <s v="Ủy ban nhân dân Thị trấn Lương Sơn"/>
    <x v="0"/>
    <n v="15246199"/>
    <d v="2024-12-01T00:00:00"/>
    <x v="11"/>
    <x v="0"/>
    <s v="Duyên hải Nam Trung Bộ"/>
    <x v="2"/>
    <x v="1"/>
    <n v="15.246199000000001"/>
  </r>
  <r>
    <x v="38"/>
    <s v="Ủy Ban Nhân Dân Xã Ayun Hạ"/>
    <x v="1"/>
    <n v="168545455"/>
    <d v="2024-12-01T00:00:00"/>
    <x v="11"/>
    <x v="0"/>
    <s v="Tây Nguyên"/>
    <x v="2"/>
    <x v="13"/>
    <n v="168.545455"/>
  </r>
  <r>
    <x v="6"/>
    <s v="ỦY BAN NHÂN DÂN XÃ ĐOAN HẠ"/>
    <x v="0"/>
    <n v="60253914"/>
    <d v="2024-12-01T00:00:00"/>
    <x v="11"/>
    <x v="0"/>
    <s v="Đông Bắc Bộ"/>
    <x v="2"/>
    <x v="1"/>
    <n v="60.253914000000002"/>
  </r>
  <r>
    <x v="6"/>
    <s v="ỦY BAN NHÂN DÂN XÃ ĐOAN HẠ"/>
    <x v="0"/>
    <n v="73283727"/>
    <d v="2024-12-01T00:00:00"/>
    <x v="11"/>
    <x v="0"/>
    <s v="Đông Bắc Bộ"/>
    <x v="2"/>
    <x v="1"/>
    <n v="73.283726999999999"/>
  </r>
  <r>
    <x v="24"/>
    <s v="ỦY BAN NHÂN DÂN XÃ ĐÔNG THỌ"/>
    <x v="0"/>
    <n v="176181818"/>
    <d v="2024-12-01T00:00:00"/>
    <x v="11"/>
    <x v="0"/>
    <s v="ĐB Sông Hồng"/>
    <x v="2"/>
    <x v="1"/>
    <n v="176.18181799999999"/>
  </r>
  <r>
    <x v="3"/>
    <s v="ỦY BAN NHÂN DÂN XÃ DƯƠNG XUÂN HỘI"/>
    <x v="0"/>
    <n v="41220000"/>
    <d v="2024-12-01T00:00:00"/>
    <x v="11"/>
    <x v="0"/>
    <s v="ĐB Sông Cửu Long"/>
    <x v="2"/>
    <x v="1"/>
    <n v="41.22"/>
  </r>
  <r>
    <x v="3"/>
    <s v="ỦY BAN NHÂN DÂN XÃ HIỆP THẠNH"/>
    <x v="0"/>
    <n v="41220000"/>
    <d v="2024-12-01T00:00:00"/>
    <x v="11"/>
    <x v="0"/>
    <s v="ĐB Sông Cửu Long"/>
    <x v="2"/>
    <x v="1"/>
    <n v="41.22"/>
  </r>
  <r>
    <x v="3"/>
    <s v="ỦY BAN NHÂN DÂN XÃ HÒA PHÚ"/>
    <x v="0"/>
    <n v="41220000"/>
    <d v="2024-12-01T00:00:00"/>
    <x v="11"/>
    <x v="0"/>
    <s v="ĐB Sông Cửu Long"/>
    <x v="2"/>
    <x v="1"/>
    <n v="41.22"/>
  </r>
  <r>
    <x v="47"/>
    <s v="Ủy Ban Nhân Dân Xã Hợp Hòa"/>
    <x v="2"/>
    <n v="407414545"/>
    <d v="2024-12-01T00:00:00"/>
    <x v="11"/>
    <x v="0"/>
    <s v="Đông Bắc Bộ"/>
    <x v="2"/>
    <x v="10"/>
    <n v="407.41454499999998"/>
  </r>
  <r>
    <x v="35"/>
    <s v="Uỷ Ban Nhân Dân Xã Hữu Liên"/>
    <x v="0"/>
    <n v="36407000"/>
    <d v="2024-12-01T00:00:00"/>
    <x v="11"/>
    <x v="0"/>
    <s v="Đông Bắc Bộ"/>
    <x v="2"/>
    <x v="9"/>
    <n v="36.406999999999996"/>
  </r>
  <r>
    <x v="38"/>
    <s v="UỶ BAN NHÂN DÂN XÃ IA AKE"/>
    <x v="1"/>
    <n v="164090909"/>
    <d v="2024-12-01T00:00:00"/>
    <x v="11"/>
    <x v="0"/>
    <s v="Tây Nguyên"/>
    <x v="2"/>
    <x v="13"/>
    <n v="164.09090900000001"/>
  </r>
  <r>
    <x v="38"/>
    <s v="UỶ BAN NHÂN DÂN XÃ IA AKE"/>
    <x v="4"/>
    <n v="173210909"/>
    <d v="2024-12-01T00:00:00"/>
    <x v="11"/>
    <x v="0"/>
    <s v="Tây Nguyên"/>
    <x v="2"/>
    <x v="9"/>
    <n v="173.21090899999999"/>
  </r>
  <r>
    <x v="38"/>
    <s v="UỶ BAN NHÂN DÂN XÃ IAPIAR"/>
    <x v="1"/>
    <n v="169613636"/>
    <d v="2024-12-01T00:00:00"/>
    <x v="11"/>
    <x v="0"/>
    <s v="Tây Nguyên"/>
    <x v="2"/>
    <x v="13"/>
    <n v="169.61363600000001"/>
  </r>
  <r>
    <x v="38"/>
    <s v="UỶ BAN NHÂN DÂN XÃ IASOL"/>
    <x v="1"/>
    <n v="164090909"/>
    <d v="2024-12-01T00:00:00"/>
    <x v="11"/>
    <x v="0"/>
    <s v="Tây Nguyên"/>
    <x v="2"/>
    <x v="13"/>
    <n v="164.09090900000001"/>
  </r>
  <r>
    <x v="38"/>
    <s v="UỶ BAN NHÂN DÂN XÃ IASOL"/>
    <x v="4"/>
    <n v="172727273"/>
    <d v="2024-12-01T00:00:00"/>
    <x v="11"/>
    <x v="0"/>
    <s v="Tây Nguyên"/>
    <x v="2"/>
    <x v="9"/>
    <n v="172.727273"/>
  </r>
  <r>
    <x v="41"/>
    <s v="UỶ BAN NHÂN DÂN XÃ KHÂM THÀNH"/>
    <x v="4"/>
    <n v="77236364"/>
    <d v="2024-12-01T00:00:00"/>
    <x v="11"/>
    <x v="0"/>
    <s v="Đông Bắc Bộ"/>
    <x v="2"/>
    <x v="9"/>
    <n v="77.236363999999995"/>
  </r>
  <r>
    <x v="41"/>
    <s v="Ủy Ban Nhân Dân Xã Lê Lợi"/>
    <x v="1"/>
    <n v="10118182"/>
    <d v="2024-12-01T00:00:00"/>
    <x v="11"/>
    <x v="0"/>
    <s v="Đông Bắc Bộ"/>
    <x v="2"/>
    <x v="13"/>
    <n v="10.118181999999999"/>
  </r>
  <r>
    <x v="42"/>
    <s v="Ủy Ban Nhân Dân Xã Mùn Chung"/>
    <x v="4"/>
    <n v="90454545"/>
    <d v="2024-12-01T00:00:00"/>
    <x v="11"/>
    <x v="0"/>
    <s v="Tây Bắc Bộ"/>
    <x v="2"/>
    <x v="9"/>
    <n v="90.454544999999996"/>
  </r>
  <r>
    <x v="42"/>
    <s v="Ủy Ban Nhân Dân Xã Mường Mùn"/>
    <x v="4"/>
    <n v="89818182"/>
    <d v="2024-12-01T00:00:00"/>
    <x v="11"/>
    <x v="0"/>
    <s v="Tây Bắc Bộ"/>
    <x v="2"/>
    <x v="9"/>
    <n v="89.818181999999993"/>
  </r>
  <r>
    <x v="42"/>
    <s v="Ủy Ban Nhân Dân Xã Nà Tòng"/>
    <x v="4"/>
    <n v="90454545"/>
    <d v="2024-12-01T00:00:00"/>
    <x v="11"/>
    <x v="0"/>
    <s v="Tây Bắc Bộ"/>
    <x v="2"/>
    <x v="9"/>
    <n v="90.454544999999996"/>
  </r>
  <r>
    <x v="42"/>
    <s v="Ủy Ban Nhân Dân Xã Nậm Nèn"/>
    <x v="4"/>
    <n v="45272727"/>
    <d v="2024-12-01T00:00:00"/>
    <x v="11"/>
    <x v="0"/>
    <s v="Tây Bắc Bộ"/>
    <x v="2"/>
    <x v="9"/>
    <n v="45.272727000000003"/>
  </r>
  <r>
    <x v="41"/>
    <s v="Uỷ Ban Nhân Dân Xã Ngọc Khê"/>
    <x v="4"/>
    <n v="390000000"/>
    <d v="2024-12-01T00:00:00"/>
    <x v="11"/>
    <x v="0"/>
    <s v="Đông Bắc Bộ"/>
    <x v="2"/>
    <x v="9"/>
    <n v="390"/>
  </r>
  <r>
    <x v="47"/>
    <s v="Ủy Ban Nhân Dân Xã Phúc Sơn"/>
    <x v="4"/>
    <n v="87213955"/>
    <d v="2024-12-01T00:00:00"/>
    <x v="11"/>
    <x v="0"/>
    <s v="Đông Bắc Bộ"/>
    <x v="2"/>
    <x v="9"/>
    <n v="87.213954999999999"/>
  </r>
  <r>
    <x v="3"/>
    <s v="ỦY BAN NHÂN DÂN XÃ PHƯỚC TÂN HƯNG"/>
    <x v="0"/>
    <n v="41220000"/>
    <d v="2024-12-01T00:00:00"/>
    <x v="11"/>
    <x v="0"/>
    <s v="ĐB Sông Cửu Long"/>
    <x v="2"/>
    <x v="1"/>
    <n v="41.22"/>
  </r>
  <r>
    <x v="42"/>
    <s v="Ủy Ban Nhân Dân Xã Quài Cang"/>
    <x v="4"/>
    <n v="90454545"/>
    <d v="2024-12-01T00:00:00"/>
    <x v="11"/>
    <x v="0"/>
    <s v="Tây Bắc Bộ"/>
    <x v="2"/>
    <x v="9"/>
    <n v="90.454544999999996"/>
  </r>
  <r>
    <x v="42"/>
    <s v="Ủy Ban Nhân Dân Xã Quài Nưa"/>
    <x v="4"/>
    <n v="90454545"/>
    <d v="2024-12-01T00:00:00"/>
    <x v="11"/>
    <x v="0"/>
    <s v="Tây Bắc Bộ"/>
    <x v="2"/>
    <x v="9"/>
    <n v="90.454544999999996"/>
  </r>
  <r>
    <x v="42"/>
    <s v="Ủy Ban Nhân Dân Xã Quài Tở"/>
    <x v="4"/>
    <n v="90454545"/>
    <d v="2024-12-01T00:00:00"/>
    <x v="11"/>
    <x v="0"/>
    <s v="Tây Bắc Bộ"/>
    <x v="2"/>
    <x v="9"/>
    <n v="90.454544999999996"/>
  </r>
  <r>
    <x v="10"/>
    <s v="ỦY BAN NHÂN DÂN XÃ TAM ANH NAM"/>
    <x v="0"/>
    <n v="66555455"/>
    <d v="2024-12-01T00:00:00"/>
    <x v="11"/>
    <x v="0"/>
    <s v="Duyên hải Nam Trung Bộ"/>
    <x v="2"/>
    <x v="1"/>
    <n v="66.555454999999995"/>
  </r>
  <r>
    <x v="33"/>
    <s v="Uỷ Ban Nhân Dân Xã Tân Hoa"/>
    <x v="0"/>
    <n v="14600000"/>
    <d v="2024-12-01T00:00:00"/>
    <x v="11"/>
    <x v="0"/>
    <s v="Đông Bắc Bộ"/>
    <x v="2"/>
    <x v="5"/>
    <n v="14.6"/>
  </r>
  <r>
    <x v="29"/>
    <s v="ỦY BAN NHÂN DÂN XÃ TÂN HƯƠNG"/>
    <x v="4"/>
    <n v="44975000"/>
    <d v="2024-12-01T00:00:00"/>
    <x v="11"/>
    <x v="0"/>
    <s v="ĐB Sông Cửu Long"/>
    <x v="2"/>
    <x v="9"/>
    <n v="44.975000000000001"/>
  </r>
  <r>
    <x v="47"/>
    <s v="UỶ BAN NHÂN DÂN XÃ THỔ BÌNH"/>
    <x v="4"/>
    <n v="89957362"/>
    <d v="2024-12-01T00:00:00"/>
    <x v="11"/>
    <x v="0"/>
    <s v="Đông Bắc Bộ"/>
    <x v="2"/>
    <x v="9"/>
    <n v="89.957362000000003"/>
  </r>
  <r>
    <x v="3"/>
    <s v="ỦY BAN NHÂN DÂN XÃ THUẬN MỸ"/>
    <x v="0"/>
    <n v="41220000"/>
    <d v="2024-12-01T00:00:00"/>
    <x v="11"/>
    <x v="0"/>
    <s v="ĐB Sông Cửu Long"/>
    <x v="2"/>
    <x v="1"/>
    <n v="41.22"/>
  </r>
  <r>
    <x v="33"/>
    <s v="ỦY BAN NHÂN DÂN XÃ TIẾN THẮNG"/>
    <x v="0"/>
    <n v="8480000"/>
    <d v="2024-12-01T00:00:00"/>
    <x v="11"/>
    <x v="0"/>
    <s v="Đông Bắc Bộ"/>
    <x v="2"/>
    <x v="5"/>
    <n v="8.48"/>
  </r>
  <r>
    <x v="42"/>
    <s v="Ủy Ban Nhân Dân Xã Tỏa Tình"/>
    <x v="4"/>
    <n v="90454545"/>
    <d v="2024-12-01T00:00:00"/>
    <x v="11"/>
    <x v="0"/>
    <s v="Tây Bắc Bộ"/>
    <x v="2"/>
    <x v="9"/>
    <n v="90.454544999999996"/>
  </r>
  <r>
    <x v="15"/>
    <s v="Uỷ Ban Nhân Dân Xã Vạn Phước"/>
    <x v="4"/>
    <n v="18181818"/>
    <d v="2024-12-01T00:00:00"/>
    <x v="11"/>
    <x v="0"/>
    <s v="Duyên hải Nam Trung Bộ"/>
    <x v="2"/>
    <x v="9"/>
    <n v="18.181818"/>
  </r>
  <r>
    <x v="21"/>
    <s v="Ủy Ban Nhân Dân Xã Vô Ngại"/>
    <x v="0"/>
    <n v="299940909"/>
    <d v="2024-12-01T00:00:00"/>
    <x v="11"/>
    <x v="0"/>
    <s v="Đông Bắc Bộ"/>
    <x v="2"/>
    <x v="1"/>
    <n v="299.94090899999998"/>
  </r>
  <r>
    <x v="41"/>
    <s v="UỶ BAN NHÂN DÂN XÃ VŨ NÔNG"/>
    <x v="1"/>
    <n v="79772727"/>
    <d v="2024-12-01T00:00:00"/>
    <x v="11"/>
    <x v="0"/>
    <s v="Đông Bắc Bộ"/>
    <x v="2"/>
    <x v="13"/>
    <n v="79.772727000000003"/>
  </r>
  <r>
    <x v="35"/>
    <s v="Uỷ Ban Nhân Dân Xã Yên Thịnh"/>
    <x v="4"/>
    <n v="36372000"/>
    <d v="2024-12-01T00:00:00"/>
    <x v="11"/>
    <x v="0"/>
    <s v="Đông Bắc Bộ"/>
    <x v="2"/>
    <x v="9"/>
    <n v="36.372"/>
  </r>
  <r>
    <x v="9"/>
    <s v="VĂN PHÒNG ĐĂNG KÝ ĐẤT ĐAI THÀNH PHỐ ĐÀ NẴNG"/>
    <x v="0"/>
    <n v="1071272727"/>
    <d v="2024-12-01T00:00:00"/>
    <x v="11"/>
    <x v="0"/>
    <s v="Duyên hải Nam Trung Bộ"/>
    <x v="2"/>
    <x v="5"/>
    <n v="1071.272727"/>
  </r>
  <r>
    <x v="17"/>
    <s v="VĂN PHÒNG ĐĂNG KÝ ĐẤT ĐAI TỈNH PHÚ YÊN"/>
    <x v="0"/>
    <n v="151272727"/>
    <d v="2024-12-01T00:00:00"/>
    <x v="11"/>
    <x v="0"/>
    <s v="Duyên hải Nam Trung Bộ"/>
    <x v="2"/>
    <x v="5"/>
    <n v="151.272727"/>
  </r>
  <r>
    <x v="47"/>
    <s v="Văn Phòng Đăng Ký Đất Đai Tỉnh Tuyên Quang"/>
    <x v="2"/>
    <n v="14490909"/>
    <d v="2024-12-01T00:00:00"/>
    <x v="11"/>
    <x v="0"/>
    <s v="Đông Bắc Bộ"/>
    <x v="2"/>
    <x v="2"/>
    <n v="14.490909"/>
  </r>
  <r>
    <x v="33"/>
    <s v="VĂN PHÒNG HĐND-UBND HUYỆN HIỆP HÒA"/>
    <x v="1"/>
    <n v="89860000"/>
    <d v="2024-12-01T00:00:00"/>
    <x v="11"/>
    <x v="0"/>
    <s v="Đông Bắc Bộ"/>
    <x v="2"/>
    <x v="7"/>
    <n v="89.86"/>
  </r>
  <r>
    <x v="20"/>
    <s v="VĂN PHÒNG TỈNH ỦY BÌNH THUẬN"/>
    <x v="2"/>
    <n v="10227273"/>
    <d v="2024-12-01T00:00:00"/>
    <x v="11"/>
    <x v="0"/>
    <s v="Duyên hải Nam Trung Bộ"/>
    <x v="2"/>
    <x v="0"/>
    <n v="10.227273"/>
  </r>
  <r>
    <x v="18"/>
    <s v="VIỆN KIỂM SÁT NHÂN DÂN TỈNH ĐĂK NÔNG"/>
    <x v="0"/>
    <n v="310636364"/>
    <d v="2024-12-01T00:00:00"/>
    <x v="11"/>
    <x v="0"/>
    <s v="Tây Nguyên"/>
    <x v="2"/>
    <x v="5"/>
    <n v="310.63636400000001"/>
  </r>
  <r>
    <x v="31"/>
    <s v="PHÂN HIỆU HỌC VIỆN HÀNH CHÍNH QUỐC GIA TẠI TỈNH ĐẮK LẮK"/>
    <x v="0"/>
    <n v="162470000"/>
    <d v="2024-12-01T00:00:00"/>
    <x v="11"/>
    <x v="0"/>
    <s v="Tây Nguyên"/>
    <x v="4"/>
    <x v="5"/>
    <n v="162.47"/>
  </r>
  <r>
    <x v="18"/>
    <s v="TRƯỜNG CAO ĐẲNG CỘNG ĐỒNG ĐẮK NÔNG"/>
    <x v="0"/>
    <n v="384000000"/>
    <d v="2024-12-01T00:00:00"/>
    <x v="11"/>
    <x v="0"/>
    <s v="Tây Nguyên"/>
    <x v="4"/>
    <x v="5"/>
    <n v="384"/>
  </r>
  <r>
    <x v="24"/>
    <s v="TRƯỜNG MẦM NON NAM HƯNG"/>
    <x v="1"/>
    <n v="85402727"/>
    <d v="2024-12-01T00:00:00"/>
    <x v="11"/>
    <x v="0"/>
    <s v="ĐB Sông Hồng"/>
    <x v="4"/>
    <x v="2"/>
    <n v="85.402726999999999"/>
  </r>
  <r>
    <x v="15"/>
    <s v="Trường Mầm Non Ninh Hưng"/>
    <x v="0"/>
    <n v="18731818"/>
    <d v="2024-12-01T00:00:00"/>
    <x v="11"/>
    <x v="0"/>
    <s v="Duyên hải Nam Trung Bộ"/>
    <x v="4"/>
    <x v="0"/>
    <n v="18.731818000000001"/>
  </r>
  <r>
    <x v="0"/>
    <s v="Trường Mầm Non Tân Sơn"/>
    <x v="0"/>
    <n v="12848821"/>
    <d v="2024-12-01T00:00:00"/>
    <x v="11"/>
    <x v="0"/>
    <s v="Bắc Trung Bộ"/>
    <x v="4"/>
    <x v="0"/>
    <n v="12.848820999999999"/>
  </r>
  <r>
    <x v="25"/>
    <s v="Trường Mẫu Giáo Gia Lâm"/>
    <x v="0"/>
    <n v="8500000"/>
    <d v="2024-12-01T00:00:00"/>
    <x v="11"/>
    <x v="0"/>
    <s v="Tây Nguyên"/>
    <x v="4"/>
    <x v="0"/>
    <n v="8.5"/>
  </r>
  <r>
    <x v="41"/>
    <s v="TRƯỜNG PHỔ THÔNG DÂN TỘC BÁN TRÚ TIỂU HỌC VÀ TRUNG HỌC CƠ SỞ QUANG TRỌNG"/>
    <x v="0"/>
    <n v="224556482"/>
    <d v="2024-12-01T00:00:00"/>
    <x v="11"/>
    <x v="0"/>
    <s v="Đông Bắc Bộ"/>
    <x v="4"/>
    <x v="5"/>
    <n v="224.55648199999999"/>
  </r>
  <r>
    <x v="12"/>
    <s v="Trường Ptdtbt Th Khun Há"/>
    <x v="3"/>
    <n v="87676000"/>
    <d v="2024-12-01T00:00:00"/>
    <x v="11"/>
    <x v="0"/>
    <s v="Tây Bắc Bộ"/>
    <x v="4"/>
    <x v="7"/>
    <n v="87.676000000000002"/>
  </r>
  <r>
    <x v="12"/>
    <s v="Trường Ptdtbt Thcs Khun Há"/>
    <x v="3"/>
    <n v="129100000"/>
    <d v="2024-12-01T00:00:00"/>
    <x v="11"/>
    <x v="0"/>
    <s v="Tây Bắc Bộ"/>
    <x v="4"/>
    <x v="7"/>
    <n v="129.1"/>
  </r>
  <r>
    <x v="33"/>
    <s v="Trường Thcs Cao Thượng"/>
    <x v="0"/>
    <n v="21070000"/>
    <d v="2024-12-01T00:00:00"/>
    <x v="11"/>
    <x v="0"/>
    <s v="Đông Bắc Bộ"/>
    <x v="4"/>
    <x v="0"/>
    <n v="21.07"/>
  </r>
  <r>
    <x v="0"/>
    <s v="Trường Thcs Diễn Kim"/>
    <x v="0"/>
    <n v="13568182"/>
    <d v="2024-12-01T00:00:00"/>
    <x v="11"/>
    <x v="0"/>
    <s v="Bắc Trung Bộ"/>
    <x v="4"/>
    <x v="0"/>
    <n v="13.568182"/>
  </r>
  <r>
    <x v="54"/>
    <s v="Trường Thcs Khánh Yên Hạ"/>
    <x v="0"/>
    <n v="166863636"/>
    <d v="2024-12-01T00:00:00"/>
    <x v="11"/>
    <x v="0"/>
    <s v="Tây Bắc Bộ"/>
    <x v="4"/>
    <x v="5"/>
    <n v="166.86363600000001"/>
  </r>
  <r>
    <x v="0"/>
    <s v="TRƯỜNG THCS LONG LỘC"/>
    <x v="0"/>
    <n v="10330409"/>
    <d v="2024-12-01T00:00:00"/>
    <x v="11"/>
    <x v="0"/>
    <s v="Bắc Trung Bộ"/>
    <x v="4"/>
    <x v="0"/>
    <n v="10.330409"/>
  </r>
  <r>
    <x v="49"/>
    <s v="TRƯỜNG THCS NGUYỄN THỊ HAI"/>
    <x v="0"/>
    <n v="17909091"/>
    <d v="2024-12-01T00:00:00"/>
    <x v="11"/>
    <x v="0"/>
    <s v="ĐB Sông Cửu Long"/>
    <x v="4"/>
    <x v="0"/>
    <n v="17.909091"/>
  </r>
  <r>
    <x v="40"/>
    <s v="Trường THPT Nguyễn Văn Hai"/>
    <x v="2"/>
    <n v="54628182"/>
    <d v="2024-12-01T00:00:00"/>
    <x v="11"/>
    <x v="0"/>
    <s v="ĐB Sông Cửu Long"/>
    <x v="4"/>
    <x v="0"/>
    <n v="54.628182000000002"/>
  </r>
  <r>
    <x v="41"/>
    <s v="Trường Tiểu Học &amp; Thcs Đức Quang"/>
    <x v="0"/>
    <n v="114003636"/>
    <d v="2024-12-01T00:00:00"/>
    <x v="11"/>
    <x v="0"/>
    <s v="Đông Bắc Bộ"/>
    <x v="4"/>
    <x v="5"/>
    <n v="114.003636"/>
  </r>
  <r>
    <x v="0"/>
    <s v="TRƯỜNG TIỂU HỌC BẾN THUỶ"/>
    <x v="0"/>
    <n v="26045455"/>
    <d v="2024-12-01T00:00:00"/>
    <x v="11"/>
    <x v="0"/>
    <s v="Bắc Trung Bộ"/>
    <x v="4"/>
    <x v="1"/>
    <n v="26.045455"/>
  </r>
  <r>
    <x v="0"/>
    <s v="Trường Tiểu Học Diễn Kim"/>
    <x v="3"/>
    <n v="78409091"/>
    <d v="2024-12-01T00:00:00"/>
    <x v="11"/>
    <x v="0"/>
    <s v="Bắc Trung Bộ"/>
    <x v="4"/>
    <x v="10"/>
    <n v="78.409091000000004"/>
  </r>
  <r>
    <x v="9"/>
    <s v="Trường Tiểu Học Hoàng Văn Thụ"/>
    <x v="2"/>
    <n v="4659091"/>
    <d v="2024-12-01T00:00:00"/>
    <x v="11"/>
    <x v="0"/>
    <s v="Duyên hải Nam Trung Bộ"/>
    <x v="4"/>
    <x v="2"/>
    <n v="4.6590910000000001"/>
  </r>
  <r>
    <x v="33"/>
    <s v="TRƯỜNG TIỂU HỌC NGỌC LÝ"/>
    <x v="3"/>
    <n v="87760000"/>
    <d v="2024-12-01T00:00:00"/>
    <x v="11"/>
    <x v="0"/>
    <s v="Đông Bắc Bộ"/>
    <x v="4"/>
    <x v="7"/>
    <n v="87.76"/>
  </r>
  <r>
    <x v="30"/>
    <s v="TRƯỜNG TIỂU HỌC QUANG TRUNG"/>
    <x v="3"/>
    <n v="77727273"/>
    <d v="2024-12-01T00:00:00"/>
    <x v="11"/>
    <x v="0"/>
    <s v="ĐB Sông Cửu Long"/>
    <x v="4"/>
    <x v="8"/>
    <n v="77.727272999999997"/>
  </r>
  <r>
    <x v="0"/>
    <s v="Trường Tiểu Học Quỳnh Hưng"/>
    <x v="0"/>
    <n v="35904545"/>
    <d v="2024-12-01T00:00:00"/>
    <x v="11"/>
    <x v="0"/>
    <s v="Bắc Trung Bộ"/>
    <x v="4"/>
    <x v="1"/>
    <n v="35.904544999999999"/>
  </r>
  <r>
    <x v="0"/>
    <s v="TRƯỜNG TIỂU HỌC QUỲNH THANH B"/>
    <x v="0"/>
    <n v="39618182"/>
    <d v="2024-12-01T00:00:00"/>
    <x v="11"/>
    <x v="0"/>
    <s v="Bắc Trung Bộ"/>
    <x v="4"/>
    <x v="0"/>
    <n v="39.618181999999997"/>
  </r>
  <r>
    <x v="54"/>
    <s v="TRƯỜNG TIỂU HỌC SỐ 1 KHÁNH YÊN HẠ"/>
    <x v="0"/>
    <n v="152632727"/>
    <d v="2024-12-01T00:00:00"/>
    <x v="11"/>
    <x v="0"/>
    <s v="Tây Bắc Bộ"/>
    <x v="4"/>
    <x v="5"/>
    <n v="152.63272699999999"/>
  </r>
  <r>
    <x v="6"/>
    <s v="Trường Tiểu Học Tân Dân"/>
    <x v="0"/>
    <n v="5816364"/>
    <d v="2024-12-01T00:00:00"/>
    <x v="11"/>
    <x v="0"/>
    <s v="Đông Bắc Bộ"/>
    <x v="4"/>
    <x v="5"/>
    <n v="5.8163640000000001"/>
  </r>
  <r>
    <x v="52"/>
    <s v="TRƯỜNG TIỂU HỌC THỊ CẦU"/>
    <x v="0"/>
    <n v="44350000"/>
    <d v="2024-12-01T00:00:00"/>
    <x v="11"/>
    <x v="0"/>
    <s v="ĐB Sông Hồng"/>
    <x v="4"/>
    <x v="0"/>
    <n v="44.35"/>
  </r>
  <r>
    <x v="42"/>
    <s v="Trường Tiểu Học Thị Trấn Điện Biên Đông"/>
    <x v="0"/>
    <n v="16350000"/>
    <d v="2024-12-01T00:00:00"/>
    <x v="11"/>
    <x v="0"/>
    <s v="Tây Bắc Bộ"/>
    <x v="4"/>
    <x v="0"/>
    <n v="16.350000000000001"/>
  </r>
  <r>
    <x v="41"/>
    <s v="TRƯỜNG TIỂU HỌC VÀ TRUNG HỌC CƠ SỞ LÊ LỢI"/>
    <x v="0"/>
    <n v="276280264"/>
    <d v="2024-12-01T00:00:00"/>
    <x v="11"/>
    <x v="0"/>
    <s v="Đông Bắc Bộ"/>
    <x v="4"/>
    <x v="5"/>
    <n v="276.28026399999999"/>
  </r>
  <r>
    <x v="41"/>
    <s v="TRƯỜNG TIỂU HỌC VÀ TRUNG HỌC CƠ SỞ THỤY HÙNG"/>
    <x v="0"/>
    <n v="180562691"/>
    <d v="2024-12-01T00:00:00"/>
    <x v="11"/>
    <x v="0"/>
    <s v="Đông Bắc Bộ"/>
    <x v="4"/>
    <x v="5"/>
    <n v="180.562691"/>
  </r>
  <r>
    <x v="41"/>
    <s v="Trường Tiểu Học Và Trung Học Cơ Sở Trọng Con"/>
    <x v="0"/>
    <n v="341145455"/>
    <d v="2024-12-01T00:00:00"/>
    <x v="11"/>
    <x v="0"/>
    <s v="Đông Bắc Bộ"/>
    <x v="4"/>
    <x v="5"/>
    <n v="341.14545500000003"/>
  </r>
  <r>
    <x v="6"/>
    <s v="TRƯỜNG TIỂU HỌC VÕ MIẾU 2"/>
    <x v="1"/>
    <n v="45300620"/>
    <d v="2024-12-01T00:00:00"/>
    <x v="11"/>
    <x v="0"/>
    <s v="Đông Bắc Bộ"/>
    <x v="4"/>
    <x v="8"/>
    <n v="45.300620000000002"/>
  </r>
  <r>
    <x v="40"/>
    <s v="Trường Trung Học Cơ Sở Hòa Ân"/>
    <x v="0"/>
    <n v="26363636"/>
    <d v="2024-12-01T00:00:00"/>
    <x v="11"/>
    <x v="0"/>
    <s v="ĐB Sông Cửu Long"/>
    <x v="4"/>
    <x v="5"/>
    <n v="26.363636"/>
  </r>
  <r>
    <x v="10"/>
    <s v="TRƯỜNG TRUNG HỌC CƠ SỞ HUỲNH THÚC KHÁNG"/>
    <x v="0"/>
    <n v="1901645455"/>
    <d v="2024-12-01T00:00:00"/>
    <x v="11"/>
    <x v="0"/>
    <s v="Duyên hải Nam Trung Bộ"/>
    <x v="4"/>
    <x v="5"/>
    <n v="1901.6454550000001"/>
  </r>
  <r>
    <x v="41"/>
    <s v="TRƯỜNG TRUNG HỌC CƠ SỞ KIM ĐỒNG"/>
    <x v="0"/>
    <n v="244402391"/>
    <d v="2024-12-01T00:00:00"/>
    <x v="11"/>
    <x v="0"/>
    <s v="Đông Bắc Bộ"/>
    <x v="4"/>
    <x v="5"/>
    <n v="244.40239099999999"/>
  </r>
  <r>
    <x v="10"/>
    <s v="TRƯỜNG TRUNG HỌC CƠ SỞ LÊ HỒNG PHONG"/>
    <x v="0"/>
    <n v="1122290682"/>
    <d v="2024-12-01T00:00:00"/>
    <x v="11"/>
    <x v="0"/>
    <s v="Duyên hải Nam Trung Bộ"/>
    <x v="4"/>
    <x v="5"/>
    <n v="1122.2906820000001"/>
  </r>
  <r>
    <x v="10"/>
    <s v="TRƯỜNG TRUNG HỌC CƠ SỞ NGUYỄN HUỆ"/>
    <x v="0"/>
    <n v="723190909"/>
    <d v="2024-12-01T00:00:00"/>
    <x v="11"/>
    <x v="0"/>
    <s v="Duyên hải Nam Trung Bộ"/>
    <x v="4"/>
    <x v="5"/>
    <n v="723.19090900000003"/>
  </r>
  <r>
    <x v="0"/>
    <s v="Trường Trung Học Cơ Sở Quỳnh Long"/>
    <x v="0"/>
    <n v="39254545"/>
    <d v="2024-12-01T00:00:00"/>
    <x v="11"/>
    <x v="0"/>
    <s v="Bắc Trung Bộ"/>
    <x v="4"/>
    <x v="0"/>
    <n v="39.2545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99">
  <r>
    <s v="NAN"/>
    <s v="BỆNH VIỆN ĐA KHOA DIỄN CHÂU"/>
    <s v="ICT"/>
    <n v="29360909"/>
    <d v="2024-01-01T00:00:00"/>
    <n v="1"/>
    <n v="2024"/>
    <s v="Bắc Trung Bộ"/>
    <s v="Bệnh viện"/>
    <x v="0"/>
    <s v="A"/>
    <n v="29.360908999999999"/>
  </r>
  <r>
    <s v="BDH"/>
    <s v="BỆNH VIỆN ĐA KHOA TỈNH BÌNH ĐỊNH"/>
    <s v="ICT"/>
    <n v="8842364"/>
    <d v="2024-01-01T00:00:00"/>
    <n v="1"/>
    <n v="2024"/>
    <s v="Duyên hải Nam Trung Bộ"/>
    <s v="Bệnh viện"/>
    <x v="1"/>
    <s v="B"/>
    <n v="8.8423639999999999"/>
  </r>
  <r>
    <s v="CTO"/>
    <s v="BỆNH VIỆN QUÂN Y 121"/>
    <s v="ME"/>
    <n v="81100000"/>
    <d v="2024-01-01T00:00:00"/>
    <n v="1"/>
    <n v="2024"/>
    <s v="ĐB Sông Cửu Long"/>
    <s v="Bệnh viện"/>
    <x v="0"/>
    <s v="C"/>
    <n v="81.099999999999994"/>
  </r>
  <r>
    <s v="LAN"/>
    <s v="Công ty 1"/>
    <s v="ICT"/>
    <n v="45000000"/>
    <d v="2024-01-01T00:00:00"/>
    <n v="1"/>
    <n v="2024"/>
    <s v="ĐB Sông Cửu Long"/>
    <s v="Doanh nghiệp"/>
    <x v="1"/>
    <s v="B"/>
    <n v="45"/>
  </r>
  <r>
    <s v="TNH"/>
    <s v="Công ty 6"/>
    <s v="ICT"/>
    <n v="79329245"/>
    <d v="2024-01-01T00:00:00"/>
    <n v="1"/>
    <n v="2024"/>
    <s v="Đông Nam Bộ"/>
    <s v="Doanh nghiệp"/>
    <x v="0"/>
    <s v="A"/>
    <n v="79.329245"/>
  </r>
  <r>
    <s v="BPC"/>
    <s v="Công ty 7"/>
    <s v="ICT"/>
    <n v="14434041"/>
    <d v="2024-01-01T00:00:00"/>
    <n v="1"/>
    <n v="2024"/>
    <s v="Đông Nam Bộ"/>
    <s v="Doanh nghiệp"/>
    <x v="1"/>
    <s v="A"/>
    <n v="14.434041000000001"/>
  </r>
  <r>
    <s v="BPC"/>
    <s v="Công ty 8"/>
    <s v="ICT"/>
    <n v="21437000"/>
    <d v="2024-01-01T00:00:00"/>
    <n v="1"/>
    <n v="2024"/>
    <s v="Đông Nam Bộ"/>
    <s v="Doanh nghiệp"/>
    <x v="0"/>
    <s v="A"/>
    <n v="21.437000000000001"/>
  </r>
  <r>
    <s v="PTO"/>
    <s v="Công ty 16"/>
    <s v="ICT"/>
    <n v="108855000"/>
    <d v="2024-01-01T00:00:00"/>
    <n v="1"/>
    <n v="2024"/>
    <s v="Đông Bắc Bộ"/>
    <s v="Doanh nghiệp"/>
    <x v="1"/>
    <s v="B"/>
    <n v="108.855"/>
  </r>
  <r>
    <s v="BPC"/>
    <s v="Công ty 19"/>
    <s v="DVKT"/>
    <n v="8925620"/>
    <d v="2024-01-01T00:00:00"/>
    <n v="1"/>
    <n v="2024"/>
    <s v="Đông Nam Bộ"/>
    <s v="Doanh nghiệp"/>
    <x v="0"/>
    <s v="D"/>
    <n v="8.9256200000000003"/>
  </r>
  <r>
    <s v="BPC"/>
    <s v="Công ty 22"/>
    <s v="DVKT"/>
    <n v="8925620"/>
    <d v="2024-01-01T00:00:00"/>
    <n v="1"/>
    <n v="2024"/>
    <s v="Đông Nam Bộ"/>
    <s v="Doanh nghiệp"/>
    <x v="1"/>
    <s v="D"/>
    <n v="8.9256200000000003"/>
  </r>
  <r>
    <s v="BPC"/>
    <s v="Công ty 30"/>
    <s v="DVKT"/>
    <n v="8925620"/>
    <d v="2024-01-01T00:00:00"/>
    <n v="1"/>
    <n v="2024"/>
    <s v="Đông Nam Bộ"/>
    <s v="Doanh nghiệp"/>
    <x v="0"/>
    <s v="D"/>
    <n v="8.9256200000000003"/>
  </r>
  <r>
    <s v="QBH"/>
    <s v="Công ty 31"/>
    <s v="DVKT"/>
    <n v="29880000"/>
    <d v="2024-01-01T00:00:00"/>
    <n v="1"/>
    <n v="2024"/>
    <s v="Bắc Trung Bộ"/>
    <s v="Doanh nghiệp"/>
    <x v="1"/>
    <s v="E"/>
    <n v="29.88"/>
  </r>
  <r>
    <s v="VTU"/>
    <s v="Công ty 50"/>
    <s v="ICT"/>
    <n v="97927923"/>
    <d v="2024-01-01T00:00:00"/>
    <n v="1"/>
    <n v="2024"/>
    <s v="Đông Nam Bộ"/>
    <s v="Doanh nghiệp"/>
    <x v="0"/>
    <s v="F"/>
    <n v="97.927923000000007"/>
  </r>
  <r>
    <s v="DNG"/>
    <s v="Công ty 60"/>
    <s v="ICT"/>
    <n v="203636364"/>
    <d v="2024-01-01T00:00:00"/>
    <n v="1"/>
    <n v="2024"/>
    <s v="Duyên hải Nam Trung Bộ"/>
    <s v="Doanh nghiệp"/>
    <x v="1"/>
    <s v="G"/>
    <n v="203.63636399999999"/>
  </r>
  <r>
    <s v="BPC"/>
    <s v="Công ty 81"/>
    <s v="ICT"/>
    <n v="31123636"/>
    <d v="2024-01-01T00:00:00"/>
    <n v="1"/>
    <n v="2024"/>
    <s v="Đông Nam Bộ"/>
    <s v="Doanh nghiệp"/>
    <x v="0"/>
    <s v="A"/>
    <n v="31.123636000000001"/>
  </r>
  <r>
    <s v="QBH"/>
    <s v="Công ty 82"/>
    <s v="DVKT"/>
    <n v="227340000"/>
    <d v="2024-01-01T00:00:00"/>
    <n v="1"/>
    <n v="2024"/>
    <s v="Bắc Trung Bộ"/>
    <s v="Doanh nghiệp"/>
    <x v="1"/>
    <s v="E"/>
    <n v="227.34"/>
  </r>
  <r>
    <s v="QNM"/>
    <s v="Công ty 86"/>
    <s v="ME"/>
    <n v="10094194677"/>
    <d v="2024-01-01T00:00:00"/>
    <n v="1"/>
    <n v="2024"/>
    <s v="Duyên hải Nam Trung Bộ"/>
    <s v="Doanh nghiệp"/>
    <x v="0"/>
    <s v="C"/>
    <n v="10094.194677"/>
  </r>
  <r>
    <s v="HCM"/>
    <s v="Công ty 91"/>
    <s v="DVKT"/>
    <n v="42237779"/>
    <d v="2024-01-01T00:00:00"/>
    <n v="1"/>
    <n v="2024"/>
    <s v="Đông Nam Bộ"/>
    <s v="Doanh nghiệp"/>
    <x v="1"/>
    <s v="H"/>
    <n v="42.237779000000003"/>
  </r>
  <r>
    <s v="LCU"/>
    <s v="Công ty 97"/>
    <s v="ME"/>
    <n v="106719727"/>
    <d v="2024-01-01T00:00:00"/>
    <n v="1"/>
    <n v="2024"/>
    <s v="Tây Bắc Bộ"/>
    <s v="Doanh nghiệp"/>
    <x v="0"/>
    <s v="C"/>
    <n v="106.71972700000001"/>
  </r>
  <r>
    <s v="YBI"/>
    <s v="Công ty 13"/>
    <s v="DVKT"/>
    <n v="206265000"/>
    <d v="2024-01-01T00:00:00"/>
    <n v="1"/>
    <n v="2024"/>
    <s v="Tây Bắc Bộ"/>
    <s v="Doanh nghiệp"/>
    <x v="1"/>
    <s v="A"/>
    <n v="206.26499999999999"/>
  </r>
  <r>
    <s v="HNI"/>
    <s v="Công ty 17"/>
    <s v="Smarthome"/>
    <n v="65300000"/>
    <d v="2024-01-01T00:00:00"/>
    <n v="1"/>
    <n v="2024"/>
    <s v="ĐB Sông Hồng"/>
    <s v="Doanh nghiệp"/>
    <x v="0"/>
    <s v="I"/>
    <n v="65.3"/>
  </r>
  <r>
    <s v="HNI"/>
    <s v="Công ty 18"/>
    <s v="Smarthome"/>
    <n v="65300000"/>
    <d v="2024-01-01T00:00:00"/>
    <n v="1"/>
    <n v="2024"/>
    <s v="ĐB Sông Hồng"/>
    <s v="Doanh nghiệp"/>
    <x v="1"/>
    <s v="I"/>
    <n v="65.3"/>
  </r>
  <r>
    <s v="KHA"/>
    <s v="Công ty 19"/>
    <s v="ME"/>
    <n v="152554318"/>
    <d v="2024-01-01T00:00:00"/>
    <n v="1"/>
    <n v="2024"/>
    <s v="Duyên hải Nam Trung Bộ"/>
    <s v="Doanh nghiệp"/>
    <x v="0"/>
    <s v="C"/>
    <n v="152.55431799999999"/>
  </r>
  <r>
    <s v="HNM"/>
    <s v="Công ty 21"/>
    <s v="ICT"/>
    <n v="11087273"/>
    <d v="2024-01-01T00:00:00"/>
    <n v="1"/>
    <n v="2024"/>
    <s v="ĐB Sông Hồng"/>
    <s v="Doanh nghiệp"/>
    <x v="1"/>
    <s v="A"/>
    <n v="11.087273"/>
  </r>
  <r>
    <s v="KHA"/>
    <s v="Công ty 32"/>
    <s v="NLMT"/>
    <n v="28272727"/>
    <d v="2024-01-01T00:00:00"/>
    <n v="1"/>
    <n v="2024"/>
    <s v="Duyên hải Nam Trung Bộ"/>
    <s v="Doanh nghiệp"/>
    <x v="0"/>
    <s v="D"/>
    <n v="28.272727"/>
  </r>
  <r>
    <s v="PYN"/>
    <s v="Công ty 37"/>
    <s v="ICT"/>
    <n v="14600000"/>
    <d v="2024-01-01T00:00:00"/>
    <n v="1"/>
    <n v="2024"/>
    <s v="Duyên hải Nam Trung Bộ"/>
    <s v="Doanh nghiệp"/>
    <x v="1"/>
    <s v="B"/>
    <n v="14.6"/>
  </r>
  <r>
    <s v="DCN"/>
    <s v="Công ty 38"/>
    <s v="NLMT"/>
    <n v="97090909"/>
    <d v="2024-01-01T00:00:00"/>
    <n v="1"/>
    <n v="2024"/>
    <s v="Tây Nguyên"/>
    <s v="Doanh nghiệp"/>
    <x v="0"/>
    <s v="K"/>
    <n v="97.090908999999996"/>
  </r>
  <r>
    <s v="NTN"/>
    <s v="Công ty 44"/>
    <s v="ME"/>
    <n v="56136364"/>
    <d v="2024-01-01T00:00:00"/>
    <n v="1"/>
    <n v="2024"/>
    <s v="Duyên hải Nam Trung Bộ"/>
    <s v="Doanh nghiệp"/>
    <x v="1"/>
    <s v="L"/>
    <n v="56.136364"/>
  </r>
  <r>
    <s v="QBH"/>
    <s v="Công ty 53"/>
    <s v="DVKT"/>
    <n v="29880000"/>
    <d v="2024-01-01T00:00:00"/>
    <n v="1"/>
    <n v="2024"/>
    <s v="Bắc Trung Bộ"/>
    <s v="Doanh nghiệp"/>
    <x v="0"/>
    <s v="E"/>
    <n v="29.88"/>
  </r>
  <r>
    <s v="BTN"/>
    <s v="Công ty 84"/>
    <s v="DVKT"/>
    <n v="68485327"/>
    <d v="2024-01-01T00:00:00"/>
    <n v="1"/>
    <n v="2024"/>
    <s v="Duyên hải Nam Trung Bộ"/>
    <s v="Doanh nghiệp"/>
    <x v="1"/>
    <s v="A"/>
    <n v="68.485326999999998"/>
  </r>
  <r>
    <s v="QNH"/>
    <s v="Công ty 33"/>
    <s v="DVKT"/>
    <n v="284518490"/>
    <d v="2024-01-01T00:00:00"/>
    <n v="1"/>
    <n v="2024"/>
    <s v="Đông Bắc Bộ"/>
    <s v="Doanh nghiệp"/>
    <x v="0"/>
    <s v="A"/>
    <n v="284.51848999999999"/>
  </r>
  <r>
    <s v="LAN"/>
    <s v="Công ty 45"/>
    <s v="ME"/>
    <n v="155513400"/>
    <d v="2024-01-01T00:00:00"/>
    <n v="1"/>
    <n v="2024"/>
    <s v="ĐB Sông Cửu Long"/>
    <s v="Doanh nghiệp"/>
    <x v="1"/>
    <s v="C"/>
    <n v="155.51339999999999"/>
  </r>
  <r>
    <s v="DNG"/>
    <s v="Công ty 51"/>
    <s v="ICT"/>
    <n v="41307273"/>
    <d v="2024-01-01T00:00:00"/>
    <n v="1"/>
    <n v="2024"/>
    <s v="Duyên hải Nam Trung Bộ"/>
    <s v="Doanh nghiệp"/>
    <x v="0"/>
    <s v="B"/>
    <n v="41.307273000000002"/>
  </r>
  <r>
    <s v="HUE"/>
    <s v="Công ty 52"/>
    <s v="ME"/>
    <n v="113200000"/>
    <d v="2024-01-01T00:00:00"/>
    <n v="1"/>
    <n v="2024"/>
    <s v="Bắc Trung Bộ"/>
    <s v="Doanh nghiệp"/>
    <x v="1"/>
    <s v="M"/>
    <n v="113.2"/>
  </r>
  <r>
    <s v="PTO"/>
    <s v="Công ty 54"/>
    <s v="DVKT"/>
    <n v="203813527"/>
    <d v="2024-01-01T00:00:00"/>
    <n v="1"/>
    <n v="2024"/>
    <s v="Đông Bắc Bộ"/>
    <s v="Doanh nghiệp"/>
    <x v="0"/>
    <s v="B"/>
    <n v="203.81352699999999"/>
  </r>
  <r>
    <s v="LCU"/>
    <s v="Công ty 58"/>
    <s v="ICT"/>
    <n v="19908100"/>
    <d v="2024-01-01T00:00:00"/>
    <n v="1"/>
    <n v="2024"/>
    <s v="Tây Bắc Bộ"/>
    <s v="Doanh nghiệp"/>
    <x v="1"/>
    <s v="B"/>
    <n v="19.908100000000001"/>
  </r>
  <r>
    <s v="HNI"/>
    <s v="Công ty 62"/>
    <s v="DVKT"/>
    <n v="72313000"/>
    <d v="2024-01-01T00:00:00"/>
    <n v="1"/>
    <n v="2024"/>
    <s v="ĐB Sông Hồng"/>
    <s v="Doanh nghiệp"/>
    <x v="0"/>
    <s v="C"/>
    <n v="72.313000000000002"/>
  </r>
  <r>
    <s v="NAN"/>
    <s v="Công ty 81"/>
    <s v="ME"/>
    <n v="31784545"/>
    <d v="2024-01-01T00:00:00"/>
    <n v="1"/>
    <n v="2024"/>
    <s v="Bắc Trung Bộ"/>
    <s v="Doanh nghiệp"/>
    <x v="1"/>
    <s v="C"/>
    <n v="31.784545000000001"/>
  </r>
  <r>
    <s v="QNH"/>
    <s v="Công ty 82"/>
    <s v="DVKT"/>
    <n v="54332970"/>
    <d v="2024-01-01T00:00:00"/>
    <n v="1"/>
    <n v="2024"/>
    <s v="Đông Bắc Bộ"/>
    <s v="Doanh nghiệp"/>
    <x v="0"/>
    <s v="M"/>
    <n v="54.332970000000003"/>
  </r>
  <r>
    <s v="QNI"/>
    <s v="Công ty 97"/>
    <s v="DVKT"/>
    <n v="95379551"/>
    <d v="2024-01-01T00:00:00"/>
    <n v="1"/>
    <n v="2024"/>
    <s v="Duyên hải Nam Trung Bộ"/>
    <s v="Doanh nghiệp"/>
    <x v="1"/>
    <s v="C"/>
    <n v="95.379551000000006"/>
  </r>
  <r>
    <s v="PYN"/>
    <s v="Công ty 4"/>
    <s v="ICT"/>
    <n v="24732727"/>
    <d v="2024-01-01T00:00:00"/>
    <n v="1"/>
    <n v="2024"/>
    <s v="Duyên hải Nam Trung Bộ"/>
    <s v="Doanh nghiệp"/>
    <x v="0"/>
    <s v="B"/>
    <n v="24.732727000000001"/>
  </r>
  <r>
    <s v="TBH"/>
    <s v="Công ty 6"/>
    <s v="ME"/>
    <n v="117938000"/>
    <d v="2024-01-01T00:00:00"/>
    <n v="1"/>
    <n v="2024"/>
    <s v="ĐB Sông Hồng"/>
    <s v="Doanh nghiệp"/>
    <x v="1"/>
    <s v="C"/>
    <n v="117.938"/>
  </r>
  <r>
    <s v="DNG"/>
    <s v="Công ty 27"/>
    <s v="ICT"/>
    <n v="35550000"/>
    <d v="2024-01-01T00:00:00"/>
    <n v="1"/>
    <n v="2024"/>
    <s v="Duyên hải Nam Trung Bộ"/>
    <s v="Doanh nghiệp"/>
    <x v="0"/>
    <s v="B"/>
    <n v="35.549999999999997"/>
  </r>
  <r>
    <s v="VTU"/>
    <s v="Công ty 30"/>
    <s v="ME"/>
    <n v="29150000"/>
    <d v="2024-01-01T00:00:00"/>
    <n v="1"/>
    <n v="2024"/>
    <s v="Đông Nam Bộ"/>
    <s v="Doanh nghiệp"/>
    <x v="1"/>
    <s v="L"/>
    <n v="29.15"/>
  </r>
  <r>
    <s v="LDG"/>
    <s v="Công ty 38"/>
    <s v="DVKT"/>
    <n v="12760000"/>
    <d v="2024-01-01T00:00:00"/>
    <n v="1"/>
    <n v="2024"/>
    <s v="Tây Nguyên"/>
    <s v="Doanh nghiệp"/>
    <x v="0"/>
    <s v="A"/>
    <n v="12.76"/>
  </r>
  <r>
    <s v="BDG"/>
    <s v="Công ty 45"/>
    <s v="DVKT"/>
    <n v="2385573085"/>
    <d v="2024-01-01T00:00:00"/>
    <n v="1"/>
    <n v="2024"/>
    <s v="Đông Nam Bộ"/>
    <s v="Doanh nghiệp"/>
    <x v="1"/>
    <s v="A"/>
    <n v="2385.573085"/>
  </r>
  <r>
    <s v="BDH"/>
    <s v="Công ty 47"/>
    <s v="ICT"/>
    <n v="252495455"/>
    <d v="2024-01-01T00:00:00"/>
    <n v="1"/>
    <n v="2024"/>
    <s v="Duyên hải Nam Trung Bộ"/>
    <s v="Doanh nghiệp"/>
    <x v="0"/>
    <s v="A"/>
    <n v="252.49545499999999"/>
  </r>
  <r>
    <s v="HNI"/>
    <s v="Công ty 50"/>
    <s v="ME"/>
    <n v="39260909"/>
    <d v="2024-01-01T00:00:00"/>
    <n v="1"/>
    <n v="2024"/>
    <s v="ĐB Sông Hồng"/>
    <s v="Doanh nghiệp"/>
    <x v="1"/>
    <s v="C"/>
    <n v="39.260908999999998"/>
  </r>
  <r>
    <s v="HNM"/>
    <s v="Công ty 63"/>
    <s v="ICT"/>
    <n v="65493000"/>
    <d v="2024-01-01T00:00:00"/>
    <n v="1"/>
    <n v="2024"/>
    <s v="ĐB Sông Hồng"/>
    <s v="Doanh nghiệp"/>
    <x v="0"/>
    <s v="B"/>
    <n v="65.492999999999995"/>
  </r>
  <r>
    <s v="NAN"/>
    <s v="Công ty 69"/>
    <s v="ICT"/>
    <n v="679344091"/>
    <d v="2024-01-01T00:00:00"/>
    <n v="1"/>
    <n v="2024"/>
    <s v="Bắc Trung Bộ"/>
    <s v="Doanh nghiệp"/>
    <x v="1"/>
    <s v="F"/>
    <n v="679.34409100000005"/>
  </r>
  <r>
    <s v="NAN"/>
    <s v="Công ty 70"/>
    <s v="ICT"/>
    <n v="1253945255"/>
    <d v="2024-01-01T00:00:00"/>
    <n v="1"/>
    <n v="2024"/>
    <s v="Bắc Trung Bộ"/>
    <s v="Doanh nghiệp"/>
    <x v="0"/>
    <s v="F"/>
    <n v="1253.9452550000001"/>
  </r>
  <r>
    <s v="LDG"/>
    <s v="Công ty 8"/>
    <s v="DVKT"/>
    <n v="37200000"/>
    <d v="2024-01-01T00:00:00"/>
    <n v="1"/>
    <n v="2024"/>
    <s v="Tây Nguyên"/>
    <s v="Doanh nghiệp"/>
    <x v="1"/>
    <s v="A"/>
    <n v="37.200000000000003"/>
  </r>
  <r>
    <s v="HTH"/>
    <s v="Công ty 11"/>
    <s v="ICT"/>
    <n v="13952108"/>
    <d v="2024-01-01T00:00:00"/>
    <n v="1"/>
    <n v="2024"/>
    <s v="Bắc Trung Bộ"/>
    <s v="Doanh nghiệp"/>
    <x v="0"/>
    <s v="B"/>
    <n v="13.952108000000001"/>
  </r>
  <r>
    <s v="HTH"/>
    <s v="Công ty 13"/>
    <s v="ICT"/>
    <n v="17100000"/>
    <d v="2024-01-01T00:00:00"/>
    <n v="1"/>
    <n v="2024"/>
    <s v="Bắc Trung Bộ"/>
    <s v="Doanh nghiệp"/>
    <x v="1"/>
    <s v="F"/>
    <n v="17.100000000000001"/>
  </r>
  <r>
    <s v="HDG"/>
    <s v="Công ty 69"/>
    <s v="ME"/>
    <n v="412363636"/>
    <d v="2024-01-01T00:00:00"/>
    <n v="1"/>
    <n v="2024"/>
    <s v="ĐB Sông Hồng"/>
    <s v="Doanh nghiệp"/>
    <x v="0"/>
    <s v="N"/>
    <n v="412.36363599999999"/>
  </r>
  <r>
    <s v="PYN"/>
    <s v="Công ty 74"/>
    <s v="ICT"/>
    <n v="15918182"/>
    <d v="2024-01-01T00:00:00"/>
    <n v="1"/>
    <n v="2024"/>
    <s v="Duyên hải Nam Trung Bộ"/>
    <s v="Doanh nghiệp"/>
    <x v="1"/>
    <s v="B"/>
    <n v="15.918182"/>
  </r>
  <r>
    <s v="TGG"/>
    <s v="Công ty 83"/>
    <s v="ICT"/>
    <n v="26267727"/>
    <d v="2024-01-01T00:00:00"/>
    <n v="1"/>
    <n v="2024"/>
    <s v="ĐB Sông Cửu Long"/>
    <s v="Doanh nghiệp"/>
    <x v="0"/>
    <s v="A"/>
    <n v="26.267727000000001"/>
  </r>
  <r>
    <s v="BPC"/>
    <s v="Công ty 94"/>
    <s v="ICT"/>
    <n v="19546182"/>
    <d v="2024-01-01T00:00:00"/>
    <n v="1"/>
    <n v="2024"/>
    <s v="Đông Nam Bộ"/>
    <s v="Doanh nghiệp"/>
    <x v="1"/>
    <s v="A"/>
    <n v="19.546182000000002"/>
  </r>
  <r>
    <s v="BPC"/>
    <s v="Công ty 95"/>
    <s v="NLMT"/>
    <n v="56247273"/>
    <d v="2024-01-01T00:00:00"/>
    <n v="1"/>
    <n v="2024"/>
    <s v="Đông Nam Bộ"/>
    <s v="Doanh nghiệp"/>
    <x v="0"/>
    <s v="D"/>
    <n v="56.247273"/>
  </r>
  <r>
    <s v="TGG"/>
    <s v="Công ty 32"/>
    <s v="ICT"/>
    <n v="27697628"/>
    <d v="2024-01-01T00:00:00"/>
    <n v="1"/>
    <n v="2024"/>
    <s v="ĐB Sông Cửu Long"/>
    <s v="Doanh nghiệp"/>
    <x v="1"/>
    <s v="B"/>
    <n v="27.697628000000002"/>
  </r>
  <r>
    <s v="NAN"/>
    <s v="Công ty 33"/>
    <s v="ICT"/>
    <n v="23721364"/>
    <d v="2024-01-01T00:00:00"/>
    <n v="1"/>
    <n v="2024"/>
    <s v="Bắc Trung Bộ"/>
    <s v="Doanh nghiệp"/>
    <x v="0"/>
    <s v="A"/>
    <n v="23.721364000000001"/>
  </r>
  <r>
    <s v="NAN"/>
    <s v="Công ty 34"/>
    <s v="ICT"/>
    <n v="26814091"/>
    <d v="2024-01-01T00:00:00"/>
    <n v="1"/>
    <n v="2024"/>
    <s v="Bắc Trung Bộ"/>
    <s v="Doanh nghiệp"/>
    <x v="1"/>
    <s v="A"/>
    <n v="26.814091000000001"/>
  </r>
  <r>
    <s v="AGG"/>
    <s v="Công ty 36"/>
    <s v="ME"/>
    <n v="29245455"/>
    <d v="2024-01-01T00:00:00"/>
    <n v="1"/>
    <n v="2024"/>
    <s v="ĐB Sông Cửu Long"/>
    <s v="Doanh nghiệp"/>
    <x v="0"/>
    <s v="O"/>
    <n v="29.245455"/>
  </r>
  <r>
    <s v="DLK"/>
    <s v="Công ty 40"/>
    <s v="ICT"/>
    <n v="13411818"/>
    <d v="2024-01-01T00:00:00"/>
    <n v="1"/>
    <n v="2024"/>
    <s v="Tây Nguyên"/>
    <s v="Doanh nghiệp"/>
    <x v="1"/>
    <s v="B"/>
    <n v="13.411818"/>
  </r>
  <r>
    <s v="DTP"/>
    <s v="Công ty 47"/>
    <s v="ME"/>
    <n v="139454545"/>
    <d v="2024-01-01T00:00:00"/>
    <n v="1"/>
    <n v="2024"/>
    <s v="ĐB Sông Cửu Long"/>
    <s v="Doanh nghiệp"/>
    <x v="0"/>
    <s v="O"/>
    <n v="139.454545"/>
  </r>
  <r>
    <s v="LDG"/>
    <s v="Công ty 54"/>
    <s v="ICT"/>
    <n v="20057000"/>
    <d v="2024-01-01T00:00:00"/>
    <n v="1"/>
    <n v="2024"/>
    <s v="Tây Nguyên"/>
    <s v="Doanh nghiệp"/>
    <x v="1"/>
    <s v="B"/>
    <n v="20.056999999999999"/>
  </r>
  <r>
    <s v="NAN"/>
    <s v="Công ty 65"/>
    <s v="ICT"/>
    <n v="54545455"/>
    <d v="2024-01-01T00:00:00"/>
    <n v="1"/>
    <n v="2024"/>
    <s v="Bắc Trung Bộ"/>
    <s v="Doanh nghiệp"/>
    <x v="0"/>
    <s v="P"/>
    <n v="54.545454999999997"/>
  </r>
  <r>
    <s v="NAN"/>
    <s v="Công ty 70"/>
    <s v="ICT"/>
    <n v="85653011"/>
    <d v="2024-01-01T00:00:00"/>
    <n v="1"/>
    <n v="2024"/>
    <s v="Bắc Trung Bộ"/>
    <s v="Doanh nghiệp"/>
    <x v="1"/>
    <s v="B"/>
    <n v="85.653011000000006"/>
  </r>
  <r>
    <s v="NAN"/>
    <s v="Công ty 71"/>
    <s v="Smarthome"/>
    <n v="528467182"/>
    <d v="2024-01-01T00:00:00"/>
    <n v="1"/>
    <n v="2024"/>
    <s v="Bắc Trung Bộ"/>
    <s v="Doanh nghiệp"/>
    <x v="0"/>
    <s v="H"/>
    <n v="528.46718199999998"/>
  </r>
  <r>
    <s v="BGG"/>
    <s v="Công ty 74"/>
    <s v="ME"/>
    <n v="51000000"/>
    <d v="2024-01-01T00:00:00"/>
    <n v="1"/>
    <n v="2024"/>
    <s v="Đông Bắc Bộ"/>
    <s v="Doanh nghiệp"/>
    <x v="1"/>
    <s v="O"/>
    <n v="51"/>
  </r>
  <r>
    <s v="AGG"/>
    <s v="Công ty 78"/>
    <s v="ME"/>
    <n v="27172727"/>
    <d v="2024-01-01T00:00:00"/>
    <n v="1"/>
    <n v="2024"/>
    <s v="ĐB Sông Cửu Long"/>
    <s v="Doanh nghiệp"/>
    <x v="0"/>
    <s v="C"/>
    <n v="27.172726999999998"/>
  </r>
  <r>
    <s v="HNM"/>
    <s v="Công ty 80"/>
    <s v="DVKT"/>
    <n v="222283802"/>
    <d v="2024-01-01T00:00:00"/>
    <n v="1"/>
    <n v="2024"/>
    <s v="ĐB Sông Hồng"/>
    <s v="Doanh nghiệp"/>
    <x v="1"/>
    <s v="A"/>
    <n v="222.28380200000001"/>
  </r>
  <r>
    <s v="SLA"/>
    <s v="Công ty 89"/>
    <s v="ME"/>
    <n v="35028636"/>
    <d v="2024-01-01T00:00:00"/>
    <n v="1"/>
    <n v="2024"/>
    <s v="Tây Bắc Bộ"/>
    <s v="Doanh nghiệp"/>
    <x v="0"/>
    <s v="O"/>
    <n v="35.028635999999999"/>
  </r>
  <r>
    <s v="LSN"/>
    <s v="Công ty 92"/>
    <s v="ME"/>
    <n v="99800768"/>
    <d v="2024-01-01T00:00:00"/>
    <n v="1"/>
    <n v="2024"/>
    <s v="Đông Bắc Bộ"/>
    <s v="Doanh nghiệp"/>
    <x v="1"/>
    <s v="O"/>
    <n v="99.800768000000005"/>
  </r>
  <r>
    <s v="BTN"/>
    <s v="Công ty 96"/>
    <s v="NLMT"/>
    <n v="23636364"/>
    <d v="2024-01-01T00:00:00"/>
    <n v="1"/>
    <n v="2024"/>
    <s v="Duyên hải Nam Trung Bộ"/>
    <s v="Doanh nghiệp"/>
    <x v="0"/>
    <s v="K"/>
    <n v="23.636364"/>
  </r>
  <r>
    <s v="BTN"/>
    <s v="Công ty 33"/>
    <s v="DVKT"/>
    <n v="152200000"/>
    <d v="2024-01-01T00:00:00"/>
    <n v="1"/>
    <n v="2024"/>
    <s v="Duyên hải Nam Trung Bộ"/>
    <s v="Doanh nghiệp"/>
    <x v="1"/>
    <s v="A"/>
    <n v="152.19999999999999"/>
  </r>
  <r>
    <s v="NBH"/>
    <s v="Công ty 47"/>
    <s v="DVKT"/>
    <n v="18597153"/>
    <d v="2024-01-01T00:00:00"/>
    <n v="1"/>
    <n v="2024"/>
    <s v="ĐB Sông Hồng"/>
    <s v="Doanh nghiệp"/>
    <x v="0"/>
    <s v="B"/>
    <n v="18.597152999999999"/>
  </r>
  <r>
    <s v="HTH"/>
    <s v="Công ty 49"/>
    <s v="Smarthome"/>
    <n v="10000000"/>
    <d v="2024-01-01T00:00:00"/>
    <n v="1"/>
    <n v="2024"/>
    <s v="Bắc Trung Bộ"/>
    <s v="Doanh nghiệp"/>
    <x v="1"/>
    <s v="H"/>
    <n v="10"/>
  </r>
  <r>
    <s v="HTH"/>
    <s v="Công ty 50"/>
    <s v="ICT"/>
    <n v="8491508"/>
    <d v="2024-01-01T00:00:00"/>
    <n v="1"/>
    <n v="2024"/>
    <s v="Bắc Trung Bộ"/>
    <s v="Doanh nghiệp"/>
    <x v="0"/>
    <s v="F"/>
    <n v="8.4915079999999996"/>
  </r>
  <r>
    <s v="PTO"/>
    <s v="Công ty 60"/>
    <s v="DVKT"/>
    <n v="24902455"/>
    <d v="2024-01-01T00:00:00"/>
    <n v="1"/>
    <n v="2024"/>
    <s v="Đông Bắc Bộ"/>
    <s v="Doanh nghiệp"/>
    <x v="1"/>
    <s v="M"/>
    <n v="24.902455"/>
  </r>
  <r>
    <s v="LDG"/>
    <s v="Công ty 63"/>
    <s v="ICT"/>
    <n v="48732727"/>
    <d v="2024-01-01T00:00:00"/>
    <n v="1"/>
    <n v="2024"/>
    <s v="Tây Nguyên"/>
    <s v="Doanh nghiệp"/>
    <x v="0"/>
    <s v="A"/>
    <n v="48.732726999999997"/>
  </r>
  <r>
    <s v="DLK"/>
    <s v="Công ty 69"/>
    <s v="ICT"/>
    <n v="11027273"/>
    <d v="2024-01-01T00:00:00"/>
    <n v="1"/>
    <n v="2024"/>
    <s v="Tây Nguyên"/>
    <s v="Doanh nghiệp"/>
    <x v="1"/>
    <s v="A"/>
    <n v="11.027272999999999"/>
  </r>
  <r>
    <s v="QNH"/>
    <s v="Công ty 83"/>
    <s v="ICT"/>
    <n v="202516391"/>
    <d v="2024-01-01T00:00:00"/>
    <n v="1"/>
    <n v="2024"/>
    <s v="Đông Bắc Bộ"/>
    <s v="Doanh nghiệp"/>
    <x v="0"/>
    <s v="A"/>
    <n v="202.516391"/>
  </r>
  <r>
    <s v="BLU"/>
    <s v="Công ty 89"/>
    <s v="ME"/>
    <n v="126950000"/>
    <d v="2024-01-01T00:00:00"/>
    <n v="1"/>
    <n v="2024"/>
    <s v="ĐB Sông Cửu Long"/>
    <s v="Doanh nghiệp"/>
    <x v="1"/>
    <s v="C"/>
    <n v="126.95"/>
  </r>
  <r>
    <s v="BPC"/>
    <s v="Công ty 1"/>
    <s v="ICT"/>
    <n v="67568182"/>
    <d v="2024-01-01T00:00:00"/>
    <n v="1"/>
    <n v="2024"/>
    <s v="Đông Nam Bộ"/>
    <s v="Doanh nghiệp"/>
    <x v="0"/>
    <s v="A"/>
    <n v="67.568181999999993"/>
  </r>
  <r>
    <s v="LCU"/>
    <s v="Công ty 6"/>
    <s v="ICT"/>
    <n v="28202269"/>
    <d v="2024-01-01T00:00:00"/>
    <n v="1"/>
    <n v="2024"/>
    <s v="Tây Bắc Bộ"/>
    <s v="Doanh nghiệp"/>
    <x v="1"/>
    <s v="B"/>
    <n v="28.202269000000001"/>
  </r>
  <r>
    <s v="NBH"/>
    <s v="Công ty 16"/>
    <s v="ICT"/>
    <n v="99783452"/>
    <d v="2024-01-01T00:00:00"/>
    <n v="1"/>
    <n v="2024"/>
    <s v="ĐB Sông Hồng"/>
    <s v="Doanh nghiệp"/>
    <x v="0"/>
    <s v="P"/>
    <n v="99.783451999999997"/>
  </r>
  <r>
    <s v="GLI"/>
    <s v="Công ty 25"/>
    <s v="ICT"/>
    <n v="24305455"/>
    <d v="2024-01-01T00:00:00"/>
    <n v="1"/>
    <n v="2024"/>
    <s v="Tây Nguyên"/>
    <s v="Doanh nghiệp"/>
    <x v="1"/>
    <s v="B"/>
    <n v="24.305454999999998"/>
  </r>
  <r>
    <s v="AGG"/>
    <s v="Công ty 35"/>
    <s v="ME"/>
    <n v="22545455"/>
    <d v="2024-01-01T00:00:00"/>
    <n v="1"/>
    <n v="2024"/>
    <s v="ĐB Sông Cửu Long"/>
    <s v="Doanh nghiệp"/>
    <x v="0"/>
    <s v="Q"/>
    <n v="22.545455"/>
  </r>
  <r>
    <s v="TGG"/>
    <s v="Công ty 38"/>
    <s v="ICT"/>
    <n v="44345455"/>
    <d v="2024-01-01T00:00:00"/>
    <n v="1"/>
    <n v="2024"/>
    <s v="ĐB Sông Cửu Long"/>
    <s v="Doanh nghiệp"/>
    <x v="1"/>
    <s v="B"/>
    <n v="44.345455000000001"/>
  </r>
  <r>
    <s v="LCU"/>
    <s v="Công ty 45"/>
    <s v="Smarthome"/>
    <n v="42045455"/>
    <d v="2024-01-01T00:00:00"/>
    <n v="1"/>
    <n v="2024"/>
    <s v="Tây Bắc Bộ"/>
    <s v="Doanh nghiệp"/>
    <x v="0"/>
    <s v="H"/>
    <n v="42.045454999999997"/>
  </r>
  <r>
    <s v="VLG"/>
    <s v="Công ty 58"/>
    <s v="NLMT"/>
    <n v="11372727"/>
    <d v="2024-01-01T00:00:00"/>
    <n v="1"/>
    <n v="2024"/>
    <s v="ĐB Sông Cửu Long"/>
    <s v="Doanh nghiệp"/>
    <x v="1"/>
    <s v="D"/>
    <n v="11.372726999999999"/>
  </r>
  <r>
    <s v="TGG"/>
    <s v="Công ty 69"/>
    <s v="ICT"/>
    <n v="27595636"/>
    <d v="2024-01-01T00:00:00"/>
    <n v="1"/>
    <n v="2024"/>
    <s v="ĐB Sông Cửu Long"/>
    <s v="Doanh nghiệp"/>
    <x v="0"/>
    <s v="B"/>
    <n v="27.595635999999999"/>
  </r>
  <r>
    <s v="LSN"/>
    <s v="Công ty 71"/>
    <s v="ICT"/>
    <n v="29660000"/>
    <d v="2024-01-01T00:00:00"/>
    <n v="1"/>
    <n v="2024"/>
    <s v="Đông Bắc Bộ"/>
    <s v="Doanh nghiệp"/>
    <x v="1"/>
    <s v="A"/>
    <n v="29.66"/>
  </r>
  <r>
    <s v="TVH"/>
    <s v="Công ty 81"/>
    <s v="ME"/>
    <n v="136270215"/>
    <d v="2024-01-01T00:00:00"/>
    <n v="1"/>
    <n v="2024"/>
    <s v="ĐB Sông Cửu Long"/>
    <s v="Doanh nghiệp"/>
    <x v="0"/>
    <s v="O"/>
    <n v="136.27021500000001"/>
  </r>
  <r>
    <s v="KHA"/>
    <s v="Công ty 89"/>
    <s v="ICT"/>
    <n v="100625386"/>
    <d v="2024-01-01T00:00:00"/>
    <n v="1"/>
    <n v="2024"/>
    <s v="Duyên hải Nam Trung Bộ"/>
    <s v="Doanh nghiệp"/>
    <x v="1"/>
    <s v="B"/>
    <n v="100.62538600000001"/>
  </r>
  <r>
    <s v="BDG"/>
    <s v="Công ty 26"/>
    <s v="ME"/>
    <n v="245454545"/>
    <d v="2024-01-01T00:00:00"/>
    <n v="1"/>
    <n v="2024"/>
    <s v="Đông Nam Bộ"/>
    <s v="Doanh nghiệp"/>
    <x v="0"/>
    <s v="E"/>
    <n v="245.454545"/>
  </r>
  <r>
    <s v="BDG"/>
    <s v="Công ty 27"/>
    <s v="ME"/>
    <n v="245454545"/>
    <d v="2024-01-01T00:00:00"/>
    <n v="1"/>
    <n v="2024"/>
    <s v="Đông Nam Bộ"/>
    <s v="Doanh nghiệp"/>
    <x v="1"/>
    <s v="E"/>
    <n v="245.454545"/>
  </r>
  <r>
    <s v="SLA"/>
    <s v="Công ty 32"/>
    <s v="Smarthome"/>
    <n v="62297818"/>
    <d v="2024-01-01T00:00:00"/>
    <n v="1"/>
    <n v="2024"/>
    <s v="Tây Bắc Bộ"/>
    <s v="Doanh nghiệp"/>
    <x v="0"/>
    <s v="H"/>
    <n v="62.297817999999999"/>
  </r>
  <r>
    <s v="SLA"/>
    <s v="Công ty 33"/>
    <s v="Smarthome"/>
    <n v="102908882"/>
    <d v="2024-01-01T00:00:00"/>
    <n v="1"/>
    <n v="2024"/>
    <s v="Tây Bắc Bộ"/>
    <s v="Doanh nghiệp"/>
    <x v="1"/>
    <s v="H"/>
    <n v="102.90888200000001"/>
  </r>
  <r>
    <s v="BPC"/>
    <s v="Công ty 82"/>
    <s v="ICT"/>
    <n v="104549091"/>
    <d v="2024-01-01T00:00:00"/>
    <n v="1"/>
    <n v="2024"/>
    <s v="Đông Nam Bộ"/>
    <s v="Doanh nghiệp"/>
    <x v="0"/>
    <s v="A"/>
    <n v="104.549091"/>
  </r>
  <r>
    <s v="CTO"/>
    <s v="Công ty 92"/>
    <s v="ICT"/>
    <n v="151322673"/>
    <d v="2024-01-01T00:00:00"/>
    <n v="1"/>
    <n v="2024"/>
    <s v="ĐB Sông Cửu Long"/>
    <s v="Doanh nghiệp"/>
    <x v="1"/>
    <s v="T"/>
    <n v="151.32267300000001"/>
  </r>
  <r>
    <s v="NAN"/>
    <s v="Công ty 93"/>
    <s v="ME"/>
    <n v="2395108705"/>
    <d v="2024-01-01T00:00:00"/>
    <n v="1"/>
    <n v="2024"/>
    <s v="Bắc Trung Bộ"/>
    <s v="Doanh nghiệp"/>
    <x v="0"/>
    <s v="E"/>
    <n v="2395.1087050000001"/>
  </r>
  <r>
    <s v="DTP"/>
    <s v="Công ty 10"/>
    <s v="ICT"/>
    <n v="10818182"/>
    <d v="2024-01-01T00:00:00"/>
    <n v="1"/>
    <n v="2024"/>
    <s v="ĐB Sông Cửu Long"/>
    <s v="Doanh nghiệp"/>
    <x v="1"/>
    <s v="B"/>
    <n v="10.818182"/>
  </r>
  <r>
    <s v="VLG"/>
    <s v="Công ty 21"/>
    <s v="ME"/>
    <n v="47599091"/>
    <d v="2024-01-01T00:00:00"/>
    <n v="1"/>
    <n v="2024"/>
    <s v="ĐB Sông Cửu Long"/>
    <s v="Doanh nghiệp"/>
    <x v="0"/>
    <s v="O"/>
    <n v="47.599091000000001"/>
  </r>
  <r>
    <s v="VLG"/>
    <s v="Công ty 22"/>
    <s v="ICT"/>
    <n v="8054545"/>
    <d v="2024-01-01T00:00:00"/>
    <n v="1"/>
    <n v="2024"/>
    <s v="ĐB Sông Cửu Long"/>
    <s v="Doanh nghiệp"/>
    <x v="1"/>
    <s v="F"/>
    <n v="8.0545449999999992"/>
  </r>
  <r>
    <s v="VTU"/>
    <s v="Công ty 26"/>
    <s v="DVKT"/>
    <n v="135110945"/>
    <d v="2024-01-01T00:00:00"/>
    <n v="1"/>
    <n v="2024"/>
    <s v="Đông Nam Bộ"/>
    <s v="Doanh nghiệp"/>
    <x v="0"/>
    <s v="A"/>
    <n v="135.11094499999999"/>
  </r>
  <r>
    <s v="CTO"/>
    <s v="Công ty 29"/>
    <s v="ICT"/>
    <n v="26958182"/>
    <d v="2024-01-01T00:00:00"/>
    <n v="1"/>
    <n v="2024"/>
    <s v="ĐB Sông Cửu Long"/>
    <s v="Doanh nghiệp"/>
    <x v="1"/>
    <s v="A"/>
    <n v="26.958182000000001"/>
  </r>
  <r>
    <s v="DTP"/>
    <s v="Công ty 30"/>
    <s v="ICT"/>
    <n v="31850909"/>
    <d v="2024-01-01T00:00:00"/>
    <n v="1"/>
    <n v="2024"/>
    <s v="ĐB Sông Cửu Long"/>
    <s v="Doanh nghiệp"/>
    <x v="0"/>
    <s v="B"/>
    <n v="31.850909000000001"/>
  </r>
  <r>
    <s v="DTP"/>
    <s v="Công ty 31"/>
    <s v="ICT"/>
    <n v="143276859"/>
    <d v="2024-01-01T00:00:00"/>
    <n v="1"/>
    <n v="2024"/>
    <s v="ĐB Sông Cửu Long"/>
    <s v="Doanh nghiệp"/>
    <x v="1"/>
    <s v="B"/>
    <n v="143.276859"/>
  </r>
  <r>
    <s v="CBG"/>
    <s v="Công ty 35"/>
    <s v="ME"/>
    <n v="42709091"/>
    <d v="2024-01-01T00:00:00"/>
    <n v="1"/>
    <n v="2024"/>
    <s v="Đông Bắc Bộ"/>
    <s v="Doanh nghiệp"/>
    <x v="0"/>
    <s v="C"/>
    <n v="42.709091000000001"/>
  </r>
  <r>
    <s v="CBG"/>
    <s v="Công ty 36"/>
    <s v="ICT"/>
    <n v="25281818"/>
    <d v="2024-01-01T00:00:00"/>
    <n v="1"/>
    <n v="2024"/>
    <s v="Đông Bắc Bộ"/>
    <s v="Doanh nghiệp"/>
    <x v="1"/>
    <s v="B"/>
    <n v="25.281818000000001"/>
  </r>
  <r>
    <s v="CBG"/>
    <s v="Công ty 37"/>
    <s v="ME"/>
    <n v="42172727"/>
    <d v="2024-01-01T00:00:00"/>
    <n v="1"/>
    <n v="2024"/>
    <s v="Đông Bắc Bộ"/>
    <s v="Doanh nghiệp"/>
    <x v="0"/>
    <s v="C"/>
    <n v="42.172727000000002"/>
  </r>
  <r>
    <s v="HNI"/>
    <s v="Công ty 46"/>
    <s v="ME"/>
    <n v="23400000"/>
    <d v="2024-01-01T00:00:00"/>
    <n v="1"/>
    <n v="2024"/>
    <s v="ĐB Sông Hồng"/>
    <s v="Doanh nghiệp"/>
    <x v="1"/>
    <s v="O"/>
    <n v="23.4"/>
  </r>
  <r>
    <s v="DBN"/>
    <s v="Công ty 66"/>
    <s v="Smarthome"/>
    <n v="65759091"/>
    <d v="2024-01-01T00:00:00"/>
    <n v="1"/>
    <n v="2024"/>
    <s v="Tây Bắc Bộ"/>
    <s v="Doanh nghiệp"/>
    <x v="0"/>
    <s v="H"/>
    <n v="65.759090999999998"/>
  </r>
  <r>
    <s v="QNI"/>
    <s v="Công ty 67"/>
    <s v="ICT"/>
    <n v="198113636"/>
    <d v="2024-01-01T00:00:00"/>
    <n v="1"/>
    <n v="2024"/>
    <s v="Duyên hải Nam Trung Bộ"/>
    <s v="Doanh nghiệp"/>
    <x v="1"/>
    <s v="F"/>
    <n v="198.11363600000001"/>
  </r>
  <r>
    <s v="BTN"/>
    <s v="Công ty 68"/>
    <s v="ICT"/>
    <n v="34041000"/>
    <d v="2024-01-01T00:00:00"/>
    <n v="1"/>
    <n v="2024"/>
    <s v="Duyên hải Nam Trung Bộ"/>
    <s v="Doanh nghiệp"/>
    <x v="0"/>
    <s v="B"/>
    <n v="34.040999999999997"/>
  </r>
  <r>
    <s v="BTN"/>
    <s v="Công ty 69"/>
    <s v="ICT"/>
    <n v="10078000"/>
    <d v="2024-01-01T00:00:00"/>
    <n v="1"/>
    <n v="2024"/>
    <s v="Duyên hải Nam Trung Bộ"/>
    <s v="Doanh nghiệp"/>
    <x v="1"/>
    <s v="B"/>
    <n v="10.077999999999999"/>
  </r>
  <r>
    <s v="DBN"/>
    <s v="Công ty 83"/>
    <s v="ICT"/>
    <n v="24898455"/>
    <d v="2024-01-01T00:00:00"/>
    <n v="1"/>
    <n v="2024"/>
    <s v="Tây Bắc Bộ"/>
    <s v="Doanh nghiệp"/>
    <x v="0"/>
    <s v="B"/>
    <n v="24.898454999999998"/>
  </r>
  <r>
    <s v="HTH"/>
    <s v="Công ty 86"/>
    <s v="ICT"/>
    <n v="22472727"/>
    <d v="2024-01-01T00:00:00"/>
    <n v="1"/>
    <n v="2024"/>
    <s v="Bắc Trung Bộ"/>
    <s v="Doanh nghiệp"/>
    <x v="1"/>
    <s v="B"/>
    <n v="22.472726999999999"/>
  </r>
  <r>
    <s v="HCM"/>
    <s v="Công ty 87"/>
    <s v="ME"/>
    <n v="243154545"/>
    <d v="2024-01-01T00:00:00"/>
    <n v="1"/>
    <n v="2024"/>
    <s v="Đông Nam Bộ"/>
    <s v="Doanh nghiệp"/>
    <x v="0"/>
    <s v="O"/>
    <n v="243.15454500000001"/>
  </r>
  <r>
    <s v="SLA"/>
    <s v="Công ty 88"/>
    <s v="ME"/>
    <n v="44690000"/>
    <d v="2024-01-01T00:00:00"/>
    <n v="1"/>
    <n v="2024"/>
    <s v="Tây Bắc Bộ"/>
    <s v="Doanh nghiệp"/>
    <x v="1"/>
    <s v="C"/>
    <n v="44.69"/>
  </r>
  <r>
    <s v="DLK"/>
    <s v="Công ty 99"/>
    <s v="ICT"/>
    <n v="16936364"/>
    <d v="2024-01-01T00:00:00"/>
    <n v="1"/>
    <n v="2024"/>
    <s v="Tây Nguyên"/>
    <s v="Doanh nghiệp"/>
    <x v="0"/>
    <s v="A"/>
    <n v="16.936364000000001"/>
  </r>
  <r>
    <s v="DBN"/>
    <s v="Công ty 9"/>
    <s v="ME"/>
    <n v="49272727"/>
    <d v="2024-01-01T00:00:00"/>
    <n v="1"/>
    <n v="2024"/>
    <s v="Tây Bắc Bộ"/>
    <s v="Doanh nghiệp"/>
    <x v="1"/>
    <s v="O"/>
    <n v="49.272727000000003"/>
  </r>
  <r>
    <s v="DNI"/>
    <s v="Công ty 12"/>
    <s v="ME"/>
    <n v="39371331"/>
    <d v="2024-01-01T00:00:00"/>
    <n v="1"/>
    <n v="2024"/>
    <s v="Đông Nam Bộ"/>
    <s v="Doanh nghiệp"/>
    <x v="0"/>
    <s v="E"/>
    <n v="39.371330999999998"/>
  </r>
  <r>
    <s v="DLK"/>
    <s v="Công ty 19"/>
    <s v="ICT"/>
    <n v="14335182"/>
    <d v="2024-01-01T00:00:00"/>
    <n v="1"/>
    <n v="2024"/>
    <s v="Tây Nguyên"/>
    <s v="Doanh nghiệp"/>
    <x v="1"/>
    <s v="A"/>
    <n v="14.335182"/>
  </r>
  <r>
    <s v="DLK"/>
    <s v="Công ty 20"/>
    <s v="Smarthome"/>
    <n v="22934000"/>
    <d v="2024-01-01T00:00:00"/>
    <n v="1"/>
    <n v="2024"/>
    <s v="Tây Nguyên"/>
    <s v="Doanh nghiệp"/>
    <x v="0"/>
    <s v="H"/>
    <n v="22.934000000000001"/>
  </r>
  <r>
    <s v="DLK"/>
    <s v="Công ty 21"/>
    <s v="ICT"/>
    <n v="10025370"/>
    <d v="2024-01-01T00:00:00"/>
    <n v="1"/>
    <n v="2024"/>
    <s v="Tây Nguyên"/>
    <s v="Doanh nghiệp"/>
    <x v="1"/>
    <s v="A"/>
    <n v="10.025370000000001"/>
  </r>
  <r>
    <s v="DCN"/>
    <s v="Công ty 28"/>
    <s v="ME"/>
    <n v="74171318"/>
    <d v="2024-01-01T00:00:00"/>
    <n v="1"/>
    <n v="2024"/>
    <s v="Tây Nguyên"/>
    <s v="Doanh nghiệp"/>
    <x v="0"/>
    <s v="C"/>
    <n v="74.171317999999999"/>
  </r>
  <r>
    <s v="DCN"/>
    <s v="Công ty 29"/>
    <s v="ME"/>
    <n v="16863636"/>
    <d v="2024-01-01T00:00:00"/>
    <n v="1"/>
    <n v="2024"/>
    <s v="Tây Nguyên"/>
    <s v="Doanh nghiệp"/>
    <x v="1"/>
    <s v="O"/>
    <n v="16.863636"/>
  </r>
  <r>
    <s v="DCN"/>
    <s v="Công ty 30"/>
    <s v="DVKT"/>
    <n v="159444541"/>
    <d v="2024-01-01T00:00:00"/>
    <n v="1"/>
    <n v="2024"/>
    <s v="Tây Nguyên"/>
    <s v="Doanh nghiệp"/>
    <x v="0"/>
    <s v="F"/>
    <n v="159.44454099999999"/>
  </r>
  <r>
    <s v="THA"/>
    <s v="Công ty 31"/>
    <s v="ME"/>
    <n v="56200000"/>
    <d v="2024-01-01T00:00:00"/>
    <n v="1"/>
    <n v="2024"/>
    <s v="Bắc Trung Bộ"/>
    <s v="Doanh nghiệp"/>
    <x v="1"/>
    <s v="O"/>
    <n v="56.2"/>
  </r>
  <r>
    <s v="HNI"/>
    <s v="Công ty 35"/>
    <s v="Smarthome"/>
    <n v="98350000"/>
    <d v="2024-01-01T00:00:00"/>
    <n v="1"/>
    <n v="2024"/>
    <s v="ĐB Sông Hồng"/>
    <s v="Doanh nghiệp"/>
    <x v="0"/>
    <s v="I"/>
    <n v="98.35"/>
  </r>
  <r>
    <s v="HTH"/>
    <s v="Công ty 36"/>
    <s v="ICT"/>
    <n v="15572557"/>
    <d v="2024-01-01T00:00:00"/>
    <n v="1"/>
    <n v="2024"/>
    <s v="Bắc Trung Bộ"/>
    <s v="Doanh nghiệp"/>
    <x v="1"/>
    <s v="B"/>
    <n v="15.572557"/>
  </r>
  <r>
    <s v="DCN"/>
    <s v="Công ty 42"/>
    <s v="ME"/>
    <n v="18181818"/>
    <d v="2024-01-01T00:00:00"/>
    <n v="1"/>
    <n v="2024"/>
    <s v="Tây Nguyên"/>
    <s v="Doanh nghiệp"/>
    <x v="0"/>
    <s v="C"/>
    <n v="18.181818"/>
  </r>
  <r>
    <s v="NTN"/>
    <s v="Công ty 61"/>
    <s v="ME"/>
    <n v="35681818"/>
    <d v="2024-01-01T00:00:00"/>
    <n v="1"/>
    <n v="2024"/>
    <s v="Duyên hải Nam Trung Bộ"/>
    <s v="Doanh nghiệp"/>
    <x v="1"/>
    <s v="C"/>
    <n v="35.681818"/>
  </r>
  <r>
    <s v="NTN"/>
    <s v="Công ty 62"/>
    <s v="ME"/>
    <n v="33872727"/>
    <d v="2024-01-01T00:00:00"/>
    <n v="1"/>
    <n v="2024"/>
    <s v="Duyên hải Nam Trung Bộ"/>
    <s v="Doanh nghiệp"/>
    <x v="0"/>
    <s v="C"/>
    <n v="33.872726999999998"/>
  </r>
  <r>
    <s v="BDH"/>
    <s v="Công ty 73"/>
    <s v="ME"/>
    <n v="27000000"/>
    <d v="2024-01-01T00:00:00"/>
    <n v="1"/>
    <n v="2024"/>
    <s v="Duyên hải Nam Trung Bộ"/>
    <s v="Doanh nghiệp"/>
    <x v="1"/>
    <s v="O"/>
    <n v="27"/>
  </r>
  <r>
    <s v="STG"/>
    <s v="Công ty 89"/>
    <s v="ICT"/>
    <n v="185400000"/>
    <d v="2024-01-01T00:00:00"/>
    <n v="1"/>
    <n v="2024"/>
    <s v="ĐB Sông Cửu Long"/>
    <s v="Doanh nghiệp"/>
    <x v="0"/>
    <s v="A"/>
    <n v="185.4"/>
  </r>
  <r>
    <s v="NBH"/>
    <s v="Công ty 89"/>
    <s v="DVKT"/>
    <n v="41638575"/>
    <d v="2024-01-01T00:00:00"/>
    <n v="1"/>
    <n v="2024"/>
    <s v="ĐB Sông Hồng"/>
    <s v="Doanh nghiệp"/>
    <x v="1"/>
    <s v="E"/>
    <n v="41.638575000000003"/>
  </r>
  <r>
    <s v="AGG"/>
    <s v="Công ty 89"/>
    <s v="NLMT"/>
    <n v="27970000"/>
    <d v="2024-01-01T00:00:00"/>
    <n v="1"/>
    <n v="2024"/>
    <s v="ĐB Sông Cửu Long"/>
    <s v="Doanh nghiệp"/>
    <x v="0"/>
    <s v="K"/>
    <n v="27.97"/>
  </r>
  <r>
    <s v="TVH"/>
    <s v="Doanh nghiệp 8"/>
    <s v="ICT"/>
    <n v="122539382"/>
    <d v="2024-01-01T00:00:00"/>
    <n v="1"/>
    <n v="2024"/>
    <s v="ĐB Sông Cửu Long"/>
    <s v="Doanh nghiệp"/>
    <x v="1"/>
    <s v="B"/>
    <n v="122.539382"/>
  </r>
  <r>
    <s v="DBN"/>
    <s v="Doanh nghiệp 9"/>
    <s v="DVKT"/>
    <n v="24181818"/>
    <d v="2024-01-01T00:00:00"/>
    <n v="1"/>
    <n v="2024"/>
    <s v="Tây Bắc Bộ"/>
    <s v="Doanh nghiệp"/>
    <x v="0"/>
    <s v="A"/>
    <n v="24.181818"/>
  </r>
  <r>
    <s v="PTO"/>
    <s v="Doanh nghiệp 11"/>
    <s v="ICT"/>
    <n v="51500000"/>
    <d v="2024-01-01T00:00:00"/>
    <n v="1"/>
    <n v="2024"/>
    <s v="Đông Bắc Bộ"/>
    <s v="Doanh nghiệp"/>
    <x v="1"/>
    <s v="B"/>
    <n v="51.5"/>
  </r>
  <r>
    <s v="PTO"/>
    <s v="Doanh nghiệp 12"/>
    <s v="ME"/>
    <n v="37127273"/>
    <d v="2024-01-01T00:00:00"/>
    <n v="1"/>
    <n v="2024"/>
    <s v="Đông Bắc Bộ"/>
    <s v="Doanh nghiệp"/>
    <x v="0"/>
    <s v="O"/>
    <n v="37.127273000000002"/>
  </r>
  <r>
    <s v="NTN"/>
    <s v="Doanh nghiệp 15"/>
    <s v="ME"/>
    <n v="150800000"/>
    <d v="2024-01-01T00:00:00"/>
    <n v="1"/>
    <n v="2024"/>
    <s v="Duyên hải Nam Trung Bộ"/>
    <s v="Doanh nghiệp"/>
    <x v="1"/>
    <s v="Q"/>
    <n v="150.80000000000001"/>
  </r>
  <r>
    <s v="KGG"/>
    <s v="Doanh nghiệp 25"/>
    <s v="DVKT"/>
    <n v="195044836"/>
    <d v="2024-01-01T00:00:00"/>
    <n v="1"/>
    <n v="2024"/>
    <s v="ĐB Sông Cửu Long"/>
    <s v="Doanh nghiệp"/>
    <x v="0"/>
    <s v="C"/>
    <n v="195.044836"/>
  </r>
  <r>
    <s v="DTP"/>
    <s v="Doanh nghiệp 20"/>
    <s v="ME"/>
    <n v="21172727"/>
    <d v="2024-01-01T00:00:00"/>
    <n v="1"/>
    <n v="2024"/>
    <s v="ĐB Sông Cửu Long"/>
    <s v="Doanh nghiệp"/>
    <x v="1"/>
    <s v="M"/>
    <n v="21.172726999999998"/>
  </r>
  <r>
    <s v="DTP"/>
    <s v="Doanh nghiệp 21"/>
    <s v="ICT"/>
    <n v="19090909"/>
    <d v="2024-01-01T00:00:00"/>
    <n v="1"/>
    <n v="2024"/>
    <s v="ĐB Sông Cửu Long"/>
    <s v="Doanh nghiệp"/>
    <x v="0"/>
    <s v="B"/>
    <n v="19.090909"/>
  </r>
  <r>
    <s v="CTO"/>
    <s v="Doanh nghiệp 23"/>
    <s v="ICT"/>
    <n v="157670000"/>
    <d v="2024-01-01T00:00:00"/>
    <n v="1"/>
    <n v="2024"/>
    <s v="ĐB Sông Cửu Long"/>
    <s v="Doanh nghiệp"/>
    <x v="1"/>
    <s v="B"/>
    <n v="157.66999999999999"/>
  </r>
  <r>
    <s v="TQG"/>
    <s v="Doanh nghiệp 14"/>
    <s v="DVKT"/>
    <n v="33812000"/>
    <d v="2024-01-01T00:00:00"/>
    <n v="1"/>
    <n v="2024"/>
    <s v="Đông Bắc Bộ"/>
    <s v="Doanh nghiệp"/>
    <x v="0"/>
    <s v="B"/>
    <n v="33.811999999999998"/>
  </r>
  <r>
    <s v="TQG"/>
    <s v="Doanh nghiệp 15"/>
    <s v="DVKT"/>
    <n v="20886500"/>
    <d v="2024-01-01T00:00:00"/>
    <n v="1"/>
    <n v="2024"/>
    <s v="Đông Bắc Bộ"/>
    <s v="Doanh nghiệp"/>
    <x v="1"/>
    <s v="B"/>
    <n v="20.886500000000002"/>
  </r>
  <r>
    <s v="TQG"/>
    <s v="Doanh nghiệp 16"/>
    <s v="DVKT"/>
    <n v="17257500"/>
    <d v="2024-01-01T00:00:00"/>
    <n v="1"/>
    <n v="2024"/>
    <s v="Đông Bắc Bộ"/>
    <s v="Doanh nghiệp"/>
    <x v="0"/>
    <s v="B"/>
    <n v="17.2575"/>
  </r>
  <r>
    <s v="LCU"/>
    <s v="Doanh nghiệp 18"/>
    <s v="ICT"/>
    <n v="37581818"/>
    <d v="2024-01-01T00:00:00"/>
    <n v="1"/>
    <n v="2024"/>
    <s v="Tây Bắc Bộ"/>
    <s v="Doanh nghiệp"/>
    <x v="1"/>
    <s v="B"/>
    <n v="37.581817999999998"/>
  </r>
  <r>
    <s v="SLA"/>
    <s v="Doanh nghiệp 19"/>
    <s v="Smarthome"/>
    <n v="76290000"/>
    <d v="2024-01-01T00:00:00"/>
    <n v="1"/>
    <n v="2024"/>
    <s v="Tây Bắc Bộ"/>
    <s v="Doanh nghiệp"/>
    <x v="0"/>
    <s v="H"/>
    <n v="76.290000000000006"/>
  </r>
  <r>
    <s v="THA"/>
    <s v="Doanh nghiệp 20"/>
    <s v="ICT"/>
    <n v="110766364"/>
    <d v="2024-01-01T00:00:00"/>
    <n v="1"/>
    <n v="2024"/>
    <s v="Bắc Trung Bộ"/>
    <s v="Doanh nghiệp"/>
    <x v="1"/>
    <s v="F"/>
    <n v="110.766364"/>
  </r>
  <r>
    <s v="HCM"/>
    <s v="Doanh nghiệp 21"/>
    <s v="ME"/>
    <n v="769133636"/>
    <d v="2024-01-01T00:00:00"/>
    <n v="1"/>
    <n v="2024"/>
    <s v="Đông Nam Bộ"/>
    <s v="Doanh nghiệp"/>
    <x v="0"/>
    <s v="E"/>
    <n v="769.13363600000002"/>
  </r>
  <r>
    <s v="THA"/>
    <s v="Doanh nghiệp 22"/>
    <s v="ME"/>
    <n v="12681818"/>
    <d v="2024-01-01T00:00:00"/>
    <n v="1"/>
    <n v="2024"/>
    <s v="Bắc Trung Bộ"/>
    <s v="Doanh nghiệp"/>
    <x v="1"/>
    <s v="E"/>
    <n v="12.681818"/>
  </r>
  <r>
    <s v="TNN"/>
    <s v="Doanh nghiệp 5"/>
    <s v="ICT"/>
    <n v="443706000"/>
    <d v="2024-01-01T00:00:00"/>
    <n v="1"/>
    <n v="2024"/>
    <s v="Đông Bắc Bộ"/>
    <s v="Doanh nghiệp"/>
    <x v="0"/>
    <s v="F"/>
    <n v="443.70600000000002"/>
  </r>
  <r>
    <s v="TNN"/>
    <s v="Doanh nghiệp 6"/>
    <s v="ME"/>
    <n v="1503106327"/>
    <d v="2024-01-01T00:00:00"/>
    <n v="1"/>
    <n v="2024"/>
    <s v="Đông Bắc Bộ"/>
    <s v="Doanh nghiệp"/>
    <x v="1"/>
    <s v="E"/>
    <n v="1503.106327"/>
  </r>
  <r>
    <s v="TNN"/>
    <s v="Doanh nghiệp 7"/>
    <s v="ICT"/>
    <n v="844000080"/>
    <d v="2024-01-01T00:00:00"/>
    <n v="1"/>
    <n v="2024"/>
    <s v="Đông Bắc Bộ"/>
    <s v="Doanh nghiệp"/>
    <x v="0"/>
    <s v="F"/>
    <n v="844.00008000000003"/>
  </r>
  <r>
    <s v="AGG"/>
    <s v="Doanh nghiệp 24"/>
    <s v="DVKT"/>
    <n v="20000000"/>
    <d v="2024-01-01T00:00:00"/>
    <n v="1"/>
    <n v="2024"/>
    <s v="ĐB Sông Cửu Long"/>
    <s v="Doanh nghiệp"/>
    <x v="1"/>
    <s v="R"/>
    <n v="20"/>
  </r>
  <r>
    <s v="BTE"/>
    <s v="Doanh nghiệp 12"/>
    <s v="ICT"/>
    <n v="155909091"/>
    <d v="2024-01-01T00:00:00"/>
    <n v="1"/>
    <n v="2024"/>
    <s v="ĐB Sông Cửu Long"/>
    <s v="Doanh nghiệp"/>
    <x v="0"/>
    <s v="B"/>
    <n v="155.90909099999999"/>
  </r>
  <r>
    <s v="DLK"/>
    <s v="Tập đoàn 3"/>
    <s v="ME"/>
    <n v="136327337"/>
    <d v="2024-01-01T00:00:00"/>
    <n v="1"/>
    <n v="2024"/>
    <s v="Tây Nguyên"/>
    <s v="Doanh nghiệp"/>
    <x v="1"/>
    <s v="L"/>
    <n v="136.327337"/>
  </r>
  <r>
    <s v="HBH"/>
    <s v="Tập đoàn 17"/>
    <s v="ICT"/>
    <n v="42720000"/>
    <d v="2024-01-01T00:00:00"/>
    <n v="1"/>
    <n v="2024"/>
    <s v="Tây Bắc Bộ"/>
    <s v="Doanh nghiệp"/>
    <x v="0"/>
    <s v="A"/>
    <n v="42.72"/>
  </r>
  <r>
    <s v="LSN"/>
    <s v="Tập đoàn 32"/>
    <s v="DVKT"/>
    <n v="150251605"/>
    <d v="2024-01-01T00:00:00"/>
    <n v="1"/>
    <n v="2024"/>
    <s v="Đông Bắc Bộ"/>
    <s v="Doanh nghiệp"/>
    <x v="1"/>
    <s v="A"/>
    <n v="150.25160500000001"/>
  </r>
  <r>
    <s v="NDH"/>
    <s v="Tập đoàn 37"/>
    <s v="ICT"/>
    <n v="46475000"/>
    <d v="2024-01-01T00:00:00"/>
    <n v="1"/>
    <n v="2024"/>
    <s v="ĐB Sông Hồng"/>
    <s v="Doanh nghiệp"/>
    <x v="0"/>
    <s v="B"/>
    <n v="46.475000000000001"/>
  </r>
  <r>
    <s v="NTN"/>
    <s v="Tập đoàn 82"/>
    <s v="ICT"/>
    <n v="59154545"/>
    <d v="2024-01-01T00:00:00"/>
    <n v="1"/>
    <n v="2024"/>
    <s v="Duyên hải Nam Trung Bộ"/>
    <s v="Doanh nghiệp"/>
    <x v="1"/>
    <s v="P"/>
    <n v="59.154544999999999"/>
  </r>
  <r>
    <s v="HTH"/>
    <s v="Tập đoàn 94"/>
    <s v="NLMT"/>
    <n v="181818182"/>
    <d v="2024-01-01T00:00:00"/>
    <n v="1"/>
    <n v="2024"/>
    <s v="Bắc Trung Bộ"/>
    <s v="Doanh nghiệp"/>
    <x v="0"/>
    <s v="K"/>
    <n v="181.81818200000001"/>
  </r>
  <r>
    <s v="YBI"/>
    <s v="Tập đoàn 93"/>
    <s v="NLMT"/>
    <n v="34600000"/>
    <d v="2024-01-01T00:00:00"/>
    <n v="1"/>
    <n v="2024"/>
    <s v="Tây Bắc Bộ"/>
    <s v="Doanh nghiệp"/>
    <x v="1"/>
    <s v="K"/>
    <n v="34.6"/>
  </r>
  <r>
    <s v="PTO"/>
    <s v="Tập đoàn 94"/>
    <s v="ICT"/>
    <n v="1527727273"/>
    <d v="2024-01-01T00:00:00"/>
    <n v="1"/>
    <n v="2024"/>
    <s v="Đông Bắc Bộ"/>
    <s v="Doanh nghiệp"/>
    <x v="0"/>
    <s v="F"/>
    <n v="1527.727273"/>
  </r>
  <r>
    <s v="TGG"/>
    <s v="BỘ CHỈ HUY BỘ ĐỘI BIÊN PHÒNG TIỀN GIANG"/>
    <s v="ICT"/>
    <n v="54511273"/>
    <d v="2024-01-01T00:00:00"/>
    <n v="1"/>
    <n v="2024"/>
    <s v="ĐB Sông Cửu Long"/>
    <s v="Sở ban ngành"/>
    <x v="1"/>
    <s v="A"/>
    <n v="54.511273000000003"/>
  </r>
  <r>
    <s v="TGG"/>
    <s v="BỘ CHỈ HUY BỘ ĐỘI BIÊN PHÒNG TIỀN GIANG"/>
    <s v="ICT"/>
    <n v="17840000"/>
    <d v="2024-01-01T00:00:00"/>
    <n v="1"/>
    <n v="2024"/>
    <s v="ĐB Sông Cửu Long"/>
    <s v="Sở ban ngành"/>
    <x v="0"/>
    <s v="A"/>
    <n v="17.84"/>
  </r>
  <r>
    <s v="BNH"/>
    <s v="BỘ CHỈ HUY QUÂN SỰ TỈNH BẮC NINH"/>
    <s v="ME"/>
    <n v="72102000"/>
    <d v="2024-01-01T00:00:00"/>
    <n v="1"/>
    <n v="2024"/>
    <s v="ĐB Sông Hồng"/>
    <s v="Sở ban ngành"/>
    <x v="1"/>
    <s v="E"/>
    <n v="72.102000000000004"/>
  </r>
  <r>
    <s v="BNH"/>
    <s v="BỘ CHỈ HUY QUÂN SỰ TỈNH BẮC NINH"/>
    <s v="ICT"/>
    <n v="87669077"/>
    <d v="2024-01-01T00:00:00"/>
    <n v="1"/>
    <n v="2024"/>
    <s v="ĐB Sông Hồng"/>
    <s v="Sở ban ngành"/>
    <x v="0"/>
    <s v="B"/>
    <n v="87.669077000000001"/>
  </r>
  <r>
    <s v="DBN"/>
    <s v="Công ty 39"/>
    <s v="ICT"/>
    <n v="2709091"/>
    <d v="2024-01-01T00:00:00"/>
    <n v="1"/>
    <n v="2024"/>
    <s v="Tây Bắc Bộ"/>
    <s v="Doanh nghiệp"/>
    <x v="1"/>
    <s v="B"/>
    <n v="2.7090909999999999"/>
  </r>
  <r>
    <s v="DLK"/>
    <s v="Công ty 98"/>
    <s v="ICT"/>
    <n v="8680909"/>
    <d v="2024-01-01T00:00:00"/>
    <n v="1"/>
    <n v="2024"/>
    <s v="Tây Nguyên"/>
    <s v="Doanh nghiệp"/>
    <x v="0"/>
    <s v="A"/>
    <n v="8.6809089999999998"/>
  </r>
  <r>
    <s v="BPC"/>
    <s v="CÔNG AN HUYỆN BÙ ĐỐP"/>
    <s v="DVKT"/>
    <n v="17672727"/>
    <d v="2024-01-01T00:00:00"/>
    <n v="1"/>
    <n v="2024"/>
    <s v="Đông Nam Bộ"/>
    <s v="Sở ban ngành"/>
    <x v="1"/>
    <s v="C"/>
    <n v="17.672726999999998"/>
  </r>
  <r>
    <s v="PTO"/>
    <s v="CÔNG AN HUYỆN THANH THUỶ"/>
    <s v="DVKT"/>
    <n v="45916818"/>
    <d v="2024-01-01T00:00:00"/>
    <n v="1"/>
    <n v="2024"/>
    <s v="Đông Bắc Bộ"/>
    <s v="Sở ban ngành"/>
    <x v="0"/>
    <s v="F"/>
    <n v="45.916817999999999"/>
  </r>
  <r>
    <s v="LDG"/>
    <s v="Công an Tỉnh Lâm Đồng"/>
    <s v="ME"/>
    <n v="1500000000"/>
    <d v="2024-01-01T00:00:00"/>
    <n v="1"/>
    <n v="2024"/>
    <s v="Tây Nguyên"/>
    <s v="Sở ban ngành"/>
    <x v="1"/>
    <s v="M"/>
    <n v="1500"/>
  </r>
  <r>
    <s v="LDG"/>
    <s v="CÔNG AN TỈNH LÂM ĐỒNG"/>
    <s v="ICT"/>
    <n v="393171818"/>
    <d v="2024-01-01T00:00:00"/>
    <n v="1"/>
    <n v="2024"/>
    <s v="Tây Nguyên"/>
    <s v="Sở ban ngành"/>
    <x v="0"/>
    <s v="A"/>
    <n v="393.17181799999997"/>
  </r>
  <r>
    <s v="VLG"/>
    <s v="Công An Tỉnh Vĩnh Long"/>
    <s v="ICT"/>
    <n v="9100000"/>
    <d v="2024-01-01T00:00:00"/>
    <n v="1"/>
    <n v="2024"/>
    <s v="ĐB Sông Cửu Long"/>
    <s v="Sở ban ngành"/>
    <x v="1"/>
    <s v="B"/>
    <n v="9.1"/>
  </r>
  <r>
    <s v="YBI"/>
    <s v="CÔNG AN XÃ HỒNG CA"/>
    <s v="DVKT"/>
    <n v="23818182"/>
    <d v="2024-01-01T00:00:00"/>
    <n v="1"/>
    <n v="2024"/>
    <s v="Tây Bắc Bộ"/>
    <s v="Sở ban ngành"/>
    <x v="0"/>
    <s v="B"/>
    <n v="23.818182"/>
  </r>
  <r>
    <s v="YBI"/>
    <s v="CÔNG AN XÃ MÔNG SƠN"/>
    <s v="DVKT"/>
    <n v="40618182"/>
    <d v="2024-01-01T00:00:00"/>
    <n v="1"/>
    <n v="2024"/>
    <s v="Tây Bắc Bộ"/>
    <s v="Sở ban ngành"/>
    <x v="1"/>
    <s v="B"/>
    <n v="40.618181999999997"/>
  </r>
  <r>
    <s v="YBI"/>
    <s v="CÔNG AN XÃ MÔNG SƠN"/>
    <s v="DVKT"/>
    <n v="40618182"/>
    <d v="2024-01-01T00:00:00"/>
    <n v="1"/>
    <n v="2024"/>
    <s v="Tây Bắc Bộ"/>
    <s v="Sở ban ngành"/>
    <x v="0"/>
    <s v="B"/>
    <n v="40.618181999999997"/>
  </r>
  <r>
    <s v="THA"/>
    <s v="CỤC THUẾ TỈNH THANH HOÁ"/>
    <s v="DVKT"/>
    <n v="200332727"/>
    <d v="2024-01-01T00:00:00"/>
    <n v="1"/>
    <n v="2024"/>
    <s v="Bắc Trung Bộ"/>
    <s v="Sở ban ngành"/>
    <x v="1"/>
    <s v="C"/>
    <n v="200.33272700000001"/>
  </r>
  <r>
    <s v="HNI"/>
    <s v="DNTN PHÒNG CHO THUÊ KIM PHÁT"/>
    <s v="Smarthome"/>
    <n v="81540000"/>
    <d v="2024-01-01T00:00:00"/>
    <n v="1"/>
    <n v="2024"/>
    <s v="ĐB Sông Hồng"/>
    <s v="Sở ban ngành"/>
    <x v="0"/>
    <s v="H"/>
    <n v="81.540000000000006"/>
  </r>
  <r>
    <s v="BGG"/>
    <s v="Công ty 21"/>
    <s v="Smarthome"/>
    <n v="73872000"/>
    <d v="2024-01-01T00:00:00"/>
    <n v="1"/>
    <n v="2024"/>
    <s v="Đông Bắc Bộ"/>
    <s v="Doanh nghiệp"/>
    <x v="1"/>
    <s v="H"/>
    <n v="73.872"/>
  </r>
  <r>
    <s v="DNG"/>
    <s v="KHU QUẢN LÝ ĐƯỜNG BỘ III"/>
    <s v="ICT"/>
    <n v="12727273"/>
    <d v="2024-01-01T00:00:00"/>
    <n v="1"/>
    <n v="2024"/>
    <s v="Duyên hải Nam Trung Bộ"/>
    <s v="Sở ban ngành"/>
    <x v="0"/>
    <s v="A"/>
    <n v="12.727273"/>
  </r>
  <r>
    <s v="DBN"/>
    <s v="Phòng Giao Dịch Ngân Hàng Chính Sách Xã Hội Huyện Điện Biên"/>
    <s v="ICT"/>
    <n v="5418182"/>
    <d v="2024-01-01T00:00:00"/>
    <n v="1"/>
    <n v="2024"/>
    <s v="Tây Bắc Bộ"/>
    <s v="Ngân hàng"/>
    <x v="1"/>
    <s v="B"/>
    <n v="5.4181819999999998"/>
  </r>
  <r>
    <s v="DBN"/>
    <s v="Phòng Giao Dịch Ngân Hàng Chính Sách Xã Hội Huyện Điện Biên Đông"/>
    <s v="ICT"/>
    <n v="5418182"/>
    <d v="2024-01-01T00:00:00"/>
    <n v="1"/>
    <n v="2024"/>
    <s v="Tây Bắc Bộ"/>
    <s v="Ngân hàng"/>
    <x v="0"/>
    <s v="G"/>
    <n v="5.4181819999999998"/>
  </r>
  <r>
    <s v="DBN"/>
    <s v="Phòng Giao Dịch Ngân Hàng Chính Sách Xã Hội Huyện Mường Ảng"/>
    <s v="ICT"/>
    <n v="2709091"/>
    <d v="2024-01-01T00:00:00"/>
    <n v="1"/>
    <n v="2024"/>
    <s v="Tây Bắc Bộ"/>
    <s v="Ngân hàng"/>
    <x v="1"/>
    <s v="B"/>
    <n v="2.7090909999999999"/>
  </r>
  <r>
    <s v="DBN"/>
    <s v="Phòng Giao Dịch Ngân Hàng Chính Sách Xã Hội Huyện Mường Chà"/>
    <s v="ICT"/>
    <n v="5418182"/>
    <d v="2024-01-01T00:00:00"/>
    <n v="1"/>
    <n v="2024"/>
    <s v="Tây Bắc Bộ"/>
    <s v="Ngân hàng"/>
    <x v="0"/>
    <s v="B"/>
    <n v="5.4181819999999998"/>
  </r>
  <r>
    <s v="DBN"/>
    <s v="Phòng Giao Dịch Ngân Hàng Chính Sách Xã Hội Huyện Mường Nhé"/>
    <s v="ICT"/>
    <n v="5418182"/>
    <d v="2024-01-01T00:00:00"/>
    <n v="1"/>
    <n v="2024"/>
    <s v="Tây Bắc Bộ"/>
    <s v="Ngân hàng"/>
    <x v="1"/>
    <s v="B"/>
    <n v="5.4181819999999998"/>
  </r>
  <r>
    <s v="DBN"/>
    <s v="Phòng Giao Dịch Ngân Hàng Chính Sách Xã Hội Huyện Nậm Pồ"/>
    <s v="ICT"/>
    <n v="5418182"/>
    <d v="2024-01-01T00:00:00"/>
    <n v="1"/>
    <n v="2024"/>
    <s v="Tây Bắc Bộ"/>
    <s v="Ngân hàng"/>
    <x v="0"/>
    <s v="B"/>
    <n v="5.4181819999999998"/>
  </r>
  <r>
    <s v="DBN"/>
    <s v="Phòng Giao Dịch Ngân Hàng Chính Sách Xã Hội Huyện Tủa Chùa"/>
    <s v="ICT"/>
    <n v="10688182"/>
    <d v="2024-01-01T00:00:00"/>
    <n v="1"/>
    <n v="2024"/>
    <s v="Tây Bắc Bộ"/>
    <s v="Ngân hàng"/>
    <x v="1"/>
    <s v="B"/>
    <n v="10.688181999999999"/>
  </r>
  <r>
    <s v="DBN"/>
    <s v="Phòng Giao Dịch Ngân Hàng Chính Sách Xã Hội Huyện Tuần Giáo"/>
    <s v="ICT"/>
    <n v="5172727"/>
    <d v="2024-01-01T00:00:00"/>
    <n v="1"/>
    <n v="2024"/>
    <s v="Tây Bắc Bộ"/>
    <s v="Ngân hàng"/>
    <x v="0"/>
    <s v="B"/>
    <n v="5.1727270000000001"/>
  </r>
  <r>
    <s v="DBN"/>
    <s v="Phòng Giao Dịch Ngân Hàng Chính Sách Xã Hội Thị Xã Mường Lay"/>
    <s v="ICT"/>
    <n v="2709091"/>
    <d v="2024-01-01T00:00:00"/>
    <n v="1"/>
    <n v="2024"/>
    <s v="Tây Bắc Bộ"/>
    <s v="Ngân hàng"/>
    <x v="1"/>
    <s v="B"/>
    <n v="2.7090909999999999"/>
  </r>
  <r>
    <s v="LDG"/>
    <s v="PHÒNG KINH TẾ THÀNH PHỐ ĐÀ LẠT"/>
    <s v="ICT"/>
    <n v="90339091"/>
    <d v="2024-01-01T00:00:00"/>
    <n v="1"/>
    <n v="2024"/>
    <s v="Tây Nguyên"/>
    <s v="Sở ban ngành"/>
    <x v="0"/>
    <s v="A"/>
    <n v="90.339090999999996"/>
  </r>
  <r>
    <s v="CBG"/>
    <s v="PHÒNG VĂN HOÁ VÀ THÔNG TIN"/>
    <s v="ME"/>
    <n v="174836000"/>
    <d v="2024-01-01T00:00:00"/>
    <n v="1"/>
    <n v="2024"/>
    <s v="Đông Bắc Bộ"/>
    <s v="Sở ban ngành"/>
    <x v="1"/>
    <s v="O"/>
    <n v="174.83600000000001"/>
  </r>
  <r>
    <s v="BKN"/>
    <s v="PHÒNG VĂN HOÁ VÀ THÔNG TIN NGÂN SƠN"/>
    <s v="Smarthome"/>
    <n v="723316500"/>
    <d v="2024-01-01T00:00:00"/>
    <n v="1"/>
    <n v="2024"/>
    <s v="Đông Bắc Bộ"/>
    <s v="Sở ban ngành"/>
    <x v="0"/>
    <s v="H"/>
    <n v="723.31650000000002"/>
  </r>
  <r>
    <s v="VTU"/>
    <s v="Quân Chủng Hải Quân"/>
    <s v="ICT"/>
    <n v="2117417773"/>
    <d v="2024-01-01T00:00:00"/>
    <n v="1"/>
    <n v="2024"/>
    <s v="Đông Nam Bộ"/>
    <s v="Sở ban ngành"/>
    <x v="1"/>
    <s v="B"/>
    <n v="2117.4177730000001"/>
  </r>
  <r>
    <s v="LDG"/>
    <s v="QUỸ BẢO VỆ VÀ PHÁT TRIỂN RỪNG TỈNH LÂM ĐỒNG"/>
    <s v="DVKT"/>
    <n v="32727273"/>
    <d v="2024-01-01T00:00:00"/>
    <n v="1"/>
    <n v="2024"/>
    <s v="Tây Nguyên"/>
    <s v="Sở ban ngành"/>
    <x v="0"/>
    <s v="F"/>
    <n v="32.727272999999997"/>
  </r>
  <r>
    <s v="NBH"/>
    <s v="THÔN LA VÂN, XÃ NINH GIANG, HUYỆN HOA LƯ, TỈNH NINH BÌNH"/>
    <s v="Smarthome"/>
    <n v="39314715"/>
    <d v="2024-01-01T00:00:00"/>
    <n v="1"/>
    <n v="2024"/>
    <s v="ĐB Sông Hồng"/>
    <s v="Sở ban ngành"/>
    <x v="1"/>
    <s v="H"/>
    <n v="39.314715"/>
  </r>
  <r>
    <s v="LCI"/>
    <s v="TỔ CHỨC SAMARITAN'S PURSE HOA KỲ - VĂN PHÒNG ĐẠI DIỆN TẠI VIỆT NAM"/>
    <s v="ME"/>
    <n v="970000000"/>
    <d v="2024-01-01T00:00:00"/>
    <n v="1"/>
    <n v="2024"/>
    <s v="Tây Bắc Bộ"/>
    <s v="Sở ban ngành"/>
    <x v="0"/>
    <s v="Q"/>
    <n v="970"/>
  </r>
  <r>
    <s v="HNI"/>
    <s v="TRUNG TÂM HỘI NGHỊ QUỐC GIA"/>
    <s v="ICT"/>
    <n v="316770737"/>
    <d v="2024-01-01T00:00:00"/>
    <n v="1"/>
    <n v="2024"/>
    <s v="ĐB Sông Hồng"/>
    <s v="Sở ban ngành"/>
    <x v="1"/>
    <s v="A"/>
    <n v="316.770737"/>
  </r>
  <r>
    <s v="HPG"/>
    <s v="TRUNG TÂM VĂN HÓA - THÔNG TIN VÀ THỂ THAO QUẬN KIẾN AN"/>
    <s v="ICT"/>
    <n v="600410000"/>
    <d v="2024-01-01T00:00:00"/>
    <n v="1"/>
    <n v="2024"/>
    <s v="ĐB Sông Hồng"/>
    <s v="Sở ban ngành"/>
    <x v="0"/>
    <s v="T"/>
    <n v="600.41"/>
  </r>
  <r>
    <s v="LDG"/>
    <s v="TRƯỜNG TIỂU HỌC NAM BAN 1"/>
    <s v="ICT"/>
    <n v="18216000"/>
    <d v="2024-01-01T00:00:00"/>
    <n v="1"/>
    <n v="2024"/>
    <s v="Tây Nguyên"/>
    <s v="Trường học"/>
    <x v="1"/>
    <s v="A"/>
    <n v="18.216000000000001"/>
  </r>
  <r>
    <s v="DLK"/>
    <s v="UBND PHƯỜNG EA TAM"/>
    <s v="ICT"/>
    <n v="3040000"/>
    <d v="2024-01-01T00:00:00"/>
    <n v="1"/>
    <n v="2024"/>
    <s v="Tây Nguyên"/>
    <s v="Sở ban ngành"/>
    <x v="0"/>
    <s v="A"/>
    <n v="3.04"/>
  </r>
  <r>
    <s v="TQG"/>
    <s v="UBND Thị trấn Vĩnh Lộc - Huyện Chiêm Hóa - Tỉnh Tuyên Quang"/>
    <s v="ICT"/>
    <n v="55810909"/>
    <d v="2024-01-01T00:00:00"/>
    <n v="1"/>
    <n v="2024"/>
    <s v="Đông Bắc Bộ"/>
    <s v="Sở ban ngành"/>
    <x v="1"/>
    <s v="B"/>
    <n v="55.810909000000002"/>
  </r>
  <r>
    <s v="CMU"/>
    <s v="UBND XÃ BIỂN BẠCH ĐÔNG"/>
    <s v="ICT"/>
    <n v="126448364"/>
    <d v="2024-01-01T00:00:00"/>
    <n v="1"/>
    <n v="2024"/>
    <s v="ĐB Sông Cửu Long"/>
    <s v="Sở ban ngành"/>
    <x v="0"/>
    <s v="B"/>
    <n v="126.448364"/>
  </r>
  <r>
    <s v="NAN"/>
    <s v="UBND XÃ DIỄN THỌ"/>
    <s v="ICT"/>
    <n v="45304000"/>
    <d v="2024-01-01T00:00:00"/>
    <n v="1"/>
    <n v="2024"/>
    <s v="Bắc Trung Bộ"/>
    <s v="Sở ban ngành"/>
    <x v="1"/>
    <s v="B"/>
    <n v="45.304000000000002"/>
  </r>
  <r>
    <s v="TQG"/>
    <s v="UBND XÃ HOÀNG KHAI"/>
    <s v="DVKT"/>
    <n v="7879200"/>
    <d v="2024-01-01T00:00:00"/>
    <n v="1"/>
    <n v="2024"/>
    <s v="Đông Bắc Bộ"/>
    <s v="Sở ban ngành"/>
    <x v="0"/>
    <s v="B"/>
    <n v="7.8792"/>
  </r>
  <r>
    <s v="HDG"/>
    <s v="UBND XÃ KIM TÂN"/>
    <s v="DVKT"/>
    <n v="56320000"/>
    <d v="2024-01-01T00:00:00"/>
    <n v="1"/>
    <n v="2024"/>
    <s v="ĐB Sông Hồng"/>
    <s v="Sở ban ngành"/>
    <x v="1"/>
    <s v="B"/>
    <n v="56.32"/>
  </r>
  <r>
    <s v="NAN"/>
    <s v="UBND XÃ NGHĨA MỸ"/>
    <s v="ICT"/>
    <n v="77382273"/>
    <d v="2024-01-01T00:00:00"/>
    <n v="1"/>
    <n v="2024"/>
    <s v="Bắc Trung Bộ"/>
    <s v="Sở ban ngành"/>
    <x v="0"/>
    <s v="B"/>
    <n v="77.382272999999998"/>
  </r>
  <r>
    <s v="BTN"/>
    <s v="UBND XÃ SÔNG PHAN"/>
    <s v="Smarthome"/>
    <n v="160272727"/>
    <d v="2024-01-01T00:00:00"/>
    <n v="1"/>
    <n v="2024"/>
    <s v="Duyên hải Nam Trung Bộ"/>
    <s v="Sở ban ngành"/>
    <x v="1"/>
    <s v="U"/>
    <n v="160.272727"/>
  </r>
  <r>
    <s v="QNM"/>
    <s v="UBND XÃ TAM THĂNG"/>
    <s v="NLMT"/>
    <n v="225568182"/>
    <d v="2024-01-01T00:00:00"/>
    <n v="1"/>
    <n v="2024"/>
    <s v="Duyên hải Nam Trung Bộ"/>
    <s v="Sở ban ngành"/>
    <x v="0"/>
    <s v="K"/>
    <n v="225.56818200000001"/>
  </r>
  <r>
    <s v="BTN"/>
    <s v="UBND XÃ TÂN HÀ"/>
    <s v="Smarthome"/>
    <n v="161363636"/>
    <d v="2024-01-01T00:00:00"/>
    <n v="1"/>
    <n v="2024"/>
    <s v="Duyên hải Nam Trung Bộ"/>
    <s v="Sở ban ngành"/>
    <x v="1"/>
    <s v="U"/>
    <n v="161.36363600000001"/>
  </r>
  <r>
    <s v="BTN"/>
    <s v="UBND XÃ TÂN PHÚC"/>
    <s v="Smarthome"/>
    <n v="213309091"/>
    <d v="2024-01-01T00:00:00"/>
    <n v="1"/>
    <n v="2024"/>
    <s v="Duyên hải Nam Trung Bộ"/>
    <s v="Sở ban ngành"/>
    <x v="0"/>
    <s v="U"/>
    <n v="213.309091"/>
  </r>
  <r>
    <s v="BTN"/>
    <s v="UBND XÃ TÂN PHÚC"/>
    <s v="Smarthome"/>
    <n v="160763636"/>
    <d v="2024-01-01T00:00:00"/>
    <n v="1"/>
    <n v="2024"/>
    <s v="Duyên hải Nam Trung Bộ"/>
    <s v="Sở ban ngành"/>
    <x v="1"/>
    <s v="U"/>
    <n v="160.76363599999999"/>
  </r>
  <r>
    <s v="BTN"/>
    <s v="UBND XÃ TÂN XUÂN"/>
    <s v="Smarthome"/>
    <n v="152363636"/>
    <d v="2024-01-01T00:00:00"/>
    <n v="1"/>
    <n v="2024"/>
    <s v="Duyên hải Nam Trung Bộ"/>
    <s v="Sở ban ngành"/>
    <x v="0"/>
    <s v="U"/>
    <n v="152.36363600000001"/>
  </r>
  <r>
    <s v="BTN"/>
    <s v="UBND XÃ TÂN XUÂN"/>
    <s v="Smarthome"/>
    <n v="162054545"/>
    <d v="2024-01-01T00:00:00"/>
    <n v="1"/>
    <n v="2024"/>
    <s v="Duyên hải Nam Trung Bộ"/>
    <s v="Sở ban ngành"/>
    <x v="1"/>
    <s v="U"/>
    <n v="162.05454499999999"/>
  </r>
  <r>
    <s v="HDG"/>
    <s v="UBND XÃ THÁI TÂN"/>
    <s v="DVKT"/>
    <n v="34669455"/>
    <d v="2024-01-01T00:00:00"/>
    <n v="1"/>
    <n v="2024"/>
    <s v="ĐB Sông Hồng"/>
    <s v="Sở ban ngành"/>
    <x v="0"/>
    <s v="B"/>
    <n v="34.669454999999999"/>
  </r>
  <r>
    <s v="HDG"/>
    <s v="UBND XÃ THÁI TÂN"/>
    <s v="DVKT"/>
    <n v="36512182"/>
    <d v="2024-01-01T00:00:00"/>
    <n v="1"/>
    <n v="2024"/>
    <s v="ĐB Sông Hồng"/>
    <s v="Sở ban ngành"/>
    <x v="1"/>
    <s v="B"/>
    <n v="36.512182000000003"/>
  </r>
  <r>
    <s v="HDG"/>
    <s v="UBND XÃ THÁI TÂN"/>
    <s v="DVKT"/>
    <n v="43157273"/>
    <d v="2024-01-01T00:00:00"/>
    <n v="1"/>
    <n v="2024"/>
    <s v="ĐB Sông Hồng"/>
    <s v="Sở ban ngành"/>
    <x v="0"/>
    <s v="B"/>
    <n v="43.157273000000004"/>
  </r>
  <r>
    <s v="HDG"/>
    <s v="UBND XÃ THÁI TÂN"/>
    <s v="DVKT"/>
    <n v="42808545"/>
    <d v="2024-01-01T00:00:00"/>
    <n v="1"/>
    <n v="2024"/>
    <s v="ĐB Sông Hồng"/>
    <s v="Sở ban ngành"/>
    <x v="1"/>
    <s v="B"/>
    <n v="42.808545000000002"/>
  </r>
  <r>
    <s v="HDG"/>
    <s v="UBND XÃ THÁI TÂN"/>
    <s v="DVKT"/>
    <n v="36319818"/>
    <d v="2024-01-01T00:00:00"/>
    <n v="1"/>
    <n v="2024"/>
    <s v="ĐB Sông Hồng"/>
    <s v="Sở ban ngành"/>
    <x v="0"/>
    <s v="B"/>
    <n v="36.319817999999998"/>
  </r>
  <r>
    <s v="NAN"/>
    <s v="UBND XÃ TRUNG THÀNH"/>
    <s v="ICT"/>
    <n v="80882727"/>
    <d v="2024-01-01T00:00:00"/>
    <n v="1"/>
    <n v="2024"/>
    <s v="Bắc Trung Bộ"/>
    <s v="Sở ban ngành"/>
    <x v="1"/>
    <s v="B"/>
    <n v="80.882727000000003"/>
  </r>
  <r>
    <s v="NAN"/>
    <s v="UBND XÃ VĂN LỢI"/>
    <s v="Smarthome"/>
    <n v="254254545"/>
    <d v="2024-01-01T00:00:00"/>
    <n v="1"/>
    <n v="2024"/>
    <s v="Bắc Trung Bộ"/>
    <s v="Sở ban ngành"/>
    <x v="0"/>
    <s v="H"/>
    <n v="254.25454500000001"/>
  </r>
  <r>
    <s v="TQG"/>
    <s v="UBND XÃ XUÂN QUANG"/>
    <s v="ICT"/>
    <n v="49583636"/>
    <d v="2024-01-01T00:00:00"/>
    <n v="1"/>
    <n v="2024"/>
    <s v="Đông Bắc Bộ"/>
    <s v="Sở ban ngành"/>
    <x v="1"/>
    <s v="B"/>
    <n v="49.583635999999998"/>
  </r>
  <r>
    <s v="AGG"/>
    <s v="ỦY BAN MẶT TRẬN TỔ QUỐC VIỆT NAM THỊ TRẤN MỸ LUÔNG"/>
    <s v="ME"/>
    <n v="19681818"/>
    <d v="2024-01-01T00:00:00"/>
    <n v="1"/>
    <n v="2024"/>
    <s v="ĐB Sông Cửu Long"/>
    <s v="Sở ban ngành"/>
    <x v="0"/>
    <s v="O"/>
    <n v="19.681818"/>
  </r>
  <r>
    <s v="VLG"/>
    <s v="ỦY BAN NHÂN DÂN PHƯỜNG TÂN HỘI"/>
    <s v="ME"/>
    <n v="48636364"/>
    <d v="2024-01-01T00:00:00"/>
    <n v="1"/>
    <n v="2024"/>
    <s v="ĐB Sông Cửu Long"/>
    <s v="Sở ban ngành"/>
    <x v="1"/>
    <s v="Q"/>
    <n v="48.636364"/>
  </r>
  <r>
    <s v="TBH"/>
    <s v="UỶ BAN NHÂN DÂN XÃ ĐÔNG TRÀ"/>
    <s v="ICT"/>
    <n v="108620000"/>
    <d v="2024-01-01T00:00:00"/>
    <n v="1"/>
    <n v="2024"/>
    <s v="ĐB Sông Hồng"/>
    <s v="Sở ban ngành"/>
    <x v="0"/>
    <s v="B"/>
    <n v="108.62"/>
  </r>
  <r>
    <s v="AGG"/>
    <s v="VĂN PHÒNG HĐND VÀ UBND HUYỆN CHÂU THÀNH"/>
    <s v="ICT"/>
    <n v="90282545"/>
    <d v="2024-01-01T00:00:00"/>
    <n v="1"/>
    <n v="2024"/>
    <s v="ĐB Sông Cửu Long"/>
    <s v="Sở ban ngành"/>
    <x v="1"/>
    <s v="B"/>
    <n v="90.282544999999999"/>
  </r>
  <r>
    <s v="VLG"/>
    <s v="VĂN PHÒNG HUYỆN ỦY TAM BÌNH"/>
    <s v="NLMT"/>
    <n v="36172727"/>
    <d v="2024-01-01T00:00:00"/>
    <n v="1"/>
    <n v="2024"/>
    <s v="ĐB Sông Cửu Long"/>
    <s v="Sở ban ngành"/>
    <x v="0"/>
    <s v="K"/>
    <n v="36.172727000000002"/>
  </r>
  <r>
    <s v="CMU"/>
    <s v="VĂN PHÒNG THÀNH UỶ CÀ MAU"/>
    <s v="ICT"/>
    <n v="87961818"/>
    <d v="2024-01-01T00:00:00"/>
    <n v="1"/>
    <n v="2024"/>
    <s v="ĐB Sông Cửu Long"/>
    <s v="Sở ban ngành"/>
    <x v="1"/>
    <s v="A"/>
    <n v="87.961817999999994"/>
  </r>
  <r>
    <s v="HNI"/>
    <s v="VĂN PHÒNG TRUNG ƯƠNG ĐOÀN THANH NIÊN CỘNG SẢN HỒ CHÍ MINH"/>
    <s v="ICT"/>
    <n v="88500000"/>
    <d v="2024-01-01T00:00:00"/>
    <n v="1"/>
    <n v="2024"/>
    <s v="ĐB Sông Hồng"/>
    <s v="Sở ban ngành"/>
    <x v="0"/>
    <s v="F"/>
    <n v="88.5"/>
  </r>
  <r>
    <s v="BTE"/>
    <s v="TRƯỜNG MẦM NON LONG THỚI"/>
    <s v="ICT"/>
    <n v="8954545"/>
    <d v="2024-01-01T00:00:00"/>
    <n v="1"/>
    <n v="2024"/>
    <s v="ĐB Sông Cửu Long"/>
    <s v="Trường học"/>
    <x v="1"/>
    <s v="A"/>
    <n v="8.9545449999999995"/>
  </r>
  <r>
    <s v="LCU"/>
    <s v="TRƯỜNG PHỔ THÔNG DÂN TỘC BÁN TRÚ THCS XÃ KHOEN ON"/>
    <s v="ICT"/>
    <n v="10681818"/>
    <d v="2024-01-01T00:00:00"/>
    <n v="1"/>
    <n v="2024"/>
    <s v="Tây Bắc Bộ"/>
    <s v="Trường học"/>
    <x v="0"/>
    <s v="B"/>
    <n v="10.681818"/>
  </r>
  <r>
    <s v="YBI"/>
    <s v="TRƯỜNG PT DÂN TỘC NỘI TRÚ THPT TỈNH YÊN BÁI"/>
    <s v="ICT"/>
    <n v="19000000"/>
    <d v="2024-01-01T00:00:00"/>
    <n v="1"/>
    <n v="2024"/>
    <s v="Tây Bắc Bộ"/>
    <s v="Trường học"/>
    <x v="1"/>
    <s v="F"/>
    <n v="19"/>
  </r>
  <r>
    <s v="DLK"/>
    <s v="TRƯỜNG TH NGUYỄN ĐÌNH CHIỂU"/>
    <s v="ICT"/>
    <n v="8918818"/>
    <d v="2024-01-01T00:00:00"/>
    <n v="1"/>
    <n v="2024"/>
    <s v="Tây Nguyên"/>
    <s v="Trường học"/>
    <x v="0"/>
    <s v="A"/>
    <n v="8.9188179999999999"/>
  </r>
  <r>
    <s v="KHA"/>
    <s v="TRƯỜNG THCS NGUYỄN TRUNG TRỰC"/>
    <s v="ICT"/>
    <n v="13636364"/>
    <d v="2024-01-01T00:00:00"/>
    <n v="1"/>
    <n v="2024"/>
    <s v="Duyên hải Nam Trung Bộ"/>
    <s v="Trường học"/>
    <x v="1"/>
    <s v="A"/>
    <n v="13.636364"/>
  </r>
  <r>
    <s v="LCI"/>
    <s v="TRƯỜNG THCS SỐ 2 VÕ LAO"/>
    <s v="ICT"/>
    <n v="63636364"/>
    <d v="2024-01-01T00:00:00"/>
    <n v="1"/>
    <n v="2024"/>
    <s v="Tây Bắc Bộ"/>
    <s v="Trường học"/>
    <x v="0"/>
    <s v="F"/>
    <n v="63.636364"/>
  </r>
  <r>
    <s v="KHA"/>
    <s v="TRƯỜNG THCS TRẦN QUANG KHẢI"/>
    <s v="ICT"/>
    <n v="13245455"/>
    <d v="2024-01-01T00:00:00"/>
    <n v="1"/>
    <n v="2024"/>
    <s v="Duyên hải Nam Trung Bộ"/>
    <s v="Trường học"/>
    <x v="1"/>
    <s v="A"/>
    <n v="13.245455"/>
  </r>
  <r>
    <s v="TVH"/>
    <s v="TRƯỜNG THPT CẦU KÈ"/>
    <s v="ICT"/>
    <n v="111739972"/>
    <d v="2024-01-01T00:00:00"/>
    <n v="1"/>
    <n v="2024"/>
    <s v="ĐB Sông Cửu Long"/>
    <s v="Trường học"/>
    <x v="0"/>
    <s v="B"/>
    <n v="111.73997199999999"/>
  </r>
  <r>
    <s v="NAN"/>
    <s v="TRƯỜNG THPT NGUYỄN DUY TRINH"/>
    <s v="ICT"/>
    <n v="71854545"/>
    <d v="2024-01-01T00:00:00"/>
    <n v="1"/>
    <n v="2024"/>
    <s v="Bắc Trung Bộ"/>
    <s v="Trường học"/>
    <x v="1"/>
    <s v="F"/>
    <n v="71.854545000000002"/>
  </r>
  <r>
    <s v="NAN"/>
    <s v="TRƯỜNG THPT NGUYỄN DUY TRINH"/>
    <s v="ICT"/>
    <n v="71854545"/>
    <d v="2024-01-01T00:00:00"/>
    <n v="1"/>
    <n v="2024"/>
    <s v="Bắc Trung Bộ"/>
    <s v="Trường học"/>
    <x v="0"/>
    <s v="F"/>
    <n v="71.854545000000002"/>
  </r>
  <r>
    <s v="NAN"/>
    <s v="TRƯỜNG THPT NGUYỄN DUY TRINH"/>
    <s v="ICT"/>
    <n v="35927273"/>
    <d v="2024-01-01T00:00:00"/>
    <n v="1"/>
    <n v="2024"/>
    <s v="Bắc Trung Bộ"/>
    <s v="Trường học"/>
    <x v="1"/>
    <s v="F"/>
    <n v="35.927273"/>
  </r>
  <r>
    <s v="BTE"/>
    <s v="TRƯỜNG THPT NGUYỄN NGỌC THĂNG"/>
    <s v="ICT"/>
    <n v="32800909"/>
    <d v="2024-01-01T00:00:00"/>
    <n v="1"/>
    <n v="2024"/>
    <s v="ĐB Sông Cửu Long"/>
    <s v="Trường học"/>
    <x v="0"/>
    <s v="A"/>
    <n v="32.800908999999997"/>
  </r>
  <r>
    <s v="HTH"/>
    <s v="TRƯỜNG THPT NGUYỄN THỊ BÍCH CHÂU"/>
    <s v="ICT"/>
    <n v="59045455"/>
    <d v="2024-01-01T00:00:00"/>
    <n v="1"/>
    <n v="2024"/>
    <s v="Bắc Trung Bộ"/>
    <s v="Trường học"/>
    <x v="1"/>
    <s v="A"/>
    <n v="59.045454999999997"/>
  </r>
  <r>
    <s v="SLA"/>
    <s v="TRƯỜNG THPT SÔNG MÃ"/>
    <s v="ICT"/>
    <n v="45272727"/>
    <d v="2024-01-01T00:00:00"/>
    <n v="1"/>
    <n v="2024"/>
    <s v="Tây Bắc Bộ"/>
    <s v="Trường học"/>
    <x v="0"/>
    <s v="A"/>
    <n v="45.272727000000003"/>
  </r>
  <r>
    <s v="SLA"/>
    <s v="TRƯỜNG THPT SỐP CỘP"/>
    <s v="ICT"/>
    <n v="89501091"/>
    <d v="2024-01-01T00:00:00"/>
    <n v="1"/>
    <n v="2024"/>
    <s v="Tây Bắc Bộ"/>
    <s v="Trường học"/>
    <x v="1"/>
    <s v="A"/>
    <n v="89.501091000000002"/>
  </r>
  <r>
    <s v="BDG"/>
    <s v="TRƯỜNG THPT VÕ MINH ĐỨC"/>
    <s v="Smarthome"/>
    <n v="580909091"/>
    <d v="2024-01-01T00:00:00"/>
    <n v="1"/>
    <n v="2024"/>
    <s v="Đông Nam Bộ"/>
    <s v="Trường học"/>
    <x v="0"/>
    <s v="I"/>
    <n v="580.90909099999999"/>
  </r>
  <r>
    <s v="BDG"/>
    <s v="TRƯỜNG THPT VÕ MINH ĐỨC"/>
    <s v="Smarthome"/>
    <n v="580909091"/>
    <d v="2024-01-01T00:00:00"/>
    <n v="1"/>
    <n v="2024"/>
    <s v="Đông Nam Bộ"/>
    <s v="Trường học"/>
    <x v="1"/>
    <s v="I"/>
    <n v="580.90909099999999"/>
  </r>
  <r>
    <s v="BGG"/>
    <s v="TRƯỜNG TIỂU HỌC BẢO ĐÀI"/>
    <s v="ICT"/>
    <n v="27180000"/>
    <d v="2024-01-01T00:00:00"/>
    <n v="1"/>
    <n v="2024"/>
    <s v="Đông Bắc Bộ"/>
    <s v="Trường học"/>
    <x v="0"/>
    <s v="F"/>
    <n v="27.18"/>
  </r>
  <r>
    <s v="BGG"/>
    <s v="TRƯỜNG TIỂU HỌC ĐỨC THẮNG 2"/>
    <s v="ICT"/>
    <n v="41970000"/>
    <d v="2024-01-01T00:00:00"/>
    <n v="1"/>
    <n v="2024"/>
    <s v="Đông Bắc Bộ"/>
    <s v="Trường học"/>
    <x v="1"/>
    <s v="A"/>
    <n v="41.97"/>
  </r>
  <r>
    <s v="LDG"/>
    <s v="TRƯỜNG TIỂU HỌC NGHĨA HIỆP"/>
    <s v="ICT"/>
    <n v="31272727"/>
    <d v="2024-01-01T00:00:00"/>
    <n v="1"/>
    <n v="2024"/>
    <s v="Tây Nguyên"/>
    <s v="Trường học"/>
    <x v="0"/>
    <s v="A"/>
    <n v="31.272727"/>
  </r>
  <r>
    <s v="BDH"/>
    <s v="TRƯỜNG TIỂU HỌC TÂY PHÚ"/>
    <s v="ICT"/>
    <n v="40000000"/>
    <d v="2024-01-01T00:00:00"/>
    <n v="1"/>
    <n v="2024"/>
    <s v="Duyên hải Nam Trung Bộ"/>
    <s v="Trường học"/>
    <x v="1"/>
    <s v="A"/>
    <n v="40"/>
  </r>
  <r>
    <s v="BTE"/>
    <s v="TRƯỜNG TIỂU HỌC THỚI LAI"/>
    <s v="ICT"/>
    <n v="8590909"/>
    <d v="2024-01-01T00:00:00"/>
    <n v="1"/>
    <n v="2024"/>
    <s v="ĐB Sông Cửu Long"/>
    <s v="Trường học"/>
    <x v="0"/>
    <s v="A"/>
    <n v="8.5909089999999999"/>
  </r>
  <r>
    <s v="PYN"/>
    <s v="TRƯỜNG TIỂU HỌC VÀ TRUNG HỌC CƠ SỞ SƠN THÀNH TÂY"/>
    <s v="ICT"/>
    <n v="4159091"/>
    <d v="2024-01-01T00:00:00"/>
    <n v="1"/>
    <n v="2024"/>
    <s v="Duyên hải Nam Trung Bộ"/>
    <s v="Trường học"/>
    <x v="1"/>
    <s v="A"/>
    <n v="4.1590910000000001"/>
  </r>
  <r>
    <s v="PTO"/>
    <s v="Trường trung học cơ sở Hương Nộn"/>
    <s v="DVKT"/>
    <n v="53991818"/>
    <d v="2024-01-01T00:00:00"/>
    <n v="1"/>
    <n v="2024"/>
    <s v="Đông Bắc Bộ"/>
    <s v="Trường học"/>
    <x v="0"/>
    <s v="B"/>
    <n v="53.991818000000002"/>
  </r>
  <r>
    <s v="DTP"/>
    <s v="TRƯỜNG TRUNG HỌC CƠ SỞ THANH BÌNH"/>
    <s v="ICT"/>
    <n v="34490000"/>
    <d v="2024-01-01T00:00:00"/>
    <n v="1"/>
    <n v="2024"/>
    <s v="ĐB Sông Cửu Long"/>
    <s v="Trường học"/>
    <x v="1"/>
    <s v="A"/>
    <n v="34.49"/>
  </r>
  <r>
    <s v="HUG"/>
    <s v="Bệnh Viện An Bình"/>
    <s v="ME"/>
    <n v="336009091"/>
    <d v="2025-01-01T00:00:00"/>
    <n v="1"/>
    <n v="2025"/>
    <s v="ĐB Sông Cửu Long"/>
    <s v="Bệnh viện"/>
    <x v="0"/>
    <s v="C"/>
    <n v="336.00909100000001"/>
  </r>
  <r>
    <s v="VLG"/>
    <s v="Bệnh Viện Đa Khoa Vĩnh Long"/>
    <s v="ICT"/>
    <n v="43000000"/>
    <d v="2025-01-01T00:00:00"/>
    <n v="1"/>
    <n v="2025"/>
    <s v="ĐB Sông Cửu Long"/>
    <s v="Bệnh viện"/>
    <x v="1"/>
    <s v="T"/>
    <n v="43"/>
  </r>
  <r>
    <s v="TBH"/>
    <s v="Công ty 2"/>
    <s v="ME"/>
    <n v="4144945010"/>
    <d v="2025-01-01T00:00:00"/>
    <n v="1"/>
    <n v="2025"/>
    <s v="ĐB Sông Hồng"/>
    <s v="Doanh nghiệp"/>
    <x v="0"/>
    <s v="M"/>
    <n v="4144.9450100000004"/>
  </r>
  <r>
    <s v="BPC"/>
    <s v="Công ty 33"/>
    <s v="ICT"/>
    <n v="18943636"/>
    <d v="2025-01-01T00:00:00"/>
    <n v="1"/>
    <n v="2025"/>
    <s v="Đông Nam Bộ"/>
    <s v="Doanh nghiệp"/>
    <x v="1"/>
    <s v="A"/>
    <n v="18.943636000000001"/>
  </r>
  <r>
    <s v="GLI"/>
    <s v="Công ty 30"/>
    <s v="NLMT"/>
    <n v="476726350"/>
    <d v="2025-01-01T00:00:00"/>
    <n v="1"/>
    <n v="2025"/>
    <s v="Tây Nguyên"/>
    <s v="Doanh nghiệp"/>
    <x v="0"/>
    <s v="D"/>
    <n v="476.72635000000002"/>
  </r>
  <r>
    <s v="HDG"/>
    <s v="Công ty 42"/>
    <s v="ME"/>
    <n v="189189182"/>
    <d v="2025-01-01T00:00:00"/>
    <n v="1"/>
    <n v="2025"/>
    <s v="ĐB Sông Hồng"/>
    <s v="Doanh nghiệp"/>
    <x v="1"/>
    <s v="C"/>
    <n v="189.18918199999999"/>
  </r>
  <r>
    <s v="DBN"/>
    <s v="Công ty 63"/>
    <s v="NLMT"/>
    <n v="49090909"/>
    <d v="2025-01-01T00:00:00"/>
    <n v="1"/>
    <n v="2025"/>
    <s v="Tây Bắc Bộ"/>
    <s v="Doanh nghiệp"/>
    <x v="0"/>
    <s v="K"/>
    <n v="49.090909000000003"/>
  </r>
  <r>
    <s v="DNG"/>
    <s v="Công ty 92"/>
    <s v="ICT"/>
    <n v="4935455"/>
    <d v="2025-01-01T00:00:00"/>
    <n v="1"/>
    <n v="2025"/>
    <s v="Duyên hải Nam Trung Bộ"/>
    <s v="Doanh nghiệp"/>
    <x v="1"/>
    <s v="B"/>
    <n v="4.9354550000000001"/>
  </r>
  <r>
    <s v="TNN"/>
    <s v="Công ty 3"/>
    <s v="DVKT"/>
    <n v="24886364"/>
    <d v="2025-01-01T00:00:00"/>
    <n v="1"/>
    <n v="2025"/>
    <s v="Đông Bắc Bộ"/>
    <s v="Doanh nghiệp"/>
    <x v="0"/>
    <s v="B"/>
    <n v="24.886364"/>
  </r>
  <r>
    <s v="KHA"/>
    <s v="Công ty 41"/>
    <s v="ICT"/>
    <n v="49418182"/>
    <d v="2025-01-01T00:00:00"/>
    <n v="1"/>
    <n v="2025"/>
    <s v="Duyên hải Nam Trung Bộ"/>
    <s v="Doanh nghiệp"/>
    <x v="1"/>
    <s v="A"/>
    <n v="49.418182000000002"/>
  </r>
  <r>
    <s v="LSN"/>
    <s v="Công ty 50"/>
    <s v="ICT"/>
    <n v="50984000"/>
    <d v="2025-01-01T00:00:00"/>
    <n v="1"/>
    <n v="2025"/>
    <s v="Đông Bắc Bộ"/>
    <s v="Doanh nghiệp"/>
    <x v="0"/>
    <s v="B"/>
    <n v="50.984000000000002"/>
  </r>
  <r>
    <s v="PTO"/>
    <s v="Công ty 95"/>
    <s v="DVKT"/>
    <n v="224730455"/>
    <d v="2025-01-01T00:00:00"/>
    <n v="1"/>
    <n v="2025"/>
    <s v="Đông Bắc Bộ"/>
    <s v="Doanh nghiệp"/>
    <x v="1"/>
    <s v="B"/>
    <n v="224.73045500000001"/>
  </r>
  <r>
    <s v="PTO"/>
    <s v="Công ty 96"/>
    <s v="DVKT"/>
    <n v="292753373"/>
    <d v="2025-01-01T00:00:00"/>
    <n v="1"/>
    <n v="2025"/>
    <s v="Đông Bắc Bộ"/>
    <s v="Doanh nghiệp"/>
    <x v="0"/>
    <s v="B"/>
    <n v="292.75337300000001"/>
  </r>
  <r>
    <s v="LDG"/>
    <s v="Công ty 10"/>
    <s v="ICT"/>
    <n v="148586818"/>
    <d v="2025-01-01T00:00:00"/>
    <n v="1"/>
    <n v="2025"/>
    <s v="Tây Nguyên"/>
    <s v="Doanh nghiệp"/>
    <x v="1"/>
    <s v="A"/>
    <n v="148.58681799999999"/>
  </r>
  <r>
    <s v="KHA"/>
    <s v="Công ty 60"/>
    <s v="DVKT"/>
    <n v="178230000"/>
    <d v="2025-01-01T00:00:00"/>
    <n v="1"/>
    <n v="2025"/>
    <s v="Duyên hải Nam Trung Bộ"/>
    <s v="Doanh nghiệp"/>
    <x v="0"/>
    <s v="A"/>
    <n v="178.23"/>
  </r>
  <r>
    <s v="PTO"/>
    <s v="Công ty 4"/>
    <s v="DVKT"/>
    <n v="83818182"/>
    <d v="2025-01-01T00:00:00"/>
    <n v="1"/>
    <n v="2025"/>
    <s v="Đông Bắc Bộ"/>
    <s v="Doanh nghiệp"/>
    <x v="1"/>
    <s v="B"/>
    <n v="83.818181999999993"/>
  </r>
  <r>
    <s v="KTM"/>
    <s v="Công ty 36"/>
    <s v="ME"/>
    <n v="533059091"/>
    <d v="2025-01-01T00:00:00"/>
    <n v="1"/>
    <n v="2025"/>
    <s v="Tây Nguyên"/>
    <s v="Doanh nghiệp"/>
    <x v="0"/>
    <s v="C"/>
    <n v="533.05909099999997"/>
  </r>
  <r>
    <s v="TGG"/>
    <s v="Công ty 47"/>
    <s v="ME"/>
    <n v="7689925366"/>
    <d v="2025-01-01T00:00:00"/>
    <n v="1"/>
    <n v="2025"/>
    <s v="ĐB Sông Cửu Long"/>
    <s v="Doanh nghiệp"/>
    <x v="1"/>
    <s v="C"/>
    <n v="7689.9253660000004"/>
  </r>
  <r>
    <s v="BDH"/>
    <s v="Công ty 54"/>
    <s v="DVKT"/>
    <n v="212291091"/>
    <d v="2025-01-01T00:00:00"/>
    <n v="1"/>
    <n v="2025"/>
    <s v="Duyên hải Nam Trung Bộ"/>
    <s v="Doanh nghiệp"/>
    <x v="0"/>
    <s v="B"/>
    <n v="212.29109099999999"/>
  </r>
  <r>
    <s v="BDH"/>
    <s v="Công ty 55"/>
    <s v="ICT"/>
    <n v="182426727"/>
    <d v="2025-01-01T00:00:00"/>
    <n v="1"/>
    <n v="2025"/>
    <s v="Duyên hải Nam Trung Bộ"/>
    <s v="Doanh nghiệp"/>
    <x v="1"/>
    <s v="B"/>
    <n v="182.426727"/>
  </r>
  <r>
    <s v="AGG"/>
    <s v="Công ty 6"/>
    <s v="ICT"/>
    <n v="58600000"/>
    <d v="2025-01-01T00:00:00"/>
    <n v="1"/>
    <n v="2025"/>
    <s v="ĐB Sông Cửu Long"/>
    <s v="Doanh nghiệp"/>
    <x v="0"/>
    <s v="B"/>
    <n v="58.6"/>
  </r>
  <r>
    <s v="BTN"/>
    <s v="Công ty 14"/>
    <s v="ICT"/>
    <n v="16720000"/>
    <d v="2025-01-01T00:00:00"/>
    <n v="1"/>
    <n v="2025"/>
    <s v="Duyên hải Nam Trung Bộ"/>
    <s v="Doanh nghiệp"/>
    <x v="1"/>
    <s v="B"/>
    <n v="16.72"/>
  </r>
  <r>
    <s v="BPC"/>
    <s v="Công ty 60"/>
    <s v="DVKT"/>
    <n v="19440000"/>
    <d v="2025-01-01T00:00:00"/>
    <n v="1"/>
    <n v="2025"/>
    <s v="Đông Nam Bộ"/>
    <s v="Doanh nghiệp"/>
    <x v="0"/>
    <s v="A"/>
    <n v="19.440000000000001"/>
  </r>
  <r>
    <s v="NAN"/>
    <s v="Công ty 61"/>
    <s v="NLMT"/>
    <n v="111930864"/>
    <d v="2025-01-01T00:00:00"/>
    <n v="1"/>
    <n v="2025"/>
    <s v="Bắc Trung Bộ"/>
    <s v="Doanh nghiệp"/>
    <x v="1"/>
    <s v="D"/>
    <n v="111.930864"/>
  </r>
  <r>
    <s v="NDH"/>
    <s v="Công ty 75"/>
    <s v="NLMT"/>
    <n v="3411049554"/>
    <d v="2025-01-01T00:00:00"/>
    <n v="1"/>
    <n v="2025"/>
    <s v="ĐB Sông Hồng"/>
    <s v="Doanh nghiệp"/>
    <x v="0"/>
    <s v="D"/>
    <n v="3411.0495540000002"/>
  </r>
  <r>
    <s v="TVH"/>
    <s v="Công ty 94"/>
    <s v="NLMT"/>
    <n v="135000000"/>
    <d v="2025-01-01T00:00:00"/>
    <n v="1"/>
    <n v="2025"/>
    <s v="ĐB Sông Cửu Long"/>
    <s v="Doanh nghiệp"/>
    <x v="1"/>
    <s v="D"/>
    <n v="135"/>
  </r>
  <r>
    <s v="DNI"/>
    <s v="Công ty 95"/>
    <s v="NLMT"/>
    <n v="8546406000"/>
    <d v="2025-01-01T00:00:00"/>
    <n v="1"/>
    <n v="2025"/>
    <s v="Đông Nam Bộ"/>
    <s v="Doanh nghiệp"/>
    <x v="0"/>
    <s v="D"/>
    <n v="8546.4060000000009"/>
  </r>
  <r>
    <s v="BDH"/>
    <s v="Công ty 27"/>
    <s v="ICT"/>
    <n v="10571636"/>
    <d v="2025-01-01T00:00:00"/>
    <n v="1"/>
    <n v="2025"/>
    <s v="Duyên hải Nam Trung Bộ"/>
    <s v="Doanh nghiệp"/>
    <x v="1"/>
    <s v="F"/>
    <n v="10.571636"/>
  </r>
  <r>
    <s v="BPC"/>
    <s v="Công ty 42"/>
    <s v="ME"/>
    <n v="38627273"/>
    <d v="2025-01-01T00:00:00"/>
    <n v="1"/>
    <n v="2025"/>
    <s v="Đông Nam Bộ"/>
    <s v="Doanh nghiệp"/>
    <x v="0"/>
    <s v="C"/>
    <n v="38.627273000000002"/>
  </r>
  <r>
    <s v="NTN"/>
    <s v="Công ty 70"/>
    <s v="NLMT"/>
    <n v="390909091"/>
    <d v="2025-01-01T00:00:00"/>
    <n v="1"/>
    <n v="2025"/>
    <s v="Duyên hải Nam Trung Bộ"/>
    <s v="Doanh nghiệp"/>
    <x v="1"/>
    <s v="D"/>
    <n v="390.90909099999999"/>
  </r>
  <r>
    <s v="GLI"/>
    <s v="Công ty 94"/>
    <s v="NLMT"/>
    <n v="109056818"/>
    <d v="2025-01-01T00:00:00"/>
    <n v="1"/>
    <n v="2025"/>
    <s v="Tây Nguyên"/>
    <s v="Doanh nghiệp"/>
    <x v="0"/>
    <s v="D"/>
    <n v="109.05681800000001"/>
  </r>
  <r>
    <s v="DNG"/>
    <s v="Công ty 7"/>
    <s v="DVKT"/>
    <n v="508699000"/>
    <d v="2025-01-01T00:00:00"/>
    <n v="1"/>
    <n v="2025"/>
    <s v="Duyên hải Nam Trung Bộ"/>
    <s v="Doanh nghiệp"/>
    <x v="1"/>
    <s v="E"/>
    <n v="508.69900000000001"/>
  </r>
  <r>
    <s v="BPC"/>
    <s v="Công ty 18"/>
    <s v="DVKT"/>
    <n v="21364364"/>
    <d v="2025-01-01T00:00:00"/>
    <n v="1"/>
    <n v="2025"/>
    <s v="Đông Nam Bộ"/>
    <s v="Doanh nghiệp"/>
    <x v="0"/>
    <s v="D"/>
    <n v="21.364363999999998"/>
  </r>
  <r>
    <s v="KHA"/>
    <s v="Công ty 22"/>
    <s v="NLMT"/>
    <n v="208636364"/>
    <d v="2025-01-01T00:00:00"/>
    <n v="1"/>
    <n v="2025"/>
    <s v="Duyên hải Nam Trung Bộ"/>
    <s v="Doanh nghiệp"/>
    <x v="1"/>
    <s v="D"/>
    <n v="208.63636399999999"/>
  </r>
  <r>
    <s v="DNI"/>
    <s v="Công ty 32"/>
    <s v="ICT"/>
    <n v="5319767727"/>
    <d v="2025-01-01T00:00:00"/>
    <n v="1"/>
    <n v="2025"/>
    <s v="Đông Nam Bộ"/>
    <s v="Doanh nghiệp"/>
    <x v="0"/>
    <s v="A"/>
    <n v="5319.7677270000004"/>
  </r>
  <r>
    <s v="HNI"/>
    <s v="Công ty 34"/>
    <s v="ICT"/>
    <n v="205491273"/>
    <d v="2025-01-01T00:00:00"/>
    <n v="1"/>
    <n v="2025"/>
    <s v="ĐB Sông Hồng"/>
    <s v="Doanh nghiệp"/>
    <x v="1"/>
    <s v="F"/>
    <n v="205.49127300000001"/>
  </r>
  <r>
    <s v="CTO"/>
    <s v="Công ty 91"/>
    <s v="ICT"/>
    <n v="29778182"/>
    <d v="2025-01-01T00:00:00"/>
    <n v="1"/>
    <n v="2025"/>
    <s v="ĐB Sông Cửu Long"/>
    <s v="Doanh nghiệp"/>
    <x v="0"/>
    <s v="B"/>
    <n v="29.778182000000001"/>
  </r>
  <r>
    <s v="CMU"/>
    <s v="Công ty 53"/>
    <s v="DVKT"/>
    <n v="37356586"/>
    <d v="2025-01-01T00:00:00"/>
    <n v="1"/>
    <n v="2025"/>
    <s v="ĐB Sông Cửu Long"/>
    <s v="Doanh nghiệp"/>
    <x v="1"/>
    <s v="D"/>
    <n v="37.356586"/>
  </r>
  <r>
    <s v="NAN"/>
    <s v="Công ty 56"/>
    <s v="NLMT"/>
    <n v="438886337"/>
    <d v="2025-01-01T00:00:00"/>
    <n v="1"/>
    <n v="2025"/>
    <s v="Bắc Trung Bộ"/>
    <s v="Doanh nghiệp"/>
    <x v="0"/>
    <s v="D"/>
    <n v="438.88633700000003"/>
  </r>
  <r>
    <s v="BGG"/>
    <s v="Công ty 58"/>
    <s v="NLMT"/>
    <n v="872727273"/>
    <d v="2025-01-01T00:00:00"/>
    <n v="1"/>
    <n v="2025"/>
    <s v="Đông Bắc Bộ"/>
    <s v="Doanh nghiệp"/>
    <x v="1"/>
    <s v="D"/>
    <n v="872.72727299999997"/>
  </r>
  <r>
    <s v="VPC"/>
    <s v="Công ty 78"/>
    <s v="NLMT"/>
    <n v="136663636"/>
    <d v="2025-01-01T00:00:00"/>
    <n v="1"/>
    <n v="2025"/>
    <s v="ĐB Sông Hồng"/>
    <s v="Doanh nghiệp"/>
    <x v="0"/>
    <s v="D"/>
    <n v="136.663636"/>
  </r>
  <r>
    <s v="BLU"/>
    <s v="Công ty 98"/>
    <s v="ICT"/>
    <n v="189338568"/>
    <d v="2025-01-01T00:00:00"/>
    <n v="1"/>
    <n v="2025"/>
    <s v="ĐB Sông Cửu Long"/>
    <s v="Doanh nghiệp"/>
    <x v="1"/>
    <s v="A"/>
    <n v="189.33856800000001"/>
  </r>
  <r>
    <s v="LAN"/>
    <s v="Công ty 99"/>
    <s v="ICT"/>
    <n v="18606364"/>
    <d v="2025-01-01T00:00:00"/>
    <n v="1"/>
    <n v="2025"/>
    <s v="ĐB Sông Cửu Long"/>
    <s v="Doanh nghiệp"/>
    <x v="0"/>
    <s v="B"/>
    <n v="18.606363999999999"/>
  </r>
  <r>
    <s v="BTN"/>
    <s v="Công ty 16"/>
    <s v="ME"/>
    <n v="2044152702"/>
    <d v="2025-01-01T00:00:00"/>
    <n v="1"/>
    <n v="2025"/>
    <s v="Duyên hải Nam Trung Bộ"/>
    <s v="Doanh nghiệp"/>
    <x v="1"/>
    <s v="E"/>
    <n v="2044.1527020000001"/>
  </r>
  <r>
    <s v="TBH"/>
    <s v="Công ty 55"/>
    <s v="ICT"/>
    <n v="681846873"/>
    <d v="2025-01-01T00:00:00"/>
    <n v="1"/>
    <n v="2025"/>
    <s v="ĐB Sông Hồng"/>
    <s v="Doanh nghiệp"/>
    <x v="0"/>
    <s v="A"/>
    <n v="681.84687299999996"/>
  </r>
  <r>
    <s v="PYN"/>
    <s v="Công ty 56"/>
    <s v="ICT"/>
    <n v="6160587636"/>
    <d v="2025-01-01T00:00:00"/>
    <n v="1"/>
    <n v="2025"/>
    <s v="Duyên hải Nam Trung Bộ"/>
    <s v="Doanh nghiệp"/>
    <x v="1"/>
    <s v="B"/>
    <n v="6160.5876360000002"/>
  </r>
  <r>
    <s v="TNN"/>
    <s v="Công ty 79"/>
    <s v="NLMT"/>
    <n v="218855218"/>
    <d v="2025-01-01T00:00:00"/>
    <n v="1"/>
    <n v="2025"/>
    <s v="Đông Bắc Bộ"/>
    <s v="Doanh nghiệp"/>
    <x v="0"/>
    <s v="D"/>
    <n v="218.85521800000001"/>
  </r>
  <r>
    <s v="KGG"/>
    <s v="Công ty 82"/>
    <s v="NLMT"/>
    <n v="75454545"/>
    <d v="2025-01-01T00:00:00"/>
    <n v="1"/>
    <n v="2025"/>
    <s v="ĐB Sông Cửu Long"/>
    <s v="Doanh nghiệp"/>
    <x v="1"/>
    <s v="D"/>
    <n v="75.454544999999996"/>
  </r>
  <r>
    <s v="SLA"/>
    <s v="Công ty 70"/>
    <s v="NLMT"/>
    <n v="189090909"/>
    <d v="2025-01-01T00:00:00"/>
    <n v="1"/>
    <n v="2025"/>
    <s v="Tây Bắc Bộ"/>
    <s v="Doanh nghiệp"/>
    <x v="0"/>
    <s v="K"/>
    <n v="189.09090900000001"/>
  </r>
  <r>
    <s v="SLA"/>
    <s v="Công ty 71"/>
    <s v="NLMT"/>
    <n v="40181818"/>
    <d v="2025-01-01T00:00:00"/>
    <n v="1"/>
    <n v="2025"/>
    <s v="Tây Bắc Bộ"/>
    <s v="Doanh nghiệp"/>
    <x v="1"/>
    <s v="K"/>
    <n v="40.181818"/>
  </r>
  <r>
    <s v="DCN"/>
    <s v="Công ty 74"/>
    <s v="ME"/>
    <n v="499063636"/>
    <d v="2025-01-01T00:00:00"/>
    <n v="1"/>
    <n v="2025"/>
    <s v="Tây Nguyên"/>
    <s v="Doanh nghiệp"/>
    <x v="0"/>
    <s v="C"/>
    <n v="499.06363599999997"/>
  </r>
  <r>
    <s v="THA"/>
    <s v="Công ty 81"/>
    <s v="NLMT"/>
    <n v="336000000"/>
    <d v="2025-01-01T00:00:00"/>
    <n v="1"/>
    <n v="2025"/>
    <s v="Bắc Trung Bộ"/>
    <s v="Doanh nghiệp"/>
    <x v="1"/>
    <s v="K"/>
    <n v="336"/>
  </r>
  <r>
    <s v="PTO"/>
    <s v="Công ty 99"/>
    <s v="NLMT"/>
    <n v="1195454545"/>
    <d v="2025-01-01T00:00:00"/>
    <n v="1"/>
    <n v="2025"/>
    <s v="Đông Bắc Bộ"/>
    <s v="Doanh nghiệp"/>
    <x v="0"/>
    <s v="D"/>
    <n v="1195.4545450000001"/>
  </r>
  <r>
    <s v="NAN"/>
    <s v="Công ty 83"/>
    <s v="Smarthome"/>
    <n v="211347896"/>
    <d v="2025-01-01T00:00:00"/>
    <n v="1"/>
    <n v="2025"/>
    <s v="Bắc Trung Bộ"/>
    <s v="Doanh nghiệp"/>
    <x v="1"/>
    <s v="H"/>
    <n v="211.34789599999999"/>
  </r>
  <r>
    <s v="HDG"/>
    <s v="Công ty 97"/>
    <s v="NLMT"/>
    <n v="44818182"/>
    <d v="2025-01-01T00:00:00"/>
    <n v="1"/>
    <n v="2025"/>
    <s v="ĐB Sông Hồng"/>
    <s v="Doanh nghiệp"/>
    <x v="0"/>
    <s v="D"/>
    <n v="44.818182"/>
  </r>
  <r>
    <s v="AGG"/>
    <s v="Doanh nghiệp 5"/>
    <s v="NLMT"/>
    <n v="245834164"/>
    <d v="2025-01-01T00:00:00"/>
    <n v="1"/>
    <n v="2025"/>
    <s v="ĐB Sông Cửu Long"/>
    <s v="Doanh nghiệp"/>
    <x v="1"/>
    <s v="D"/>
    <n v="245.83416399999999"/>
  </r>
  <r>
    <s v="LSN"/>
    <s v="Doanh nghiệp 16"/>
    <s v="ICT"/>
    <n v="64112600"/>
    <d v="2025-01-01T00:00:00"/>
    <n v="1"/>
    <n v="2025"/>
    <s v="Đông Bắc Bộ"/>
    <s v="Doanh nghiệp"/>
    <x v="0"/>
    <s v="B"/>
    <n v="64.1126"/>
  </r>
  <r>
    <s v="TNN"/>
    <s v="Doanh nghiệp 1"/>
    <s v="DVKT"/>
    <n v="216995455"/>
    <d v="2025-01-01T00:00:00"/>
    <n v="1"/>
    <n v="2025"/>
    <s v="Đông Bắc Bộ"/>
    <s v="Doanh nghiệp"/>
    <x v="1"/>
    <s v="K"/>
    <n v="216.99545499999999"/>
  </r>
  <r>
    <s v="BTN"/>
    <s v="Doanh nghiệp 5"/>
    <s v="DVKT"/>
    <n v="21702384"/>
    <d v="2025-01-01T00:00:00"/>
    <n v="1"/>
    <n v="2025"/>
    <s v="Duyên hải Nam Trung Bộ"/>
    <s v="Doanh nghiệp"/>
    <x v="0"/>
    <s v="G"/>
    <n v="21.702383999999999"/>
  </r>
  <r>
    <s v="DTP"/>
    <s v="Doanh nghiệp 6"/>
    <s v="DVKT"/>
    <n v="75600000"/>
    <d v="2025-01-01T00:00:00"/>
    <n v="1"/>
    <n v="2025"/>
    <s v="ĐB Sông Cửu Long"/>
    <s v="Doanh nghiệp"/>
    <x v="1"/>
    <s v="B"/>
    <n v="75.599999999999994"/>
  </r>
  <r>
    <s v="LCI"/>
    <s v="Doanh nghiệp 7"/>
    <s v="DVKT"/>
    <n v="824426364"/>
    <d v="2025-01-01T00:00:00"/>
    <n v="1"/>
    <n v="2025"/>
    <s v="Tây Bắc Bộ"/>
    <s v="Doanh nghiệp"/>
    <x v="0"/>
    <s v="L"/>
    <n v="824.42636400000004"/>
  </r>
  <r>
    <s v="TNN"/>
    <s v="Doanh nghiệp 12"/>
    <s v="ICT"/>
    <n v="153640000"/>
    <d v="2025-01-01T00:00:00"/>
    <n v="1"/>
    <n v="2025"/>
    <s v="Đông Bắc Bộ"/>
    <s v="Doanh nghiệp"/>
    <x v="1"/>
    <s v="F"/>
    <n v="153.63999999999999"/>
  </r>
  <r>
    <s v="NAN"/>
    <s v="Doanh nghiệp 16"/>
    <s v="ICT"/>
    <n v="24377540"/>
    <d v="2025-01-01T00:00:00"/>
    <n v="1"/>
    <n v="2025"/>
    <s v="Bắc Trung Bộ"/>
    <s v="Doanh nghiệp"/>
    <x v="0"/>
    <s v="B"/>
    <n v="24.37754"/>
  </r>
  <r>
    <s v="DCN"/>
    <s v="Tập đoàn 4"/>
    <s v="ICT"/>
    <n v="230337727"/>
    <d v="2025-01-01T00:00:00"/>
    <n v="1"/>
    <n v="2025"/>
    <s v="Tây Nguyên"/>
    <s v="Doanh nghiệp"/>
    <x v="1"/>
    <s v="A"/>
    <n v="230.337727"/>
  </r>
  <r>
    <s v="HGG"/>
    <s v="Tập đoàn 12"/>
    <s v="ICT"/>
    <n v="38984727"/>
    <d v="2025-01-01T00:00:00"/>
    <n v="1"/>
    <n v="2025"/>
    <s v="Đông Bắc Bộ"/>
    <s v="Doanh nghiệp"/>
    <x v="0"/>
    <s v="A"/>
    <n v="38.984726999999999"/>
  </r>
  <r>
    <s v="LDG"/>
    <s v="Tập đoàn 26"/>
    <s v="ICT"/>
    <n v="7381818"/>
    <d v="2025-01-01T00:00:00"/>
    <n v="1"/>
    <n v="2025"/>
    <s v="Tây Nguyên"/>
    <s v="Doanh nghiệp"/>
    <x v="1"/>
    <s v="A"/>
    <n v="7.381818"/>
  </r>
  <r>
    <s v="NAN"/>
    <s v="Tập đoàn 75"/>
    <s v="ICT"/>
    <n v="584763018"/>
    <d v="2025-01-01T00:00:00"/>
    <n v="1"/>
    <n v="2025"/>
    <s v="Bắc Trung Bộ"/>
    <s v="Doanh nghiệp"/>
    <x v="0"/>
    <s v="A"/>
    <n v="584.76301799999999"/>
  </r>
  <r>
    <s v="NAN"/>
    <s v="Tập đoàn 76"/>
    <s v="DVKT"/>
    <n v="17672727"/>
    <d v="2025-01-01T00:00:00"/>
    <n v="1"/>
    <n v="2025"/>
    <s v="Bắc Trung Bộ"/>
    <s v="Doanh nghiệp"/>
    <x v="1"/>
    <s v="O"/>
    <n v="17.672726999999998"/>
  </r>
  <r>
    <s v="NAN"/>
    <s v="Tập đoàn 77"/>
    <s v="ME"/>
    <n v="108322249"/>
    <d v="2025-01-01T00:00:00"/>
    <n v="1"/>
    <n v="2025"/>
    <s v="Bắc Trung Bộ"/>
    <s v="Doanh nghiệp"/>
    <x v="0"/>
    <s v="E"/>
    <n v="108.322249"/>
  </r>
  <r>
    <s v="YBI"/>
    <s v="Tập đoàn 91"/>
    <s v="DVKT"/>
    <n v="32824476"/>
    <d v="2025-01-01T00:00:00"/>
    <n v="1"/>
    <n v="2025"/>
    <s v="Tây Bắc Bộ"/>
    <s v="Doanh nghiệp"/>
    <x v="1"/>
    <s v="E"/>
    <n v="32.824475999999997"/>
  </r>
  <r>
    <s v="YBI"/>
    <s v="Tập đoàn 92"/>
    <s v="DVKT"/>
    <n v="118557325"/>
    <d v="2025-01-01T00:00:00"/>
    <n v="1"/>
    <n v="2025"/>
    <s v="Tây Bắc Bộ"/>
    <s v="Doanh nghiệp"/>
    <x v="0"/>
    <s v="E"/>
    <n v="118.55732500000001"/>
  </r>
  <r>
    <s v="CTO"/>
    <s v="Tập đoàn 90"/>
    <s v="ICT"/>
    <n v="308890000"/>
    <d v="2025-01-01T00:00:00"/>
    <n v="1"/>
    <n v="2025"/>
    <s v="ĐB Sông Cửu Long"/>
    <s v="Doanh nghiệp"/>
    <x v="1"/>
    <s v="A"/>
    <n v="308.89"/>
  </r>
  <r>
    <s v="QNH"/>
    <s v="Tập đoàn 94"/>
    <s v="Smarthome"/>
    <n v="382427273"/>
    <d v="2025-01-01T00:00:00"/>
    <n v="1"/>
    <n v="2025"/>
    <s v="Đông Bắc Bộ"/>
    <s v="Doanh nghiệp"/>
    <x v="0"/>
    <s v="H"/>
    <n v="382.42727300000001"/>
  </r>
  <r>
    <s v="HUG"/>
    <s v="Tập đoàn 93"/>
    <s v="ME"/>
    <n v="2542853636"/>
    <d v="2025-01-01T00:00:00"/>
    <n v="1"/>
    <n v="2025"/>
    <s v="ĐB Sông Cửu Long"/>
    <s v="Doanh nghiệp"/>
    <x v="1"/>
    <s v="C"/>
    <n v="2542.8536359999998"/>
  </r>
  <r>
    <s v="BTE"/>
    <s v="Tập đoàn 94"/>
    <s v="ICT"/>
    <n v="682772900"/>
    <d v="2025-01-01T00:00:00"/>
    <n v="1"/>
    <n v="2025"/>
    <s v="ĐB Sông Cửu Long"/>
    <s v="Doanh nghiệp"/>
    <x v="0"/>
    <s v="B"/>
    <n v="682.77290000000005"/>
  </r>
  <r>
    <s v="HCM"/>
    <s v="Tập đoàn 93"/>
    <s v="ME"/>
    <n v="3809335455"/>
    <d v="2025-01-01T00:00:00"/>
    <n v="1"/>
    <n v="2025"/>
    <s v="Đông Nam Bộ"/>
    <s v="Doanh nghiệp"/>
    <x v="1"/>
    <s v="E"/>
    <n v="3809.3354549999999"/>
  </r>
  <r>
    <s v="DCN"/>
    <s v="Tập đoàn 92"/>
    <s v="ME"/>
    <n v="3276701631"/>
    <d v="2025-01-01T00:00:00"/>
    <n v="1"/>
    <n v="2025"/>
    <s v="Tây Nguyên"/>
    <s v="Doanh nghiệp"/>
    <x v="0"/>
    <s v="C"/>
    <n v="3276.7016309999999"/>
  </r>
  <r>
    <s v="DBN"/>
    <s v="Công ty 91"/>
    <s v="NLMT"/>
    <n v="68952727"/>
    <d v="2025-01-01T00:00:00"/>
    <n v="1"/>
    <n v="2025"/>
    <s v="Tây Bắc Bộ"/>
    <s v="Doanh nghiệp"/>
    <x v="1"/>
    <s v="K"/>
    <n v="68.952726999999996"/>
  </r>
  <r>
    <s v="DBN"/>
    <s v="Công ty 92"/>
    <s v="NLMT"/>
    <n v="22036364"/>
    <d v="2025-01-01T00:00:00"/>
    <n v="1"/>
    <n v="2025"/>
    <s v="Tây Bắc Bộ"/>
    <s v="Doanh nghiệp"/>
    <x v="0"/>
    <s v="K"/>
    <n v="22.036363999999999"/>
  </r>
  <r>
    <s v="THA"/>
    <s v="CÔNG AN HUYỆN MƯỜNG LÁT"/>
    <s v="ICT"/>
    <n v="90817273"/>
    <d v="2025-01-01T00:00:00"/>
    <n v="1"/>
    <n v="2025"/>
    <s v="Bắc Trung Bộ"/>
    <s v="Sở ban ngành"/>
    <x v="1"/>
    <s v="B"/>
    <n v="90.817273"/>
  </r>
  <r>
    <s v="BKN"/>
    <s v="Công ty 22"/>
    <s v="NLMT"/>
    <n v="11418182"/>
    <d v="2025-01-01T00:00:00"/>
    <n v="1"/>
    <n v="2025"/>
    <s v="Đông Bắc Bộ"/>
    <s v="Doanh nghiệp"/>
    <x v="0"/>
    <s v="K"/>
    <n v="11.418182"/>
  </r>
  <r>
    <s v="CBG"/>
    <s v="Đoàn Thanh Niên Bidv"/>
    <s v="NLMT"/>
    <n v="181705455"/>
    <d v="2025-01-01T00:00:00"/>
    <n v="1"/>
    <n v="2025"/>
    <s v="Đông Bắc Bộ"/>
    <s v="Sở ban ngành"/>
    <x v="1"/>
    <s v="K"/>
    <n v="181.705455"/>
  </r>
  <r>
    <s v="THA"/>
    <s v="Phòng Cảnh Sát Pccc Và Cnch Công An Tỉnh Thanh Hóa"/>
    <s v="ICT"/>
    <n v="76100000"/>
    <d v="2025-01-01T00:00:00"/>
    <n v="1"/>
    <n v="2025"/>
    <s v="Bắc Trung Bộ"/>
    <s v="Sở ban ngành"/>
    <x v="0"/>
    <s v="F"/>
    <n v="76.099999999999994"/>
  </r>
  <r>
    <s v="PYN"/>
    <s v="Phòng Dân Tọc Huyện Sông Hinh"/>
    <s v="ICT"/>
    <n v="209018636"/>
    <d v="2025-01-01T00:00:00"/>
    <n v="1"/>
    <n v="2025"/>
    <s v="Duyên hải Nam Trung Bộ"/>
    <s v="Sở ban ngành"/>
    <x v="1"/>
    <s v="P"/>
    <n v="209.01863599999999"/>
  </r>
  <r>
    <s v="AGG"/>
    <s v="Phòng Giáo Dục Và Đào Tạo Thành Phố Châu Đốc"/>
    <s v="ME"/>
    <n v="1014139091"/>
    <d v="2025-01-01T00:00:00"/>
    <n v="1"/>
    <n v="2025"/>
    <s v="ĐB Sông Cửu Long"/>
    <s v="Sở ban ngành"/>
    <x v="0"/>
    <s v="Q"/>
    <n v="1014.139091"/>
  </r>
  <r>
    <s v="QNM"/>
    <s v="PHÒNG KINH TẾ VÀ HẠ TẦNG HUYỆN NAM TRÀ MY"/>
    <s v="ME"/>
    <n v="109079545"/>
    <d v="2025-01-01T00:00:00"/>
    <n v="1"/>
    <n v="2025"/>
    <s v="Duyên hải Nam Trung Bộ"/>
    <s v="Sở ban ngành"/>
    <x v="1"/>
    <s v="L"/>
    <n v="109.079545"/>
  </r>
  <r>
    <s v="AGG"/>
    <s v="Phòng Văn Hóa Và Thông Tin Huyện Chợ Mới"/>
    <s v="DVKT"/>
    <n v="79254545"/>
    <d v="2025-01-01T00:00:00"/>
    <n v="1"/>
    <n v="2025"/>
    <s v="ĐB Sông Cửu Long"/>
    <s v="Sở ban ngành"/>
    <x v="0"/>
    <s v="E"/>
    <n v="79.254544999999993"/>
  </r>
  <r>
    <s v="AGG"/>
    <s v="Phòng Văn Hóa Và Thông Tin Huyện Chợ Mới"/>
    <s v="DVKT"/>
    <n v="79145455"/>
    <d v="2025-01-01T00:00:00"/>
    <n v="1"/>
    <n v="2025"/>
    <s v="ĐB Sông Cửu Long"/>
    <s v="Sở ban ngành"/>
    <x v="1"/>
    <s v="E"/>
    <n v="79.145454999999998"/>
  </r>
  <r>
    <s v="YBI"/>
    <s v="PHÒNG VĂN HOÁ VÀ THÔNG TIN HUYỆN TRẠM TẤU"/>
    <s v="ICT"/>
    <n v="191727273"/>
    <d v="2025-01-01T00:00:00"/>
    <n v="1"/>
    <n v="2025"/>
    <s v="Tây Bắc Bộ"/>
    <s v="Sở ban ngành"/>
    <x v="0"/>
    <s v="T"/>
    <n v="191.727273"/>
  </r>
  <r>
    <s v="BGG"/>
    <s v="SỞ GIÁO DỤC VÀ ĐÀO TẠO BẮC GIANG"/>
    <s v="ICT"/>
    <n v="2815800000"/>
    <d v="2025-01-01T00:00:00"/>
    <n v="1"/>
    <n v="2025"/>
    <s v="Đông Bắc Bộ"/>
    <s v="Sở ban ngành"/>
    <x v="1"/>
    <s v="F"/>
    <n v="2815.8"/>
  </r>
  <r>
    <s v="LAN"/>
    <s v="Trung Tâm Hoạt Động Thanh Thiếu Nhi Tỉnh"/>
    <s v="ME"/>
    <n v="11289091"/>
    <d v="2025-01-01T00:00:00"/>
    <n v="1"/>
    <n v="2025"/>
    <s v="ĐB Sông Cửu Long"/>
    <s v="Sở ban ngành"/>
    <x v="0"/>
    <s v="O"/>
    <n v="11.289091000000001"/>
  </r>
  <r>
    <s v="PTO"/>
    <s v="UBND xã Tứ Xã"/>
    <s v="Smarthome"/>
    <n v="227930545"/>
    <d v="2025-01-01T00:00:00"/>
    <n v="1"/>
    <n v="2025"/>
    <s v="Đông Bắc Bộ"/>
    <s v="Sở ban ngành"/>
    <x v="1"/>
    <s v="U"/>
    <n v="227.930545"/>
  </r>
  <r>
    <s v="LCU"/>
    <s v="Ủy Ban Nhân Dân Phường Đoàn Kết"/>
    <s v="ICT"/>
    <n v="128224682"/>
    <d v="2025-01-01T00:00:00"/>
    <n v="1"/>
    <n v="2025"/>
    <s v="Tây Bắc Bộ"/>
    <s v="Sở ban ngành"/>
    <x v="0"/>
    <s v="B"/>
    <n v="128.224682"/>
  </r>
  <r>
    <s v="NAN"/>
    <s v="Ủy Ban Nhân Dân Xã Bài Sơn"/>
    <s v="DVKT"/>
    <n v="47970545"/>
    <d v="2025-01-01T00:00:00"/>
    <n v="1"/>
    <n v="2025"/>
    <s v="Bắc Trung Bộ"/>
    <s v="Sở ban ngành"/>
    <x v="1"/>
    <s v="B"/>
    <n v="47.970545000000001"/>
  </r>
  <r>
    <s v="TQG"/>
    <s v="Ủy Ban Nhân Dân Xã Hợp Hòa"/>
    <s v="DVKT"/>
    <n v="135804545"/>
    <d v="2025-01-01T00:00:00"/>
    <n v="1"/>
    <n v="2025"/>
    <s v="Đông Bắc Bộ"/>
    <s v="Sở ban ngành"/>
    <x v="0"/>
    <s v="O"/>
    <n v="135.80454499999999"/>
  </r>
  <r>
    <s v="CBG"/>
    <s v="UỶ BAN NHÂN DÂN XÃ LÝ QUỐC"/>
    <s v="NLMT"/>
    <n v="45296818"/>
    <d v="2025-01-01T00:00:00"/>
    <n v="1"/>
    <n v="2025"/>
    <s v="Đông Bắc Bộ"/>
    <s v="Sở ban ngành"/>
    <x v="1"/>
    <s v="K"/>
    <n v="45.296818000000002"/>
  </r>
  <r>
    <s v="BKN"/>
    <s v="TRƯỜNG MẦM NON ĐỨC XUÂN"/>
    <s v="ICT"/>
    <n v="20690909"/>
    <d v="2025-01-01T00:00:00"/>
    <n v="1"/>
    <n v="2025"/>
    <s v="Đông Bắc Bộ"/>
    <s v="Trường học"/>
    <x v="0"/>
    <s v="A"/>
    <n v="20.690909000000001"/>
  </r>
  <r>
    <s v="BKN"/>
    <s v="Trường mầm non Sông Cầu"/>
    <s v="ICT"/>
    <n v="16127273"/>
    <d v="2025-01-01T00:00:00"/>
    <n v="1"/>
    <n v="2025"/>
    <s v="Đông Bắc Bộ"/>
    <s v="Trường học"/>
    <x v="1"/>
    <s v="A"/>
    <n v="16.127272999999999"/>
  </r>
  <r>
    <s v="KHA"/>
    <s v="Trường Mầm Non Vạn Giã"/>
    <s v="ICT"/>
    <n v="24415455"/>
    <d v="2025-01-01T00:00:00"/>
    <n v="1"/>
    <n v="2025"/>
    <s v="Duyên hải Nam Trung Bộ"/>
    <s v="Trường học"/>
    <x v="0"/>
    <s v="A"/>
    <n v="24.415455000000001"/>
  </r>
  <r>
    <s v="BGG"/>
    <s v="TRƯỜNG TIỂU HỌC HỢP THỊNH SỐ 2"/>
    <s v="ICT"/>
    <n v="9340000"/>
    <d v="2025-01-01T00:00:00"/>
    <n v="1"/>
    <n v="2025"/>
    <s v="Đông Bắc Bộ"/>
    <s v="Trường học"/>
    <x v="1"/>
    <s v="A"/>
    <n v="9.34"/>
  </r>
  <r>
    <s v="VLG"/>
    <s v="Trường Tiểu Học Phú Quới A"/>
    <s v="ICT"/>
    <n v="17761818"/>
    <d v="2025-01-01T00:00:00"/>
    <n v="1"/>
    <n v="2025"/>
    <s v="ĐB Sông Cửu Long"/>
    <s v="Trường học"/>
    <x v="0"/>
    <s v="B"/>
    <n v="17.761818000000002"/>
  </r>
  <r>
    <s v="BTN"/>
    <s v="BỆNH VIỆN ĐA KHOA KHU VỰC BẮC BÌNH THUẬN"/>
    <s v="ICT"/>
    <n v="44070000"/>
    <d v="2024-02-01T00:00:00"/>
    <n v="2"/>
    <n v="2024"/>
    <s v="Duyên hải Nam Trung Bộ"/>
    <s v="Bệnh viện"/>
    <x v="1"/>
    <s v="F"/>
    <n v="44.07"/>
  </r>
  <r>
    <s v="HNI"/>
    <s v="Công ty 1"/>
    <s v="ICT"/>
    <n v="30618377"/>
    <d v="2024-02-01T00:00:00"/>
    <n v="2"/>
    <n v="2024"/>
    <s v="ĐB Sông Hồng"/>
    <s v="Doanh nghiệp"/>
    <x v="0"/>
    <s v="B"/>
    <n v="30.618376999999999"/>
  </r>
  <r>
    <s v="BPC"/>
    <s v="Công ty 9"/>
    <s v="ICT"/>
    <n v="108126121"/>
    <d v="2024-02-01T00:00:00"/>
    <n v="2"/>
    <n v="2024"/>
    <s v="Đông Nam Bộ"/>
    <s v="Doanh nghiệp"/>
    <x v="1"/>
    <s v="A"/>
    <n v="108.126121"/>
  </r>
  <r>
    <s v="DTP"/>
    <s v="Công ty 14"/>
    <s v="ICT"/>
    <n v="4700000"/>
    <d v="2024-02-01T00:00:00"/>
    <n v="2"/>
    <n v="2024"/>
    <s v="ĐB Sông Cửu Long"/>
    <s v="Doanh nghiệp"/>
    <x v="0"/>
    <s v="A"/>
    <n v="4.7"/>
  </r>
  <r>
    <s v="BPC"/>
    <s v="Công ty 15"/>
    <s v="ICT"/>
    <n v="64010909"/>
    <d v="2024-02-01T00:00:00"/>
    <n v="2"/>
    <n v="2024"/>
    <s v="Đông Nam Bộ"/>
    <s v="Doanh nghiệp"/>
    <x v="1"/>
    <s v="B"/>
    <n v="64.010908999999998"/>
  </r>
  <r>
    <s v="BGG"/>
    <s v="Công ty 23"/>
    <s v="ICT"/>
    <n v="83200000"/>
    <d v="2024-02-01T00:00:00"/>
    <n v="2"/>
    <n v="2024"/>
    <s v="Đông Bắc Bộ"/>
    <s v="Doanh nghiệp"/>
    <x v="0"/>
    <s v="B"/>
    <n v="83.2"/>
  </r>
  <r>
    <s v="DNG"/>
    <s v="Công ty 24"/>
    <s v="ICT"/>
    <n v="463574264"/>
    <d v="2024-02-01T00:00:00"/>
    <n v="2"/>
    <n v="2024"/>
    <s v="Duyên hải Nam Trung Bộ"/>
    <s v="Doanh nghiệp"/>
    <x v="1"/>
    <s v="G"/>
    <n v="463.57426400000003"/>
  </r>
  <r>
    <s v="HCM"/>
    <s v="Công ty 38"/>
    <s v="NLMT"/>
    <n v="8603609530"/>
    <d v="2024-02-01T00:00:00"/>
    <n v="2"/>
    <n v="2024"/>
    <s v="Đông Nam Bộ"/>
    <s v="Doanh nghiệp"/>
    <x v="0"/>
    <s v="D"/>
    <n v="8603.6095299999997"/>
  </r>
  <r>
    <s v="DNG"/>
    <s v="Công ty 57"/>
    <s v="ICT"/>
    <n v="227153009"/>
    <d v="2024-02-01T00:00:00"/>
    <n v="2"/>
    <n v="2024"/>
    <s v="Duyên hải Nam Trung Bộ"/>
    <s v="Doanh nghiệp"/>
    <x v="1"/>
    <s v="G"/>
    <n v="227.153009"/>
  </r>
  <r>
    <s v="DNG"/>
    <s v="Công ty 58"/>
    <s v="ICT"/>
    <n v="418763636"/>
    <d v="2024-02-01T00:00:00"/>
    <n v="2"/>
    <n v="2024"/>
    <s v="Duyên hải Nam Trung Bộ"/>
    <s v="Doanh nghiệp"/>
    <x v="0"/>
    <s v="G"/>
    <n v="418.76363600000002"/>
  </r>
  <r>
    <s v="DNG"/>
    <s v="Công ty 59"/>
    <s v="ICT"/>
    <n v="283138182"/>
    <d v="2024-02-01T00:00:00"/>
    <n v="2"/>
    <n v="2024"/>
    <s v="Duyên hải Nam Trung Bộ"/>
    <s v="Doanh nghiệp"/>
    <x v="1"/>
    <s v="G"/>
    <n v="283.13818199999997"/>
  </r>
  <r>
    <s v="THA"/>
    <s v="Công ty 6"/>
    <s v="ICT"/>
    <n v="84070909"/>
    <d v="2024-02-01T00:00:00"/>
    <n v="2"/>
    <n v="2024"/>
    <s v="Bắc Trung Bộ"/>
    <s v="Doanh nghiệp"/>
    <x v="0"/>
    <s v="B"/>
    <n v="84.070909"/>
  </r>
  <r>
    <s v="BTN"/>
    <s v="Công ty 7"/>
    <s v="DVKT"/>
    <n v="28250000"/>
    <d v="2024-02-01T00:00:00"/>
    <n v="2"/>
    <n v="2024"/>
    <s v="Duyên hải Nam Trung Bộ"/>
    <s v="Doanh nghiệp"/>
    <x v="1"/>
    <s v="A"/>
    <n v="28.25"/>
  </r>
  <r>
    <s v="DNG"/>
    <s v="Công ty 20"/>
    <s v="DVKT"/>
    <n v="5818182"/>
    <d v="2024-02-01T00:00:00"/>
    <n v="2"/>
    <n v="2024"/>
    <s v="Duyên hải Nam Trung Bộ"/>
    <s v="Doanh nghiệp"/>
    <x v="0"/>
    <s v="D"/>
    <n v="5.8181820000000002"/>
  </r>
  <r>
    <s v="QNI"/>
    <s v="Công ty 22"/>
    <s v="DVKT"/>
    <n v="437364982"/>
    <d v="2024-02-01T00:00:00"/>
    <n v="2"/>
    <n v="2024"/>
    <s v="Duyên hải Nam Trung Bộ"/>
    <s v="Doanh nghiệp"/>
    <x v="1"/>
    <s v="A"/>
    <n v="437.364982"/>
  </r>
  <r>
    <s v="HTH"/>
    <s v="Công ty 29"/>
    <s v="ICT"/>
    <n v="68094545"/>
    <d v="2024-02-01T00:00:00"/>
    <n v="2"/>
    <n v="2024"/>
    <s v="Bắc Trung Bộ"/>
    <s v="Doanh nghiệp"/>
    <x v="0"/>
    <s v="A"/>
    <n v="68.094544999999997"/>
  </r>
  <r>
    <s v="HCM"/>
    <s v="Công ty 34"/>
    <s v="Smarthome"/>
    <n v="49335000"/>
    <d v="2024-02-01T00:00:00"/>
    <n v="2"/>
    <n v="2024"/>
    <s v="Đông Nam Bộ"/>
    <s v="Doanh nghiệp"/>
    <x v="1"/>
    <s v="I"/>
    <n v="49.335000000000001"/>
  </r>
  <r>
    <s v="VPC"/>
    <s v="Công ty 58"/>
    <s v="DVKT"/>
    <n v="487834822"/>
    <d v="2024-02-01T00:00:00"/>
    <n v="2"/>
    <n v="2024"/>
    <s v="ĐB Sông Hồng"/>
    <s v="Doanh nghiệp"/>
    <x v="0"/>
    <s v="A"/>
    <n v="487.83482199999997"/>
  </r>
  <r>
    <s v="HUE"/>
    <s v="Công ty 64"/>
    <s v="DVKT"/>
    <n v="62784000"/>
    <d v="2024-02-01T00:00:00"/>
    <n v="2"/>
    <n v="2024"/>
    <s v="Bắc Trung Bộ"/>
    <s v="Doanh nghiệp"/>
    <x v="1"/>
    <s v="B"/>
    <n v="62.783999999999999"/>
  </r>
  <r>
    <s v="PTO"/>
    <s v="Công ty 66"/>
    <s v="ICT"/>
    <n v="17945173"/>
    <d v="2024-02-01T00:00:00"/>
    <n v="2"/>
    <n v="2024"/>
    <s v="Đông Bắc Bộ"/>
    <s v="Doanh nghiệp"/>
    <x v="0"/>
    <s v="B"/>
    <n v="17.945173"/>
  </r>
  <r>
    <s v="TBH"/>
    <s v="Công ty 79"/>
    <s v="ICT"/>
    <n v="1483795500"/>
    <d v="2024-02-01T00:00:00"/>
    <n v="2"/>
    <n v="2024"/>
    <s v="ĐB Sông Hồng"/>
    <s v="Doanh nghiệp"/>
    <x v="1"/>
    <s v="B"/>
    <n v="1483.7954999999999"/>
  </r>
  <r>
    <s v="HNI"/>
    <s v="Công ty 88"/>
    <s v="DVKT"/>
    <n v="36454016"/>
    <d v="2024-02-01T00:00:00"/>
    <n v="2"/>
    <n v="2024"/>
    <s v="ĐB Sông Hồng"/>
    <s v="Doanh nghiệp"/>
    <x v="0"/>
    <s v="C"/>
    <n v="36.454016000000003"/>
  </r>
  <r>
    <s v="PTO"/>
    <s v="Công ty 91"/>
    <s v="DVKT"/>
    <n v="689674426"/>
    <d v="2024-02-01T00:00:00"/>
    <n v="2"/>
    <n v="2024"/>
    <s v="Đông Bắc Bộ"/>
    <s v="Doanh nghiệp"/>
    <x v="1"/>
    <s v="E"/>
    <n v="689.67442600000004"/>
  </r>
  <r>
    <s v="NAN"/>
    <s v="Công ty 27"/>
    <s v="ICT"/>
    <n v="36363636"/>
    <d v="2024-02-01T00:00:00"/>
    <n v="2"/>
    <n v="2024"/>
    <s v="Bắc Trung Bộ"/>
    <s v="Doanh nghiệp"/>
    <x v="0"/>
    <s v="B"/>
    <n v="36.363636"/>
  </r>
  <r>
    <s v="VTU"/>
    <s v="Công ty 49"/>
    <s v="DVKT"/>
    <n v="22394455"/>
    <d v="2024-02-01T00:00:00"/>
    <n v="2"/>
    <n v="2024"/>
    <s v="Đông Nam Bộ"/>
    <s v="Doanh nghiệp"/>
    <x v="1"/>
    <s v="A"/>
    <n v="22.394455000000001"/>
  </r>
  <r>
    <s v="HNI"/>
    <s v="Công ty 73"/>
    <s v="ICT"/>
    <n v="15781818"/>
    <d v="2024-02-01T00:00:00"/>
    <n v="2"/>
    <n v="2024"/>
    <s v="ĐB Sông Hồng"/>
    <s v="Doanh nghiệp"/>
    <x v="0"/>
    <s v="B"/>
    <n v="15.781817999999999"/>
  </r>
  <r>
    <s v="NTN"/>
    <s v="Công ty 77"/>
    <s v="ICT"/>
    <n v="563536182"/>
    <d v="2024-02-01T00:00:00"/>
    <n v="2"/>
    <n v="2024"/>
    <s v="Duyên hải Nam Trung Bộ"/>
    <s v="Doanh nghiệp"/>
    <x v="1"/>
    <s v="B"/>
    <n v="563.53618200000005"/>
  </r>
  <r>
    <s v="HUE"/>
    <s v="Công ty 83"/>
    <s v="DVKT"/>
    <n v="25061818"/>
    <d v="2024-02-01T00:00:00"/>
    <n v="2"/>
    <n v="2024"/>
    <s v="Bắc Trung Bộ"/>
    <s v="Doanh nghiệp"/>
    <x v="0"/>
    <s v="C"/>
    <n v="25.061817999999999"/>
  </r>
  <r>
    <s v="NAN"/>
    <s v="Công ty 85"/>
    <s v="ICT"/>
    <n v="84316664"/>
    <d v="2024-02-01T00:00:00"/>
    <n v="2"/>
    <n v="2024"/>
    <s v="Bắc Trung Bộ"/>
    <s v="Doanh nghiệp"/>
    <x v="1"/>
    <s v="B"/>
    <n v="84.316664000000003"/>
  </r>
  <r>
    <s v="VLG"/>
    <s v="Công ty 86"/>
    <s v="ICT"/>
    <n v="53041000"/>
    <d v="2024-02-01T00:00:00"/>
    <n v="2"/>
    <n v="2024"/>
    <s v="ĐB Sông Cửu Long"/>
    <s v="Doanh nghiệp"/>
    <x v="0"/>
    <s v="B"/>
    <n v="53.040999999999997"/>
  </r>
  <r>
    <s v="BPC"/>
    <s v="Công ty 34"/>
    <s v="ICT"/>
    <n v="118041818"/>
    <d v="2024-02-01T00:00:00"/>
    <n v="2"/>
    <n v="2024"/>
    <s v="Đông Nam Bộ"/>
    <s v="Doanh nghiệp"/>
    <x v="1"/>
    <s v="A"/>
    <n v="118.04181800000001"/>
  </r>
  <r>
    <s v="LDG"/>
    <s v="Công ty 36"/>
    <s v="DVKT"/>
    <n v="23367273"/>
    <d v="2024-02-01T00:00:00"/>
    <n v="2"/>
    <n v="2024"/>
    <s v="Tây Nguyên"/>
    <s v="Doanh nghiệp"/>
    <x v="0"/>
    <s v="B"/>
    <n v="23.367273000000001"/>
  </r>
  <r>
    <s v="HNI"/>
    <s v="Công ty 51"/>
    <s v="ME"/>
    <n v="154935000"/>
    <d v="2024-02-01T00:00:00"/>
    <n v="2"/>
    <n v="2024"/>
    <s v="ĐB Sông Hồng"/>
    <s v="Doanh nghiệp"/>
    <x v="1"/>
    <s v="C"/>
    <n v="154.935"/>
  </r>
  <r>
    <s v="HNI"/>
    <s v="Công ty 52"/>
    <s v="ME"/>
    <n v="154935000"/>
    <d v="2024-02-01T00:00:00"/>
    <n v="2"/>
    <n v="2024"/>
    <s v="ĐB Sông Hồng"/>
    <s v="Doanh nghiệp"/>
    <x v="0"/>
    <s v="C"/>
    <n v="154.935"/>
  </r>
  <r>
    <s v="PTO"/>
    <s v="Công ty 55"/>
    <s v="ME"/>
    <n v="6636364"/>
    <d v="2024-02-01T00:00:00"/>
    <n v="2"/>
    <n v="2024"/>
    <s v="Đông Bắc Bộ"/>
    <s v="Doanh nghiệp"/>
    <x v="1"/>
    <s v="C"/>
    <n v="6.6363640000000004"/>
  </r>
  <r>
    <s v="SLA"/>
    <s v="Công ty 87"/>
    <s v="ME"/>
    <n v="21070000"/>
    <d v="2024-02-01T00:00:00"/>
    <n v="2"/>
    <n v="2024"/>
    <s v="Tây Bắc Bộ"/>
    <s v="Doanh nghiệp"/>
    <x v="0"/>
    <s v="C"/>
    <n v="21.07"/>
  </r>
  <r>
    <s v="TBH"/>
    <s v="Công ty 22"/>
    <s v="ME"/>
    <n v="95723800"/>
    <d v="2024-02-01T00:00:00"/>
    <n v="2"/>
    <n v="2024"/>
    <s v="ĐB Sông Hồng"/>
    <s v="Doanh nghiệp"/>
    <x v="1"/>
    <s v="C"/>
    <n v="95.723799999999997"/>
  </r>
  <r>
    <s v="DTP"/>
    <s v="Công ty 53"/>
    <s v="NLMT"/>
    <n v="172953265"/>
    <d v="2024-02-01T00:00:00"/>
    <n v="2"/>
    <n v="2024"/>
    <s v="ĐB Sông Cửu Long"/>
    <s v="Doanh nghiệp"/>
    <x v="0"/>
    <s v="D"/>
    <n v="172.95326499999999"/>
  </r>
  <r>
    <s v="PTO"/>
    <s v="Công ty 84"/>
    <s v="ICT"/>
    <n v="63516913"/>
    <d v="2024-02-01T00:00:00"/>
    <n v="2"/>
    <n v="2024"/>
    <s v="Đông Bắc Bộ"/>
    <s v="Doanh nghiệp"/>
    <x v="1"/>
    <s v="B"/>
    <n v="63.516913000000002"/>
  </r>
  <r>
    <s v="NAN"/>
    <s v="Công ty 8"/>
    <s v="ICT"/>
    <n v="122505227"/>
    <d v="2024-02-01T00:00:00"/>
    <n v="2"/>
    <n v="2024"/>
    <s v="Bắc Trung Bộ"/>
    <s v="Doanh nghiệp"/>
    <x v="0"/>
    <s v="B"/>
    <n v="122.505227"/>
  </r>
  <r>
    <s v="PTO"/>
    <s v="Công ty 16"/>
    <s v="ICT"/>
    <n v="121554668"/>
    <d v="2024-02-01T00:00:00"/>
    <n v="2"/>
    <n v="2024"/>
    <s v="Đông Bắc Bộ"/>
    <s v="Doanh nghiệp"/>
    <x v="1"/>
    <s v="F"/>
    <n v="121.55466800000001"/>
  </r>
  <r>
    <s v="PTO"/>
    <s v="Công ty 17"/>
    <s v="DVKT"/>
    <n v="121554668"/>
    <d v="2024-02-01T00:00:00"/>
    <n v="2"/>
    <n v="2024"/>
    <s v="Đông Bắc Bộ"/>
    <s v="Doanh nghiệp"/>
    <x v="0"/>
    <s v="F"/>
    <n v="121.55466800000001"/>
  </r>
  <r>
    <s v="BTN"/>
    <s v="Công ty 30"/>
    <s v="ICT"/>
    <n v="25220000"/>
    <d v="2024-02-01T00:00:00"/>
    <n v="2"/>
    <n v="2024"/>
    <s v="Duyên hải Nam Trung Bộ"/>
    <s v="Doanh nghiệp"/>
    <x v="1"/>
    <s v="B"/>
    <n v="25.22"/>
  </r>
  <r>
    <s v="AGG"/>
    <s v="Công ty 37"/>
    <s v="ME"/>
    <n v="11283423"/>
    <d v="2024-02-01T00:00:00"/>
    <n v="2"/>
    <n v="2024"/>
    <s v="ĐB Sông Cửu Long"/>
    <s v="Doanh nghiệp"/>
    <x v="0"/>
    <s v="Q"/>
    <n v="11.283423000000001"/>
  </r>
  <r>
    <s v="CMU"/>
    <s v="Công ty 42"/>
    <s v="ME"/>
    <n v="438362726"/>
    <d v="2024-02-01T00:00:00"/>
    <n v="2"/>
    <n v="2024"/>
    <s v="ĐB Sông Cửu Long"/>
    <s v="Doanh nghiệp"/>
    <x v="1"/>
    <s v="C"/>
    <n v="438.36272600000001"/>
  </r>
  <r>
    <s v="THA"/>
    <s v="Công ty 46"/>
    <s v="DVKT"/>
    <n v="268770911"/>
    <d v="2024-02-01T00:00:00"/>
    <n v="2"/>
    <n v="2024"/>
    <s v="Bắc Trung Bộ"/>
    <s v="Doanh nghiệp"/>
    <x v="0"/>
    <s v="E"/>
    <n v="268.77091100000001"/>
  </r>
  <r>
    <s v="NDH"/>
    <s v="Công ty 50"/>
    <s v="ME"/>
    <n v="196229430"/>
    <d v="2024-02-01T00:00:00"/>
    <n v="2"/>
    <n v="2024"/>
    <s v="ĐB Sông Hồng"/>
    <s v="Doanh nghiệp"/>
    <x v="1"/>
    <s v="C"/>
    <n v="196.22943000000001"/>
  </r>
  <r>
    <s v="LCU"/>
    <s v="Công ty 63"/>
    <s v="ICT"/>
    <n v="24896818"/>
    <d v="2024-02-01T00:00:00"/>
    <n v="2"/>
    <n v="2024"/>
    <s v="Tây Bắc Bộ"/>
    <s v="Doanh nghiệp"/>
    <x v="0"/>
    <s v="B"/>
    <n v="24.896818"/>
  </r>
  <r>
    <s v="NAN"/>
    <s v="Công ty 72"/>
    <s v="ME"/>
    <n v="253040000"/>
    <d v="2024-02-01T00:00:00"/>
    <n v="2"/>
    <n v="2024"/>
    <s v="Bắc Trung Bộ"/>
    <s v="Doanh nghiệp"/>
    <x v="1"/>
    <s v="N"/>
    <n v="253.04"/>
  </r>
  <r>
    <s v="HNM"/>
    <s v="Công ty 81"/>
    <s v="ME"/>
    <n v="82720000"/>
    <d v="2024-02-01T00:00:00"/>
    <n v="2"/>
    <n v="2024"/>
    <s v="ĐB Sông Hồng"/>
    <s v="Doanh nghiệp"/>
    <x v="0"/>
    <s v="E"/>
    <n v="82.72"/>
  </r>
  <r>
    <s v="DNI"/>
    <s v="Công ty 84"/>
    <s v="ICT"/>
    <n v="28565102"/>
    <d v="2024-02-01T00:00:00"/>
    <n v="2"/>
    <n v="2024"/>
    <s v="Đông Nam Bộ"/>
    <s v="Doanh nghiệp"/>
    <x v="1"/>
    <s v="B"/>
    <n v="28.565102"/>
  </r>
  <r>
    <s v="SLA"/>
    <s v="Công ty 90"/>
    <s v="ME"/>
    <n v="41297563"/>
    <d v="2024-02-01T00:00:00"/>
    <n v="2"/>
    <n v="2024"/>
    <s v="Tây Bắc Bộ"/>
    <s v="Doanh nghiệp"/>
    <x v="0"/>
    <s v="O"/>
    <n v="41.297562999999997"/>
  </r>
  <r>
    <s v="BGG"/>
    <s v="Công ty 4"/>
    <s v="ME"/>
    <n v="23069091"/>
    <d v="2024-02-01T00:00:00"/>
    <n v="2"/>
    <n v="2024"/>
    <s v="Đông Bắc Bộ"/>
    <s v="Doanh nghiệp"/>
    <x v="1"/>
    <s v="O"/>
    <n v="23.069091"/>
  </r>
  <r>
    <s v="CTO"/>
    <s v="Công ty 9"/>
    <s v="ME"/>
    <n v="112728182"/>
    <d v="2024-02-01T00:00:00"/>
    <n v="2"/>
    <n v="2024"/>
    <s v="ĐB Sông Cửu Long"/>
    <s v="Doanh nghiệp"/>
    <x v="0"/>
    <s v="C"/>
    <n v="112.728182"/>
  </r>
  <r>
    <s v="SLA"/>
    <s v="Công ty 56"/>
    <s v="ICT"/>
    <n v="28113396"/>
    <d v="2024-02-01T00:00:00"/>
    <n v="2"/>
    <n v="2024"/>
    <s v="Tây Bắc Bộ"/>
    <s v="Doanh nghiệp"/>
    <x v="1"/>
    <s v="B"/>
    <n v="28.113396000000002"/>
  </r>
  <r>
    <s v="NDH"/>
    <s v="Công ty 87"/>
    <s v="ME"/>
    <n v="163444300"/>
    <d v="2024-02-01T00:00:00"/>
    <n v="2"/>
    <n v="2024"/>
    <s v="ĐB Sông Hồng"/>
    <s v="Doanh nghiệp"/>
    <x v="0"/>
    <s v="C"/>
    <n v="163.4443"/>
  </r>
  <r>
    <s v="BLU"/>
    <s v="Công ty 90"/>
    <s v="ME"/>
    <n v="86655000"/>
    <d v="2024-02-01T00:00:00"/>
    <n v="2"/>
    <n v="2024"/>
    <s v="ĐB Sông Cửu Long"/>
    <s v="Doanh nghiệp"/>
    <x v="1"/>
    <s v="C"/>
    <n v="86.655000000000001"/>
  </r>
  <r>
    <s v="LCI"/>
    <s v="Công ty 97"/>
    <s v="ICT"/>
    <n v="72920000"/>
    <d v="2024-02-01T00:00:00"/>
    <n v="2"/>
    <n v="2024"/>
    <s v="Tây Bắc Bộ"/>
    <s v="Doanh nghiệp"/>
    <x v="0"/>
    <s v="A"/>
    <n v="72.92"/>
  </r>
  <r>
    <s v="DNI"/>
    <s v="Công ty 2"/>
    <s v="ICT"/>
    <n v="60480273"/>
    <d v="2024-02-01T00:00:00"/>
    <n v="2"/>
    <n v="2024"/>
    <s v="Đông Nam Bộ"/>
    <s v="Doanh nghiệp"/>
    <x v="1"/>
    <s v="A"/>
    <n v="60.480272999999997"/>
  </r>
  <r>
    <s v="GLI"/>
    <s v="Công ty 13"/>
    <s v="NLMT"/>
    <n v="16363636"/>
    <d v="2024-02-01T00:00:00"/>
    <n v="2"/>
    <n v="2024"/>
    <s v="Tây Nguyên"/>
    <s v="Doanh nghiệp"/>
    <x v="0"/>
    <s v="K"/>
    <n v="16.363636"/>
  </r>
  <r>
    <s v="DNG"/>
    <s v="Công ty 15"/>
    <s v="DVKT"/>
    <n v="37574519"/>
    <d v="2024-02-01T00:00:00"/>
    <n v="2"/>
    <n v="2024"/>
    <s v="Duyên hải Nam Trung Bộ"/>
    <s v="Doanh nghiệp"/>
    <x v="1"/>
    <s v="A"/>
    <n v="37.574519000000002"/>
  </r>
  <r>
    <s v="DNI"/>
    <s v="Công ty 20"/>
    <s v="ICT"/>
    <n v="56390273"/>
    <d v="2024-02-01T00:00:00"/>
    <n v="2"/>
    <n v="2024"/>
    <s v="Đông Nam Bộ"/>
    <s v="Doanh nghiệp"/>
    <x v="0"/>
    <s v="A"/>
    <n v="56.390273000000001"/>
  </r>
  <r>
    <s v="VLG"/>
    <s v="Công ty 54"/>
    <s v="ICT"/>
    <n v="31533191"/>
    <d v="2024-02-01T00:00:00"/>
    <n v="2"/>
    <n v="2024"/>
    <s v="ĐB Sông Cửu Long"/>
    <s v="Doanh nghiệp"/>
    <x v="1"/>
    <s v="B"/>
    <n v="31.533190999999999"/>
  </r>
  <r>
    <s v="LSN"/>
    <s v="Công ty 72"/>
    <s v="ME"/>
    <n v="133029000"/>
    <d v="2024-02-01T00:00:00"/>
    <n v="2"/>
    <n v="2024"/>
    <s v="Đông Bắc Bộ"/>
    <s v="Doanh nghiệp"/>
    <x v="0"/>
    <s v="O"/>
    <n v="133.029"/>
  </r>
  <r>
    <s v="TQG"/>
    <s v="Công ty 73"/>
    <s v="ICT"/>
    <n v="31019545"/>
    <d v="2024-02-01T00:00:00"/>
    <n v="2"/>
    <n v="2024"/>
    <s v="Đông Bắc Bộ"/>
    <s v="Doanh nghiệp"/>
    <x v="1"/>
    <s v="A"/>
    <n v="31.019545000000001"/>
  </r>
  <r>
    <s v="VLG"/>
    <s v="Công ty 82"/>
    <s v="ME"/>
    <n v="29851364"/>
    <d v="2024-02-01T00:00:00"/>
    <n v="2"/>
    <n v="2024"/>
    <s v="ĐB Sông Cửu Long"/>
    <s v="Doanh nghiệp"/>
    <x v="0"/>
    <s v="C"/>
    <n v="29.851364"/>
  </r>
  <r>
    <s v="HNM"/>
    <s v="Công ty 87"/>
    <s v="ICT"/>
    <n v="117765455"/>
    <d v="2024-02-01T00:00:00"/>
    <n v="2"/>
    <n v="2024"/>
    <s v="ĐB Sông Hồng"/>
    <s v="Doanh nghiệp"/>
    <x v="1"/>
    <s v="B"/>
    <n v="117.765455"/>
  </r>
  <r>
    <s v="HCM"/>
    <s v="Công ty 3"/>
    <s v="ME"/>
    <n v="28373000"/>
    <d v="2024-02-01T00:00:00"/>
    <n v="2"/>
    <n v="2024"/>
    <s v="Đông Nam Bộ"/>
    <s v="Doanh nghiệp"/>
    <x v="0"/>
    <s v="O"/>
    <n v="28.373000000000001"/>
  </r>
  <r>
    <s v="VTU"/>
    <s v="Công ty 15"/>
    <s v="DVKT"/>
    <n v="22394455"/>
    <d v="2024-02-01T00:00:00"/>
    <n v="2"/>
    <n v="2024"/>
    <s v="Đông Nam Bộ"/>
    <s v="Doanh nghiệp"/>
    <x v="1"/>
    <s v="A"/>
    <n v="22.394455000000001"/>
  </r>
  <r>
    <s v="SLA"/>
    <s v="Công ty 34"/>
    <s v="ICT"/>
    <n v="72547230"/>
    <d v="2024-02-01T00:00:00"/>
    <n v="2"/>
    <n v="2024"/>
    <s v="Tây Bắc Bộ"/>
    <s v="Doanh nghiệp"/>
    <x v="0"/>
    <s v="B"/>
    <n v="72.547229999999999"/>
  </r>
  <r>
    <s v="SLA"/>
    <s v="Công ty 35"/>
    <s v="Smarthome"/>
    <n v="56237418"/>
    <d v="2024-02-01T00:00:00"/>
    <n v="2"/>
    <n v="2024"/>
    <s v="Tây Bắc Bộ"/>
    <s v="Doanh nghiệp"/>
    <x v="1"/>
    <s v="H"/>
    <n v="56.237417999999998"/>
  </r>
  <r>
    <s v="PTO"/>
    <s v="Công ty 41"/>
    <s v="ME"/>
    <n v="25527273"/>
    <d v="2024-02-01T00:00:00"/>
    <n v="2"/>
    <n v="2024"/>
    <s v="Đông Bắc Bộ"/>
    <s v="Doanh nghiệp"/>
    <x v="0"/>
    <s v="M"/>
    <n v="25.527273000000001"/>
  </r>
  <r>
    <s v="PTO"/>
    <s v="Công ty 57"/>
    <s v="ME"/>
    <n v="27258000"/>
    <d v="2024-02-01T00:00:00"/>
    <n v="2"/>
    <n v="2024"/>
    <s v="Đông Bắc Bộ"/>
    <s v="Doanh nghiệp"/>
    <x v="1"/>
    <s v="O"/>
    <n v="27.257999999999999"/>
  </r>
  <r>
    <s v="NAN"/>
    <s v="Công ty 94"/>
    <s v="DVKT"/>
    <n v="432876134"/>
    <d v="2024-02-01T00:00:00"/>
    <n v="2"/>
    <n v="2024"/>
    <s v="Bắc Trung Bộ"/>
    <s v="Doanh nghiệp"/>
    <x v="0"/>
    <s v="E"/>
    <n v="432.87613399999998"/>
  </r>
  <r>
    <s v="STG"/>
    <s v="Công ty 1"/>
    <s v="ICT"/>
    <n v="28327000"/>
    <d v="2024-02-01T00:00:00"/>
    <n v="2"/>
    <n v="2024"/>
    <s v="ĐB Sông Cửu Long"/>
    <s v="Doanh nghiệp"/>
    <x v="1"/>
    <s v="B"/>
    <n v="28.327000000000002"/>
  </r>
  <r>
    <s v="HUE"/>
    <s v="Công ty 18"/>
    <s v="DVKT"/>
    <n v="16768182"/>
    <d v="2024-02-01T00:00:00"/>
    <n v="2"/>
    <n v="2024"/>
    <s v="Bắc Trung Bộ"/>
    <s v="Doanh nghiệp"/>
    <x v="0"/>
    <s v="A"/>
    <n v="16.768181999999999"/>
  </r>
  <r>
    <s v="AGG"/>
    <s v="Công ty 24"/>
    <s v="ME"/>
    <n v="9800000"/>
    <d v="2024-02-01T00:00:00"/>
    <n v="2"/>
    <n v="2024"/>
    <s v="ĐB Sông Cửu Long"/>
    <s v="Doanh nghiệp"/>
    <x v="1"/>
    <s v="O"/>
    <n v="9.8000000000000007"/>
  </r>
  <r>
    <s v="VTU"/>
    <s v="Công ty 27"/>
    <s v="DVKT"/>
    <n v="135110945"/>
    <d v="2024-02-01T00:00:00"/>
    <n v="2"/>
    <n v="2024"/>
    <s v="Đông Nam Bộ"/>
    <s v="Doanh nghiệp"/>
    <x v="0"/>
    <s v="A"/>
    <n v="135.11094499999999"/>
  </r>
  <r>
    <s v="CBG"/>
    <s v="Công ty 38"/>
    <s v="ME"/>
    <n v="71543636"/>
    <d v="2024-02-01T00:00:00"/>
    <n v="2"/>
    <n v="2024"/>
    <s v="Đông Bắc Bộ"/>
    <s v="Doanh nghiệp"/>
    <x v="1"/>
    <s v="C"/>
    <n v="71.543636000000006"/>
  </r>
  <r>
    <s v="HTH"/>
    <s v="Công ty 59"/>
    <s v="Smarthome"/>
    <n v="95690909"/>
    <d v="2024-02-01T00:00:00"/>
    <n v="2"/>
    <n v="2024"/>
    <s v="Bắc Trung Bộ"/>
    <s v="Doanh nghiệp"/>
    <x v="0"/>
    <s v="I"/>
    <n v="95.690909000000005"/>
  </r>
  <r>
    <s v="DBN"/>
    <s v="Công ty 84"/>
    <s v="ICT"/>
    <n v="31820909"/>
    <d v="2024-02-01T00:00:00"/>
    <n v="2"/>
    <n v="2024"/>
    <s v="Tây Bắc Bộ"/>
    <s v="Doanh nghiệp"/>
    <x v="1"/>
    <s v="B"/>
    <n v="31.820909"/>
  </r>
  <r>
    <s v="AGG"/>
    <s v="Công ty 92"/>
    <s v="Smarthome"/>
    <n v="41772727"/>
    <d v="2024-02-01T00:00:00"/>
    <n v="2"/>
    <n v="2024"/>
    <s v="ĐB Sông Cửu Long"/>
    <s v="Doanh nghiệp"/>
    <x v="0"/>
    <s v="L"/>
    <n v="41.772727000000003"/>
  </r>
  <r>
    <s v="DBN"/>
    <s v="Công ty 10"/>
    <s v="Smarthome"/>
    <n v="64427273"/>
    <d v="2024-02-01T00:00:00"/>
    <n v="2"/>
    <n v="2024"/>
    <s v="Tây Bắc Bộ"/>
    <s v="Doanh nghiệp"/>
    <x v="1"/>
    <s v="H"/>
    <n v="64.427273"/>
  </r>
  <r>
    <s v="HTH"/>
    <s v="Công ty 37"/>
    <s v="ME"/>
    <n v="48718182"/>
    <d v="2024-02-01T00:00:00"/>
    <n v="2"/>
    <n v="2024"/>
    <s v="Bắc Trung Bộ"/>
    <s v="Doanh nghiệp"/>
    <x v="0"/>
    <s v="O"/>
    <n v="48.718181999999999"/>
  </r>
  <r>
    <s v="DBN"/>
    <s v="Công ty 63"/>
    <s v="NLMT"/>
    <n v="10690909"/>
    <d v="2024-02-01T00:00:00"/>
    <n v="2"/>
    <n v="2024"/>
    <s v="Tây Bắc Bộ"/>
    <s v="Doanh nghiệp"/>
    <x v="1"/>
    <s v="K"/>
    <n v="10.690909"/>
  </r>
  <r>
    <s v="SLA"/>
    <s v="Công ty 64"/>
    <s v="Smarthome"/>
    <n v="15100000"/>
    <d v="2024-02-01T00:00:00"/>
    <n v="2"/>
    <n v="2024"/>
    <s v="Tây Bắc Bộ"/>
    <s v="Doanh nghiệp"/>
    <x v="0"/>
    <s v="H"/>
    <n v="15.1"/>
  </r>
  <r>
    <s v="SLA"/>
    <s v="Công ty 67"/>
    <s v="NLMT"/>
    <n v="71272727"/>
    <d v="2024-02-01T00:00:00"/>
    <n v="2"/>
    <n v="2024"/>
    <s v="Tây Bắc Bộ"/>
    <s v="Doanh nghiệp"/>
    <x v="1"/>
    <s v="K"/>
    <n v="71.272727000000003"/>
  </r>
  <r>
    <s v="HNI"/>
    <s v="Công ty 72"/>
    <s v="ME"/>
    <n v="22590000"/>
    <d v="2024-02-01T00:00:00"/>
    <n v="2"/>
    <n v="2024"/>
    <s v="ĐB Sông Hồng"/>
    <s v="Doanh nghiệp"/>
    <x v="0"/>
    <s v="C"/>
    <n v="22.59"/>
  </r>
  <r>
    <s v="BDH"/>
    <s v="Công ty 75"/>
    <s v="ICT"/>
    <n v="14061863"/>
    <d v="2024-02-01T00:00:00"/>
    <n v="2"/>
    <n v="2024"/>
    <s v="Duyên hải Nam Trung Bộ"/>
    <s v="Doanh nghiệp"/>
    <x v="1"/>
    <s v="A"/>
    <n v="14.061863000000001"/>
  </r>
  <r>
    <s v="QNM"/>
    <s v="Công ty 82"/>
    <s v="DVKT"/>
    <n v="62101165"/>
    <d v="2024-02-01T00:00:00"/>
    <n v="2"/>
    <n v="2024"/>
    <s v="Duyên hải Nam Trung Bộ"/>
    <s v="Doanh nghiệp"/>
    <x v="0"/>
    <s v="E"/>
    <n v="62.101165000000002"/>
  </r>
  <r>
    <s v="BDG"/>
    <s v="Công ty 83"/>
    <s v="DVKT"/>
    <n v="3823086532"/>
    <d v="2024-02-01T00:00:00"/>
    <n v="2"/>
    <n v="2024"/>
    <s v="Đông Nam Bộ"/>
    <s v="Doanh nghiệp"/>
    <x v="1"/>
    <s v="C"/>
    <n v="3823.0865319999998"/>
  </r>
  <r>
    <s v="TQG"/>
    <s v="Công ty 93"/>
    <s v="ME"/>
    <n v="127820430"/>
    <d v="2024-02-01T00:00:00"/>
    <n v="2"/>
    <n v="2024"/>
    <s v="Đông Bắc Bộ"/>
    <s v="Doanh nghiệp"/>
    <x v="0"/>
    <s v="C"/>
    <n v="127.82043"/>
  </r>
  <r>
    <s v="GLI"/>
    <s v="Công ty 95"/>
    <s v="ME"/>
    <n v="148409091"/>
    <d v="2024-02-01T00:00:00"/>
    <n v="2"/>
    <n v="2024"/>
    <s v="Tây Nguyên"/>
    <s v="Doanh nghiệp"/>
    <x v="1"/>
    <s v="C"/>
    <n v="148.40909099999999"/>
  </r>
  <r>
    <s v="TQG"/>
    <s v="Công ty 95"/>
    <s v="ICT"/>
    <n v="38300000"/>
    <d v="2024-02-01T00:00:00"/>
    <n v="2"/>
    <n v="2024"/>
    <s v="Đông Bắc Bộ"/>
    <s v="Doanh nghiệp"/>
    <x v="0"/>
    <s v="A"/>
    <n v="38.299999999999997"/>
  </r>
  <r>
    <s v="DLK"/>
    <s v="Doanh nghiệp 10"/>
    <s v="ICT"/>
    <n v="32701000"/>
    <d v="2024-02-01T00:00:00"/>
    <n v="2"/>
    <n v="2024"/>
    <s v="Tây Nguyên"/>
    <s v="Doanh nghiệp"/>
    <x v="1"/>
    <s v="B"/>
    <n v="32.701000000000001"/>
  </r>
  <r>
    <s v="TGG"/>
    <s v="Doanh nghiệp 13"/>
    <s v="ICT"/>
    <n v="37034181"/>
    <d v="2024-02-01T00:00:00"/>
    <n v="2"/>
    <n v="2024"/>
    <s v="ĐB Sông Cửu Long"/>
    <s v="Doanh nghiệp"/>
    <x v="0"/>
    <s v="B"/>
    <n v="37.034180999999997"/>
  </r>
  <r>
    <s v="NTN"/>
    <s v="Doanh nghiệp 16"/>
    <s v="ME"/>
    <n v="146136364"/>
    <d v="2024-02-01T00:00:00"/>
    <n v="2"/>
    <n v="2024"/>
    <s v="Duyên hải Nam Trung Bộ"/>
    <s v="Doanh nghiệp"/>
    <x v="1"/>
    <s v="O"/>
    <n v="146.13636399999999"/>
  </r>
  <r>
    <s v="CBG"/>
    <s v="Doanh nghiệp 18"/>
    <s v="ICT"/>
    <n v="12309091"/>
    <d v="2024-02-01T00:00:00"/>
    <n v="2"/>
    <n v="2024"/>
    <s v="Đông Bắc Bộ"/>
    <s v="Doanh nghiệp"/>
    <x v="0"/>
    <s v="B"/>
    <n v="12.309091"/>
  </r>
  <r>
    <s v="DTP"/>
    <s v="Doanh nghiệp 24"/>
    <s v="ME"/>
    <n v="36254545"/>
    <d v="2024-02-01T00:00:00"/>
    <n v="2"/>
    <n v="2024"/>
    <s v="ĐB Sông Cửu Long"/>
    <s v="Doanh nghiệp"/>
    <x v="1"/>
    <s v="M"/>
    <n v="36.254545"/>
  </r>
  <r>
    <s v="TVH"/>
    <s v="Doanh nghiệp 5"/>
    <s v="ME"/>
    <n v="86347451"/>
    <d v="2024-02-01T00:00:00"/>
    <n v="2"/>
    <n v="2024"/>
    <s v="ĐB Sông Cửu Long"/>
    <s v="Doanh nghiệp"/>
    <x v="0"/>
    <s v="C"/>
    <n v="86.347451000000007"/>
  </r>
  <r>
    <s v="BGG"/>
    <s v="Doanh nghiệp 25"/>
    <s v="DVKT"/>
    <n v="104376364"/>
    <d v="2024-02-01T00:00:00"/>
    <n v="2"/>
    <n v="2024"/>
    <s v="Đông Bắc Bộ"/>
    <s v="Doanh nghiệp"/>
    <x v="1"/>
    <s v="F"/>
    <n v="104.376364"/>
  </r>
  <r>
    <s v="DNG"/>
    <s v="Doanh nghiệp 13"/>
    <s v="DVKT"/>
    <n v="69818182"/>
    <d v="2024-02-01T00:00:00"/>
    <n v="2"/>
    <n v="2024"/>
    <s v="Duyên hải Nam Trung Bộ"/>
    <s v="Doanh nghiệp"/>
    <x v="0"/>
    <s v="K"/>
    <n v="69.818181999999993"/>
  </r>
  <r>
    <s v="CTO"/>
    <s v="Doanh nghiệp 12"/>
    <s v="Smarthome"/>
    <n v="123518182"/>
    <d v="2024-02-01T00:00:00"/>
    <n v="2"/>
    <n v="2024"/>
    <s v="ĐB Sông Cửu Long"/>
    <s v="Doanh nghiệp"/>
    <x v="1"/>
    <s v="H"/>
    <n v="123.518182"/>
  </r>
  <r>
    <s v="HNI"/>
    <s v="Doanh nghiệp 23"/>
    <s v="Smarthome"/>
    <n v="89500000"/>
    <d v="2024-02-01T00:00:00"/>
    <n v="2"/>
    <n v="2024"/>
    <s v="ĐB Sông Hồng"/>
    <s v="Doanh nghiệp"/>
    <x v="0"/>
    <s v="I"/>
    <n v="89.5"/>
  </r>
  <r>
    <s v="CTO"/>
    <s v="Doanh nghiệp 18"/>
    <s v="ICT"/>
    <n v="29221360"/>
    <d v="2024-02-01T00:00:00"/>
    <n v="2"/>
    <n v="2024"/>
    <s v="ĐB Sông Cửu Long"/>
    <s v="Doanh nghiệp"/>
    <x v="1"/>
    <s v="A"/>
    <n v="29.221360000000001"/>
  </r>
  <r>
    <s v="DTP"/>
    <s v="Tập đoàn 6"/>
    <s v="ICT"/>
    <n v="106624618"/>
    <d v="2024-02-01T00:00:00"/>
    <n v="2"/>
    <n v="2024"/>
    <s v="ĐB Sông Cửu Long"/>
    <s v="Doanh nghiệp"/>
    <x v="0"/>
    <s v="B"/>
    <n v="106.624618"/>
  </r>
  <r>
    <s v="LSN"/>
    <s v="Tập đoàn 31"/>
    <s v="ME"/>
    <n v="1150000000"/>
    <d v="2024-02-01T00:00:00"/>
    <n v="2"/>
    <n v="2024"/>
    <s v="Đông Bắc Bộ"/>
    <s v="Doanh nghiệp"/>
    <x v="1"/>
    <s v="M"/>
    <n v="1150"/>
  </r>
  <r>
    <s v="NAN"/>
    <s v="Tập đoàn 80"/>
    <s v="DVKT"/>
    <n v="17672727"/>
    <d v="2024-02-01T00:00:00"/>
    <n v="2"/>
    <n v="2024"/>
    <s v="Bắc Trung Bộ"/>
    <s v="Doanh nghiệp"/>
    <x v="0"/>
    <s v="O"/>
    <n v="17.672726999999998"/>
  </r>
  <r>
    <s v="PTO"/>
    <s v="Tập đoàn 83"/>
    <s v="ME"/>
    <n v="58810909"/>
    <d v="2024-02-01T00:00:00"/>
    <n v="2"/>
    <n v="2024"/>
    <s v="Đông Bắc Bộ"/>
    <s v="Doanh nghiệp"/>
    <x v="1"/>
    <s v="E"/>
    <n v="58.810909000000002"/>
  </r>
  <r>
    <s v="YBI"/>
    <s v="Tập đoàn 94"/>
    <s v="ME"/>
    <n v="42306364"/>
    <d v="2024-02-01T00:00:00"/>
    <n v="2"/>
    <n v="2024"/>
    <s v="Tây Bắc Bộ"/>
    <s v="Doanh nghiệp"/>
    <x v="0"/>
    <s v="O"/>
    <n v="42.306364000000002"/>
  </r>
  <r>
    <s v="CMU"/>
    <s v="BỘ CHỈ HUY BỘ ĐỘI BIÊN PHÒNG TỈNH CÀ MAU"/>
    <s v="DVKT"/>
    <n v="52320182"/>
    <d v="2024-02-01T00:00:00"/>
    <n v="2"/>
    <n v="2024"/>
    <s v="ĐB Sông Cửu Long"/>
    <s v="Sở ban ngành"/>
    <x v="1"/>
    <s v="A"/>
    <n v="52.320182000000003"/>
  </r>
  <r>
    <s v="HDG"/>
    <s v="CÔNG AN HUYỆN NINH GIANG"/>
    <s v="DVKT"/>
    <n v="41137425"/>
    <d v="2024-02-01T00:00:00"/>
    <n v="2"/>
    <n v="2024"/>
    <s v="ĐB Sông Hồng"/>
    <s v="Sở ban ngành"/>
    <x v="0"/>
    <s v="B"/>
    <n v="41.137425"/>
  </r>
  <r>
    <s v="YBI"/>
    <s v="CÔNG AN XÃ HỒNG CA"/>
    <s v="ICT"/>
    <n v="6758182"/>
    <d v="2024-02-01T00:00:00"/>
    <n v="2"/>
    <n v="2024"/>
    <s v="Tây Bắc Bộ"/>
    <s v="Sở ban ngành"/>
    <x v="1"/>
    <s v="B"/>
    <n v="6.7581819999999997"/>
  </r>
  <r>
    <s v="HNI"/>
    <s v="Cục Công Nghệ Thông Tin - Bộ Công An"/>
    <s v="Smarthome"/>
    <n v="75090909"/>
    <d v="2024-02-01T00:00:00"/>
    <n v="2"/>
    <n v="2024"/>
    <s v="ĐB Sông Hồng"/>
    <s v="Sở ban ngành"/>
    <x v="0"/>
    <s v="H"/>
    <n v="75.090908999999996"/>
  </r>
  <r>
    <s v="CMU"/>
    <s v="ĐOÀN THANH NIÊN XÃ HÒA TÂN"/>
    <s v="ME"/>
    <n v="65609091"/>
    <d v="2024-02-01T00:00:00"/>
    <n v="2"/>
    <n v="2024"/>
    <s v="ĐB Sông Cửu Long"/>
    <s v="Sở ban ngành"/>
    <x v="1"/>
    <s v="E"/>
    <n v="65.609091000000006"/>
  </r>
  <r>
    <s v="HNI"/>
    <s v="Công ty 21"/>
    <s v="ICT"/>
    <n v="18180000"/>
    <d v="2024-02-01T00:00:00"/>
    <n v="2"/>
    <n v="2024"/>
    <s v="ĐB Sông Hồng"/>
    <s v="Doanh nghiệp"/>
    <x v="0"/>
    <s v="A"/>
    <n v="18.18"/>
  </r>
  <r>
    <s v="BTN"/>
    <s v="PHÒNG GIÁO DỤC &amp; ĐÀO TẠO HUYỆN HÀM TÂN"/>
    <s v="ICT"/>
    <n v="40090909"/>
    <d v="2024-02-01T00:00:00"/>
    <n v="2"/>
    <n v="2024"/>
    <s v="Duyên hải Nam Trung Bộ"/>
    <s v="Sở ban ngành"/>
    <x v="1"/>
    <s v="F"/>
    <n v="40.090909000000003"/>
  </r>
  <r>
    <s v="KHA"/>
    <s v="PHÒNG TÀI CHÍNH KẾ HOẠCH"/>
    <s v="DVKT"/>
    <n v="8181818"/>
    <d v="2024-02-01T00:00:00"/>
    <n v="2"/>
    <n v="2024"/>
    <s v="Duyên hải Nam Trung Bộ"/>
    <s v="Sở ban ngành"/>
    <x v="0"/>
    <s v="A"/>
    <n v="8.1818179999999998"/>
  </r>
  <r>
    <s v="BTN"/>
    <s v="PHÒNG VĂN HOÁ &amp; THÔNG TIN HUYỆN HÀM TÂN"/>
    <s v="ME"/>
    <n v="30363636"/>
    <d v="2024-02-01T00:00:00"/>
    <n v="2"/>
    <n v="2024"/>
    <s v="Duyên hải Nam Trung Bộ"/>
    <s v="Sở ban ngành"/>
    <x v="1"/>
    <s v="C"/>
    <n v="30.363636"/>
  </r>
  <r>
    <s v="AGG"/>
    <s v="TRUNG TÂM TƯ VẤN VÀ KIỂM ĐỊNH XÂY DỰNG AG"/>
    <s v="ICT"/>
    <n v="18885455"/>
    <d v="2024-02-01T00:00:00"/>
    <n v="2"/>
    <n v="2024"/>
    <s v="ĐB Sông Cửu Long"/>
    <s v="Sở ban ngành"/>
    <x v="0"/>
    <s v="B"/>
    <n v="18.885455"/>
  </r>
  <r>
    <s v="PTO"/>
    <s v="TRUNG TÂM Y TẾ HUYỆN HẠ HOÀ"/>
    <s v="DVKT"/>
    <n v="63920000"/>
    <d v="2024-02-01T00:00:00"/>
    <n v="2"/>
    <n v="2024"/>
    <s v="Đông Bắc Bộ"/>
    <s v="Sở ban ngành"/>
    <x v="1"/>
    <s v="C"/>
    <n v="63.92"/>
  </r>
  <r>
    <s v="THA"/>
    <s v="UBND THỊ TRẤN HÀ TRUNG"/>
    <s v="ICT"/>
    <n v="36236364"/>
    <d v="2024-02-01T00:00:00"/>
    <n v="2"/>
    <n v="2024"/>
    <s v="Bắc Trung Bộ"/>
    <s v="Sở ban ngành"/>
    <x v="0"/>
    <s v="B"/>
    <n v="36.236364000000002"/>
  </r>
  <r>
    <s v="HUE"/>
    <s v="UBND THỊ TRẤN PHONG ĐIỀN"/>
    <s v="ICT"/>
    <n v="79090909"/>
    <d v="2024-02-01T00:00:00"/>
    <n v="2"/>
    <n v="2024"/>
    <s v="Bắc Trung Bộ"/>
    <s v="Sở ban ngành"/>
    <x v="1"/>
    <s v="F"/>
    <n v="79.090908999999996"/>
  </r>
  <r>
    <s v="QNM"/>
    <s v="UBND XÃ BÌNH CHÁNH"/>
    <s v="NLMT"/>
    <n v="73150000"/>
    <d v="2024-02-01T00:00:00"/>
    <n v="2"/>
    <n v="2024"/>
    <s v="Duyên hải Nam Trung Bộ"/>
    <s v="Sở ban ngành"/>
    <x v="0"/>
    <s v="K"/>
    <n v="73.150000000000006"/>
  </r>
  <r>
    <s v="HTH"/>
    <s v="UBND XÃ CẨM THÀNH"/>
    <s v="DVKT"/>
    <n v="144327273"/>
    <d v="2024-02-01T00:00:00"/>
    <n v="2"/>
    <n v="2024"/>
    <s v="Bắc Trung Bộ"/>
    <s v="Sở ban ngành"/>
    <x v="1"/>
    <s v="B"/>
    <n v="144.32727299999999"/>
  </r>
  <r>
    <s v="GLI"/>
    <s v="UBND XÃ CHƯ GU"/>
    <s v="ICT"/>
    <n v="17350000"/>
    <d v="2024-02-01T00:00:00"/>
    <n v="2"/>
    <n v="2024"/>
    <s v="Tây Nguyên"/>
    <s v="Sở ban ngành"/>
    <x v="0"/>
    <s v="B"/>
    <n v="17.350000000000001"/>
  </r>
  <r>
    <s v="NAN"/>
    <s v="UBND XÃ DIỄN ĐỒNG"/>
    <s v="ICT"/>
    <n v="153554545"/>
    <d v="2024-02-01T00:00:00"/>
    <n v="2"/>
    <n v="2024"/>
    <s v="Bắc Trung Bộ"/>
    <s v="Sở ban ngành"/>
    <x v="1"/>
    <s v="B"/>
    <n v="153.55454499999999"/>
  </r>
  <r>
    <s v="HUE"/>
    <s v="UBND XÃ ĐIỀN LỘC"/>
    <s v="ICT"/>
    <n v="79090909"/>
    <d v="2024-02-01T00:00:00"/>
    <n v="2"/>
    <n v="2024"/>
    <s v="Bắc Trung Bộ"/>
    <s v="Sở ban ngành"/>
    <x v="0"/>
    <s v="F"/>
    <n v="79.090908999999996"/>
  </r>
  <r>
    <s v="PYN"/>
    <s v="UBND xã Hòa Thành"/>
    <s v="ICT"/>
    <n v="30909091"/>
    <d v="2024-02-01T00:00:00"/>
    <n v="2"/>
    <n v="2024"/>
    <s v="Duyên hải Nam Trung Bộ"/>
    <s v="Sở ban ngành"/>
    <x v="1"/>
    <s v="B"/>
    <n v="30.909091"/>
  </r>
  <r>
    <s v="GLI"/>
    <s v="UBND XÃ IA PUCH"/>
    <s v="ICT"/>
    <n v="5550000"/>
    <d v="2024-02-01T00:00:00"/>
    <n v="2"/>
    <n v="2024"/>
    <s v="Tây Nguyên"/>
    <s v="Sở ban ngành"/>
    <x v="0"/>
    <s v="A"/>
    <n v="5.55"/>
  </r>
  <r>
    <s v="HUE"/>
    <s v="UBND XÃ PHONG AN"/>
    <s v="ICT"/>
    <n v="79090909"/>
    <d v="2024-02-01T00:00:00"/>
    <n v="2"/>
    <n v="2024"/>
    <s v="Bắc Trung Bộ"/>
    <s v="Sở ban ngành"/>
    <x v="1"/>
    <s v="F"/>
    <n v="79.090908999999996"/>
  </r>
  <r>
    <s v="HUE"/>
    <s v="UBND XÃ PHONG HIỀN"/>
    <s v="ICT"/>
    <n v="79090909"/>
    <d v="2024-02-01T00:00:00"/>
    <n v="2"/>
    <n v="2024"/>
    <s v="Bắc Trung Bộ"/>
    <s v="Sở ban ngành"/>
    <x v="0"/>
    <s v="F"/>
    <n v="79.090908999999996"/>
  </r>
  <r>
    <s v="YBI"/>
    <s v="UBND XÃ PÚNG LUÔNG"/>
    <s v="DVKT"/>
    <n v="9318182"/>
    <d v="2024-02-01T00:00:00"/>
    <n v="2"/>
    <n v="2024"/>
    <s v="Tây Bắc Bộ"/>
    <s v="Sở ban ngành"/>
    <x v="1"/>
    <s v="B"/>
    <n v="9.3181820000000002"/>
  </r>
  <r>
    <s v="PTO"/>
    <s v="UBND XÃ SÔNG LÔ"/>
    <s v="DVKT"/>
    <n v="76941709"/>
    <d v="2024-02-01T00:00:00"/>
    <n v="2"/>
    <n v="2024"/>
    <s v="Đông Bắc Bộ"/>
    <s v="Sở ban ngành"/>
    <x v="0"/>
    <s v="B"/>
    <n v="76.941709000000003"/>
  </r>
  <r>
    <s v="TQG"/>
    <s v="UBND XÃ TÂN MỸ"/>
    <s v="ICT"/>
    <n v="42726818"/>
    <d v="2024-02-01T00:00:00"/>
    <n v="2"/>
    <n v="2024"/>
    <s v="Đông Bắc Bộ"/>
    <s v="Sở ban ngành"/>
    <x v="1"/>
    <s v="B"/>
    <n v="42.726818000000002"/>
  </r>
  <r>
    <s v="NDH"/>
    <s v="UBND xã Trực Khang"/>
    <s v="ICT"/>
    <n v="63861818"/>
    <d v="2024-02-01T00:00:00"/>
    <n v="2"/>
    <n v="2024"/>
    <s v="ĐB Sông Hồng"/>
    <s v="Sở ban ngành"/>
    <x v="0"/>
    <s v="P"/>
    <n v="63.861818"/>
  </r>
  <r>
    <s v="TQG"/>
    <s v="Ubnd Xã Trung Trực"/>
    <s v="NLMT"/>
    <n v="15454545"/>
    <d v="2024-02-01T00:00:00"/>
    <n v="2"/>
    <n v="2024"/>
    <s v="Đông Bắc Bộ"/>
    <s v="Sở ban ngành"/>
    <x v="1"/>
    <s v="K"/>
    <n v="15.454545"/>
  </r>
  <r>
    <s v="LSN"/>
    <s v="UBND XÃ VÂN THỦY"/>
    <s v="ICT"/>
    <n v="7727273"/>
    <d v="2024-02-01T00:00:00"/>
    <n v="2"/>
    <n v="2024"/>
    <s v="Đông Bắc Bộ"/>
    <s v="Sở ban ngành"/>
    <x v="0"/>
    <s v="L"/>
    <n v="7.7272730000000003"/>
  </r>
  <r>
    <s v="THA"/>
    <s v="ủy BAN MẶT TRẬN TỔ QUỐC THỊ TRẤN NGỌC LẶC"/>
    <s v="ICT"/>
    <n v="300032727"/>
    <d v="2024-02-01T00:00:00"/>
    <n v="2"/>
    <n v="2024"/>
    <s v="Bắc Trung Bộ"/>
    <s v="Sở ban ngành"/>
    <x v="1"/>
    <s v="B"/>
    <n v="300.03272700000002"/>
  </r>
  <r>
    <s v="PTO"/>
    <s v="Ủy ban nhân dân xã Cao Xá, huyện Lâm Thao"/>
    <s v="ICT"/>
    <n v="23859182"/>
    <d v="2024-02-01T00:00:00"/>
    <n v="2"/>
    <n v="2024"/>
    <s v="Đông Bắc Bộ"/>
    <s v="Sở ban ngành"/>
    <x v="0"/>
    <s v="B"/>
    <n v="23.859182000000001"/>
  </r>
  <r>
    <s v="DNI"/>
    <s v="UỶ BAN NHÂN DÂN XÃ TRÀ CỔ"/>
    <s v="NLMT"/>
    <n v="701762487"/>
    <d v="2024-02-01T00:00:00"/>
    <n v="2"/>
    <n v="2024"/>
    <s v="Đông Nam Bộ"/>
    <s v="Sở ban ngành"/>
    <x v="1"/>
    <s v="K"/>
    <n v="701.76248699999996"/>
  </r>
  <r>
    <s v="NAN"/>
    <s v="VIỆN KIỂM SÁT NHÂN DÂN TỈNH NGHỆ AN"/>
    <s v="ME"/>
    <n v="348054545"/>
    <d v="2024-02-01T00:00:00"/>
    <n v="2"/>
    <n v="2024"/>
    <s v="Bắc Trung Bộ"/>
    <s v="Sở ban ngành"/>
    <x v="0"/>
    <s v="C"/>
    <n v="348.05454500000002"/>
  </r>
  <r>
    <s v="HUE"/>
    <s v="HỌC VIỆN ÂM NHẠC HUẾ"/>
    <s v="DVKT"/>
    <n v="27500000"/>
    <d v="2024-02-01T00:00:00"/>
    <n v="2"/>
    <n v="2024"/>
    <s v="Bắc Trung Bộ"/>
    <s v="Trường học"/>
    <x v="1"/>
    <s v="C"/>
    <n v="27.5"/>
  </r>
  <r>
    <s v="DTP"/>
    <s v="TRƯỜNG MẦM NON HOÀ AN"/>
    <s v="DVKT"/>
    <n v="29772727"/>
    <d v="2024-02-01T00:00:00"/>
    <n v="2"/>
    <n v="2024"/>
    <s v="ĐB Sông Cửu Long"/>
    <s v="Trường học"/>
    <x v="0"/>
    <s v="Q"/>
    <n v="29.772727"/>
  </r>
  <r>
    <s v="NAN"/>
    <s v="TRƯỜNG MẦM NON LÊ MAO"/>
    <s v="ICT"/>
    <n v="8231818"/>
    <d v="2024-02-01T00:00:00"/>
    <n v="2"/>
    <n v="2024"/>
    <s v="Bắc Trung Bộ"/>
    <s v="Trường học"/>
    <x v="1"/>
    <s v="A"/>
    <n v="8.2318180000000005"/>
  </r>
  <r>
    <s v="LCU"/>
    <s v="TRƯỜNG MẦM NON SAO SÁNG"/>
    <s v="ICT"/>
    <n v="16426000"/>
    <d v="2024-02-01T00:00:00"/>
    <n v="2"/>
    <n v="2024"/>
    <s v="Tây Bắc Bộ"/>
    <s v="Trường học"/>
    <x v="0"/>
    <s v="B"/>
    <n v="16.425999999999998"/>
  </r>
  <r>
    <s v="BGG"/>
    <s v="TRƯỜNG MẦM NON TAM HIỆP"/>
    <s v="ICT"/>
    <n v="25585000"/>
    <d v="2024-02-01T00:00:00"/>
    <n v="2"/>
    <n v="2024"/>
    <s v="Đông Bắc Bộ"/>
    <s v="Trường học"/>
    <x v="1"/>
    <s v="A"/>
    <n v="25.585000000000001"/>
  </r>
  <r>
    <s v="GLI"/>
    <s v="TRƯỜNG MẪU GIÁO BÌNH MINH"/>
    <s v="ICT"/>
    <n v="15032727"/>
    <d v="2024-02-01T00:00:00"/>
    <n v="2"/>
    <n v="2024"/>
    <s v="Tây Nguyên"/>
    <s v="Trường học"/>
    <x v="0"/>
    <s v="B"/>
    <n v="15.032727"/>
  </r>
  <r>
    <s v="BNH"/>
    <s v="Trường THCS Đại Phúc"/>
    <s v="DVKT"/>
    <n v="19200000"/>
    <d v="2024-02-01T00:00:00"/>
    <n v="2"/>
    <n v="2024"/>
    <s v="ĐB Sông Hồng"/>
    <s v="Trường học"/>
    <x v="1"/>
    <s v="A"/>
    <n v="19.2"/>
  </r>
  <r>
    <s v="SLA"/>
    <s v="Trường THPT Chu Văn Thịnh"/>
    <s v="ICT"/>
    <n v="68707545"/>
    <d v="2024-02-01T00:00:00"/>
    <n v="2"/>
    <n v="2024"/>
    <s v="Tây Bắc Bộ"/>
    <s v="Trường học"/>
    <x v="0"/>
    <s v="B"/>
    <n v="68.707544999999996"/>
  </r>
  <r>
    <s v="HNM"/>
    <s v="TRƯỜNG TIỂU HỌC THANH NGUYÊN"/>
    <s v="ICT"/>
    <n v="417315455"/>
    <d v="2024-02-01T00:00:00"/>
    <n v="2"/>
    <n v="2024"/>
    <s v="ĐB Sông Hồng"/>
    <s v="Trường học"/>
    <x v="1"/>
    <s v="F"/>
    <n v="417.31545499999999"/>
  </r>
  <r>
    <s v="BGG"/>
    <s v="TRƯỜNG TIỂU HỌC THƯỜNG THẮNG"/>
    <s v="ICT"/>
    <n v="39410000"/>
    <d v="2024-02-01T00:00:00"/>
    <n v="2"/>
    <n v="2024"/>
    <s v="Đông Bắc Bộ"/>
    <s v="Trường học"/>
    <x v="0"/>
    <s v="A"/>
    <n v="39.409999999999997"/>
  </r>
  <r>
    <s v="PTO"/>
    <s v="TRƯỜNG TRUNG HỌC CƠ SỞ PHỤ KHÁNH"/>
    <s v="ME"/>
    <n v="45450000"/>
    <d v="2024-02-01T00:00:00"/>
    <n v="2"/>
    <n v="2024"/>
    <s v="Đông Bắc Bộ"/>
    <s v="Trường học"/>
    <x v="1"/>
    <s v="O"/>
    <n v="45.45"/>
  </r>
  <r>
    <s v="DTP"/>
    <s v="TRƯỜNG TRUNG HỌC CƠ SỞ VÀ TRUNG HỌC PHỔ THÔNG HÒA BÌNH"/>
    <s v="ICT"/>
    <n v="24050000"/>
    <d v="2024-02-01T00:00:00"/>
    <n v="2"/>
    <n v="2024"/>
    <s v="ĐB Sông Cửu Long"/>
    <s v="Trường học"/>
    <x v="0"/>
    <s v="A"/>
    <n v="24.05"/>
  </r>
  <r>
    <s v="TQG"/>
    <s v="Bệnh Viện Phcn Hương Sen"/>
    <s v="ICT"/>
    <n v="45342909"/>
    <d v="2025-02-01T00:00:00"/>
    <n v="2"/>
    <n v="2025"/>
    <s v="Đông Bắc Bộ"/>
    <s v="Bệnh viện"/>
    <x v="1"/>
    <s v="B"/>
    <n v="45.342908999999999"/>
  </r>
  <r>
    <s v="HUG"/>
    <s v="Bệnh Viện Thống Nhất"/>
    <s v="DVKT"/>
    <n v="796363636"/>
    <d v="2025-02-01T00:00:00"/>
    <n v="2"/>
    <n v="2025"/>
    <s v="ĐB Sông Cửu Long"/>
    <s v="Bệnh viện"/>
    <x v="0"/>
    <s v="A"/>
    <n v="796.36363600000004"/>
  </r>
  <r>
    <s v="TBH"/>
    <s v="Công ty 3"/>
    <s v="ME"/>
    <n v="6760000000"/>
    <d v="2025-02-01T00:00:00"/>
    <n v="2"/>
    <n v="2025"/>
    <s v="ĐB Sông Hồng"/>
    <s v="Doanh nghiệp"/>
    <x v="1"/>
    <s v="C"/>
    <n v="6760"/>
  </r>
  <r>
    <s v="BPC"/>
    <s v="Công ty 21"/>
    <s v="DVKT"/>
    <n v="8836364"/>
    <d v="2025-02-01T00:00:00"/>
    <n v="2"/>
    <n v="2025"/>
    <s v="Đông Nam Bộ"/>
    <s v="Doanh nghiệp"/>
    <x v="0"/>
    <s v="D"/>
    <n v="8.8363639999999997"/>
  </r>
  <r>
    <s v="BPC"/>
    <s v="Công ty 24"/>
    <s v="DVKT"/>
    <n v="8836364"/>
    <d v="2025-02-01T00:00:00"/>
    <n v="2"/>
    <n v="2025"/>
    <s v="Đông Nam Bộ"/>
    <s v="Doanh nghiệp"/>
    <x v="1"/>
    <s v="D"/>
    <n v="8.8363639999999997"/>
  </r>
  <r>
    <s v="BPC"/>
    <s v="Công ty 32"/>
    <s v="DVKT"/>
    <n v="8836364"/>
    <d v="2025-02-01T00:00:00"/>
    <n v="2"/>
    <n v="2025"/>
    <s v="Đông Nam Bộ"/>
    <s v="Doanh nghiệp"/>
    <x v="0"/>
    <s v="D"/>
    <n v="8.8363639999999997"/>
  </r>
  <r>
    <s v="HNI"/>
    <s v="Công ty 45"/>
    <s v="ICT"/>
    <n v="85400000"/>
    <d v="2025-02-01T00:00:00"/>
    <n v="2"/>
    <n v="2025"/>
    <s v="ĐB Sông Hồng"/>
    <s v="Doanh nghiệp"/>
    <x v="1"/>
    <s v="F"/>
    <n v="85.4"/>
  </r>
  <r>
    <s v="VPC"/>
    <s v="Công ty 40"/>
    <s v="NLMT"/>
    <n v="772826600"/>
    <d v="2025-02-01T00:00:00"/>
    <n v="2"/>
    <n v="2025"/>
    <s v="ĐB Sông Hồng"/>
    <s v="Doanh nghiệp"/>
    <x v="0"/>
    <s v="D"/>
    <n v="772.82659999999998"/>
  </r>
  <r>
    <s v="CBG"/>
    <s v="Công ty 42"/>
    <s v="ICT"/>
    <n v="15972727"/>
    <d v="2025-02-01T00:00:00"/>
    <n v="2"/>
    <n v="2025"/>
    <s v="Đông Bắc Bộ"/>
    <s v="Doanh nghiệp"/>
    <x v="1"/>
    <s v="F"/>
    <n v="15.972727000000001"/>
  </r>
  <r>
    <s v="BPC"/>
    <s v="Công ty 44"/>
    <s v="DVKT"/>
    <n v="82885091"/>
    <d v="2025-02-01T00:00:00"/>
    <n v="2"/>
    <n v="2025"/>
    <s v="Đông Nam Bộ"/>
    <s v="Doanh nghiệp"/>
    <x v="0"/>
    <s v="C"/>
    <n v="82.885091000000003"/>
  </r>
  <r>
    <s v="TNH"/>
    <s v="Công ty 46"/>
    <s v="ME"/>
    <n v="80330255"/>
    <d v="2025-02-01T00:00:00"/>
    <n v="2"/>
    <n v="2025"/>
    <s v="Đông Nam Bộ"/>
    <s v="Doanh nghiệp"/>
    <x v="1"/>
    <s v="O"/>
    <n v="80.330254999999994"/>
  </r>
  <r>
    <s v="TNH"/>
    <s v="Công ty 47"/>
    <s v="ME"/>
    <n v="54215200"/>
    <d v="2025-02-01T00:00:00"/>
    <n v="2"/>
    <n v="2025"/>
    <s v="Đông Nam Bộ"/>
    <s v="Doanh nghiệp"/>
    <x v="0"/>
    <s v="O"/>
    <n v="54.215200000000003"/>
  </r>
  <r>
    <s v="DNG"/>
    <s v="Công ty 68"/>
    <s v="ICT"/>
    <n v="411465486"/>
    <d v="2025-02-01T00:00:00"/>
    <n v="2"/>
    <n v="2025"/>
    <s v="Duyên hải Nam Trung Bộ"/>
    <s v="Doanh nghiệp"/>
    <x v="1"/>
    <s v="G"/>
    <n v="411.465486"/>
  </r>
  <r>
    <s v="HNI"/>
    <s v="Công ty 10"/>
    <s v="ICT"/>
    <n v="153250000"/>
    <d v="2025-02-01T00:00:00"/>
    <n v="2"/>
    <n v="2025"/>
    <s v="ĐB Sông Hồng"/>
    <s v="Doanh nghiệp"/>
    <x v="0"/>
    <s v="F"/>
    <n v="153.25"/>
  </r>
  <r>
    <s v="DNG"/>
    <s v="Công ty 23"/>
    <s v="ICT"/>
    <n v="3976364"/>
    <d v="2025-02-01T00:00:00"/>
    <n v="2"/>
    <n v="2025"/>
    <s v="Duyên hải Nam Trung Bộ"/>
    <s v="Doanh nghiệp"/>
    <x v="1"/>
    <s v="A"/>
    <n v="3.9763639999999998"/>
  </r>
  <r>
    <s v="VPC"/>
    <s v="Công ty 28"/>
    <s v="NLMT"/>
    <n v="996658182"/>
    <d v="2025-02-01T00:00:00"/>
    <n v="2"/>
    <n v="2025"/>
    <s v="ĐB Sông Hồng"/>
    <s v="Doanh nghiệp"/>
    <x v="0"/>
    <s v="D"/>
    <n v="996.65818200000001"/>
  </r>
  <r>
    <s v="CBG"/>
    <s v="Công ty 47"/>
    <s v="DVKT"/>
    <n v="39272727"/>
    <d v="2025-02-01T00:00:00"/>
    <n v="2"/>
    <n v="2025"/>
    <s v="Đông Bắc Bộ"/>
    <s v="Doanh nghiệp"/>
    <x v="1"/>
    <s v="P"/>
    <n v="39.272727000000003"/>
  </r>
  <r>
    <s v="HYN"/>
    <s v="Công ty 59"/>
    <s v="NLMT"/>
    <n v="2371408660"/>
    <d v="2025-02-01T00:00:00"/>
    <n v="2"/>
    <n v="2025"/>
    <s v="ĐB Sông Hồng"/>
    <s v="Doanh nghiệp"/>
    <x v="0"/>
    <s v="D"/>
    <n v="2371.4086600000001"/>
  </r>
  <r>
    <s v="GLI"/>
    <s v="Công ty 78"/>
    <s v="NLMT"/>
    <n v="105440020"/>
    <d v="2025-02-01T00:00:00"/>
    <n v="2"/>
    <n v="2025"/>
    <s v="Tây Nguyên"/>
    <s v="Doanh nghiệp"/>
    <x v="1"/>
    <s v="D"/>
    <n v="105.44002"/>
  </r>
  <r>
    <s v="THA"/>
    <s v="Công ty 11"/>
    <s v="ME"/>
    <n v="134818182"/>
    <d v="2025-02-01T00:00:00"/>
    <n v="2"/>
    <n v="2025"/>
    <s v="Bắc Trung Bộ"/>
    <s v="Doanh nghiệp"/>
    <x v="0"/>
    <s v="M"/>
    <n v="134.81818200000001"/>
  </r>
  <r>
    <s v="QNI"/>
    <s v="Công ty 14"/>
    <s v="DVKT"/>
    <n v="632474215"/>
    <d v="2025-02-01T00:00:00"/>
    <n v="2"/>
    <n v="2025"/>
    <s v="Duyên hải Nam Trung Bộ"/>
    <s v="Doanh nghiệp"/>
    <x v="1"/>
    <s v="A"/>
    <n v="632.47421499999996"/>
  </r>
  <r>
    <s v="HCM"/>
    <s v="Công ty 57"/>
    <s v="NLMT"/>
    <n v="8406703678"/>
    <d v="2025-02-01T00:00:00"/>
    <n v="2"/>
    <n v="2025"/>
    <s v="Đông Nam Bộ"/>
    <s v="Doanh nghiệp"/>
    <x v="0"/>
    <s v="D"/>
    <n v="8406.7036779999999"/>
  </r>
  <r>
    <s v="BDG"/>
    <s v="Công ty 87"/>
    <s v="ME"/>
    <n v="277272727"/>
    <d v="2025-02-01T00:00:00"/>
    <n v="2"/>
    <n v="2025"/>
    <s v="Đông Nam Bộ"/>
    <s v="Doanh nghiệp"/>
    <x v="1"/>
    <s v="E"/>
    <n v="277.27272699999997"/>
  </r>
  <r>
    <s v="HDG"/>
    <s v="Công ty 21"/>
    <s v="Smarthome"/>
    <n v="60327273"/>
    <d v="2025-02-01T00:00:00"/>
    <n v="2"/>
    <n v="2025"/>
    <s v="ĐB Sông Hồng"/>
    <s v="Doanh nghiệp"/>
    <x v="0"/>
    <s v="H"/>
    <n v="60.327272999999998"/>
  </r>
  <r>
    <s v="KTM"/>
    <s v="Công ty 25"/>
    <s v="DVKT"/>
    <n v="95150000"/>
    <d v="2025-02-01T00:00:00"/>
    <n v="2"/>
    <n v="2025"/>
    <s v="Tây Nguyên"/>
    <s v="Doanh nghiệp"/>
    <x v="1"/>
    <s v="C"/>
    <n v="95.15"/>
  </r>
  <r>
    <s v="BGG"/>
    <s v="Công ty 56"/>
    <s v="DVKT"/>
    <n v="34583500"/>
    <d v="2025-02-01T00:00:00"/>
    <n v="2"/>
    <n v="2025"/>
    <s v="Đông Bắc Bộ"/>
    <s v="Doanh nghiệp"/>
    <x v="0"/>
    <s v="A"/>
    <n v="34.583500000000001"/>
  </r>
  <r>
    <s v="VPC"/>
    <s v="Công ty 84"/>
    <s v="DVKT"/>
    <n v="1355435345"/>
    <d v="2025-02-01T00:00:00"/>
    <n v="2"/>
    <n v="2025"/>
    <s v="ĐB Sông Hồng"/>
    <s v="Doanh nghiệp"/>
    <x v="1"/>
    <s v="D"/>
    <n v="1355.4353450000001"/>
  </r>
  <r>
    <s v="BGG"/>
    <s v="Công ty 99"/>
    <s v="CSDT"/>
    <n v="707927468"/>
    <d v="2025-02-01T00:00:00"/>
    <n v="2"/>
    <n v="2025"/>
    <s v="Đông Bắc Bộ"/>
    <s v="Doanh nghiệp"/>
    <x v="0"/>
    <s v="E"/>
    <n v="707.92746799999998"/>
  </r>
  <r>
    <s v="QNM"/>
    <s v="Công ty 45"/>
    <s v="CSDT"/>
    <n v="3164641577"/>
    <d v="2025-02-01T00:00:00"/>
    <n v="2"/>
    <n v="2025"/>
    <s v="Duyên hải Nam Trung Bộ"/>
    <s v="Doanh nghiệp"/>
    <x v="1"/>
    <s v="E"/>
    <n v="3164.6415769999999"/>
  </r>
  <r>
    <s v="SLA"/>
    <s v="Công ty 64"/>
    <s v="ME"/>
    <n v="102877409"/>
    <d v="2025-02-01T00:00:00"/>
    <n v="2"/>
    <n v="2025"/>
    <s v="Tây Bắc Bộ"/>
    <s v="Doanh nghiệp"/>
    <x v="0"/>
    <s v="O"/>
    <n v="102.877409"/>
  </r>
  <r>
    <s v="BTN"/>
    <s v="Công ty 20"/>
    <s v="ICT"/>
    <n v="23976700"/>
    <d v="2025-02-01T00:00:00"/>
    <n v="2"/>
    <n v="2025"/>
    <s v="Duyên hải Nam Trung Bộ"/>
    <s v="Doanh nghiệp"/>
    <x v="1"/>
    <s v="B"/>
    <n v="23.976700000000001"/>
  </r>
  <r>
    <s v="QTI"/>
    <s v="Công ty 77"/>
    <s v="ICT"/>
    <n v="284185128"/>
    <d v="2025-02-01T00:00:00"/>
    <n v="2"/>
    <n v="2025"/>
    <s v="Bắc Trung Bộ"/>
    <s v="Doanh nghiệp"/>
    <x v="0"/>
    <s v="B"/>
    <n v="284.18512800000002"/>
  </r>
  <r>
    <s v="QBH"/>
    <s v="Công ty 83"/>
    <s v="NLMT"/>
    <n v="294558927"/>
    <d v="2025-02-01T00:00:00"/>
    <n v="2"/>
    <n v="2025"/>
    <s v="Bắc Trung Bộ"/>
    <s v="Doanh nghiệp"/>
    <x v="1"/>
    <s v="D"/>
    <n v="294.55892699999998"/>
  </r>
  <r>
    <s v="HNM"/>
    <s v="Công ty 86"/>
    <s v="NLMT"/>
    <n v="142950091"/>
    <d v="2025-02-01T00:00:00"/>
    <n v="2"/>
    <n v="2025"/>
    <s v="ĐB Sông Hồng"/>
    <s v="Doanh nghiệp"/>
    <x v="0"/>
    <s v="D"/>
    <n v="142.95009099999999"/>
  </r>
  <r>
    <s v="DBN"/>
    <s v="Công ty 98"/>
    <s v="NLMT"/>
    <n v="209756509"/>
    <d v="2025-02-01T00:00:00"/>
    <n v="2"/>
    <n v="2025"/>
    <s v="Tây Bắc Bộ"/>
    <s v="Doanh nghiệp"/>
    <x v="1"/>
    <s v="K"/>
    <n v="209.75650899999999"/>
  </r>
  <r>
    <s v="TGG"/>
    <s v="Công ty 22"/>
    <s v="NLMT"/>
    <n v="783056142"/>
    <d v="2025-02-01T00:00:00"/>
    <n v="2"/>
    <n v="2025"/>
    <s v="ĐB Sông Cửu Long"/>
    <s v="Doanh nghiệp"/>
    <x v="0"/>
    <s v="D"/>
    <n v="783.05614200000002"/>
  </r>
  <r>
    <s v="DLK"/>
    <s v="Công ty 48"/>
    <s v="NLMT"/>
    <n v="81818182"/>
    <d v="2025-02-01T00:00:00"/>
    <n v="2"/>
    <n v="2025"/>
    <s v="Tây Nguyên"/>
    <s v="Doanh nghiệp"/>
    <x v="1"/>
    <s v="D"/>
    <n v="81.818181999999993"/>
  </r>
  <r>
    <s v="NDH"/>
    <s v="Công ty 68"/>
    <s v="NLMT"/>
    <n v="6350000000"/>
    <d v="2025-02-01T00:00:00"/>
    <n v="2"/>
    <n v="2025"/>
    <s v="ĐB Sông Hồng"/>
    <s v="Doanh nghiệp"/>
    <x v="0"/>
    <s v="D"/>
    <n v="6350"/>
  </r>
  <r>
    <s v="NAN"/>
    <s v="Công ty 30"/>
    <s v="ICT"/>
    <n v="8272727"/>
    <d v="2025-02-01T00:00:00"/>
    <n v="2"/>
    <n v="2025"/>
    <s v="Bắc Trung Bộ"/>
    <s v="Doanh nghiệp"/>
    <x v="1"/>
    <s v="B"/>
    <n v="8.2727269999999997"/>
  </r>
  <r>
    <s v="BPC"/>
    <s v="Công ty 96"/>
    <s v="DVKT"/>
    <n v="7272727"/>
    <d v="2025-02-01T00:00:00"/>
    <n v="2"/>
    <n v="2025"/>
    <s v="Đông Nam Bộ"/>
    <s v="Doanh nghiệp"/>
    <x v="0"/>
    <s v="D"/>
    <n v="7.2727269999999997"/>
  </r>
  <r>
    <s v="BPC"/>
    <s v="Công ty 98"/>
    <s v="DVKT"/>
    <n v="7272727"/>
    <d v="2025-02-01T00:00:00"/>
    <n v="2"/>
    <n v="2025"/>
    <s v="Đông Nam Bộ"/>
    <s v="Doanh nghiệp"/>
    <x v="1"/>
    <s v="D"/>
    <n v="7.2727269999999997"/>
  </r>
  <r>
    <s v="BPC"/>
    <s v="Công ty 99"/>
    <s v="DVKT"/>
    <n v="11143636"/>
    <d v="2025-02-01T00:00:00"/>
    <n v="2"/>
    <n v="2025"/>
    <s v="Đông Nam Bộ"/>
    <s v="Doanh nghiệp"/>
    <x v="0"/>
    <s v="D"/>
    <n v="11.143636000000001"/>
  </r>
  <r>
    <s v="HBH"/>
    <s v="Công ty 16"/>
    <s v="NLMT"/>
    <n v="205294416"/>
    <d v="2025-02-01T00:00:00"/>
    <n v="2"/>
    <n v="2025"/>
    <s v="Tây Bắc Bộ"/>
    <s v="Doanh nghiệp"/>
    <x v="1"/>
    <s v="D"/>
    <n v="205.29441600000001"/>
  </r>
  <r>
    <s v="SLA"/>
    <s v="Công ty 30"/>
    <s v="ME"/>
    <n v="52285227"/>
    <d v="2025-02-01T00:00:00"/>
    <n v="2"/>
    <n v="2025"/>
    <s v="Tây Bắc Bộ"/>
    <s v="Doanh nghiệp"/>
    <x v="0"/>
    <s v="O"/>
    <n v="52.285226999999999"/>
  </r>
  <r>
    <s v="SLA"/>
    <s v="Công ty 31"/>
    <s v="ME"/>
    <n v="65232045"/>
    <d v="2025-02-01T00:00:00"/>
    <n v="2"/>
    <n v="2025"/>
    <s v="Tây Bắc Bộ"/>
    <s v="Doanh nghiệp"/>
    <x v="1"/>
    <s v="O"/>
    <n v="65.232044999999999"/>
  </r>
  <r>
    <s v="BGG"/>
    <s v="Công ty 59"/>
    <s v="NLMT"/>
    <n v="470000000"/>
    <d v="2025-02-01T00:00:00"/>
    <n v="2"/>
    <n v="2025"/>
    <s v="Đông Bắc Bộ"/>
    <s v="Doanh nghiệp"/>
    <x v="0"/>
    <s v="D"/>
    <n v="470"/>
  </r>
  <r>
    <s v="KTM"/>
    <s v="Công ty 79"/>
    <s v="NLMT"/>
    <n v="257245673"/>
    <d v="2025-02-01T00:00:00"/>
    <n v="2"/>
    <n v="2025"/>
    <s v="Tây Nguyên"/>
    <s v="Doanh nghiệp"/>
    <x v="1"/>
    <s v="D"/>
    <n v="257.24567300000001"/>
  </r>
  <r>
    <s v="NAN"/>
    <s v="Công ty 34"/>
    <s v="NLMT"/>
    <n v="88165986"/>
    <d v="2025-02-01T00:00:00"/>
    <n v="2"/>
    <n v="2025"/>
    <s v="Bắc Trung Bộ"/>
    <s v="Doanh nghiệp"/>
    <x v="0"/>
    <s v="D"/>
    <n v="88.165986000000004"/>
  </r>
  <r>
    <s v="LCU"/>
    <s v="Công ty 65"/>
    <s v="ICT"/>
    <n v="8720000"/>
    <d v="2025-02-01T00:00:00"/>
    <n v="2"/>
    <n v="2025"/>
    <s v="Tây Bắc Bộ"/>
    <s v="Doanh nghiệp"/>
    <x v="1"/>
    <s v="B"/>
    <n v="8.7200000000000006"/>
  </r>
  <r>
    <s v="TGG"/>
    <s v="Công ty 70"/>
    <s v="NLMT"/>
    <n v="40480000"/>
    <d v="2025-02-01T00:00:00"/>
    <n v="2"/>
    <n v="2025"/>
    <s v="ĐB Sông Cửu Long"/>
    <s v="Doanh nghiệp"/>
    <x v="0"/>
    <s v="D"/>
    <n v="40.479999999999997"/>
  </r>
  <r>
    <s v="STG"/>
    <s v="Công ty 78"/>
    <s v="NLMT"/>
    <n v="86896364"/>
    <d v="2025-02-01T00:00:00"/>
    <n v="2"/>
    <n v="2025"/>
    <s v="ĐB Sông Cửu Long"/>
    <s v="Doanh nghiệp"/>
    <x v="1"/>
    <s v="D"/>
    <n v="86.896364000000005"/>
  </r>
  <r>
    <s v="PTO"/>
    <s v="Công ty 1"/>
    <s v="ME"/>
    <n v="304545455"/>
    <d v="2025-02-01T00:00:00"/>
    <n v="2"/>
    <n v="2025"/>
    <s v="Đông Bắc Bộ"/>
    <s v="Doanh nghiệp"/>
    <x v="0"/>
    <s v="C"/>
    <n v="304.545455"/>
  </r>
  <r>
    <s v="DCN"/>
    <s v="Công ty 6"/>
    <s v="ICT"/>
    <n v="19363636"/>
    <d v="2025-02-01T00:00:00"/>
    <n v="2"/>
    <n v="2025"/>
    <s v="Tây Nguyên"/>
    <s v="Doanh nghiệp"/>
    <x v="1"/>
    <s v="A"/>
    <n v="19.363636"/>
  </r>
  <r>
    <s v="STG"/>
    <s v="Công ty 47"/>
    <s v="ICT"/>
    <n v="29790000"/>
    <d v="2025-02-01T00:00:00"/>
    <n v="2"/>
    <n v="2025"/>
    <s v="ĐB Sông Cửu Long"/>
    <s v="Doanh nghiệp"/>
    <x v="0"/>
    <s v="B"/>
    <n v="29.79"/>
  </r>
  <r>
    <s v="VPC"/>
    <s v="Công ty 78"/>
    <s v="ICT"/>
    <n v="24350818"/>
    <d v="2025-02-01T00:00:00"/>
    <n v="2"/>
    <n v="2025"/>
    <s v="ĐB Sông Hồng"/>
    <s v="Doanh nghiệp"/>
    <x v="1"/>
    <s v="B"/>
    <n v="24.350818"/>
  </r>
  <r>
    <s v="PYN"/>
    <s v="Công ty 91"/>
    <s v="ICT"/>
    <n v="59849091"/>
    <d v="2025-02-01T00:00:00"/>
    <n v="2"/>
    <n v="2025"/>
    <s v="Duyên hải Nam Trung Bộ"/>
    <s v="Doanh nghiệp"/>
    <x v="0"/>
    <s v="A"/>
    <n v="59.849091000000001"/>
  </r>
  <r>
    <s v="TNN"/>
    <s v="Công ty 85"/>
    <s v="NLMT"/>
    <n v="15661493372"/>
    <d v="2025-02-01T00:00:00"/>
    <n v="2"/>
    <n v="2025"/>
    <s v="Đông Bắc Bộ"/>
    <s v="Doanh nghiệp"/>
    <x v="1"/>
    <s v="D"/>
    <n v="15661.493372000001"/>
  </r>
  <r>
    <s v="KHA"/>
    <s v="Công ty 86"/>
    <s v="NLMT"/>
    <n v="195134182"/>
    <d v="2025-02-01T00:00:00"/>
    <n v="2"/>
    <n v="2025"/>
    <s v="Duyên hải Nam Trung Bộ"/>
    <s v="Doanh nghiệp"/>
    <x v="0"/>
    <s v="D"/>
    <n v="195.13418200000001"/>
  </r>
  <r>
    <s v="GLI"/>
    <s v="Công ty 94"/>
    <s v="NLMT"/>
    <n v="263006625"/>
    <d v="2025-02-01T00:00:00"/>
    <n v="2"/>
    <n v="2025"/>
    <s v="Tây Nguyên"/>
    <s v="Doanh nghiệp"/>
    <x v="1"/>
    <s v="D"/>
    <n v="263.00662499999999"/>
  </r>
  <r>
    <s v="HNI"/>
    <s v="Công ty 94"/>
    <s v="ICT"/>
    <n v="153450000"/>
    <d v="2025-02-01T00:00:00"/>
    <n v="2"/>
    <n v="2025"/>
    <s v="ĐB Sông Hồng"/>
    <s v="Doanh nghiệp"/>
    <x v="0"/>
    <s v="P"/>
    <n v="153.44999999999999"/>
  </r>
  <r>
    <s v="GLI"/>
    <s v="Công ty 94"/>
    <s v="NLMT"/>
    <n v="1509442015"/>
    <d v="2025-02-01T00:00:00"/>
    <n v="2"/>
    <n v="2025"/>
    <s v="Tây Nguyên"/>
    <s v="Doanh nghiệp"/>
    <x v="1"/>
    <s v="D"/>
    <n v="1509.4420150000001"/>
  </r>
  <r>
    <s v="HBH"/>
    <s v="Công ty 99"/>
    <s v="ME"/>
    <n v="818181818"/>
    <d v="2025-02-01T00:00:00"/>
    <n v="2"/>
    <n v="2025"/>
    <s v="Tây Bắc Bộ"/>
    <s v="Doanh nghiệp"/>
    <x v="0"/>
    <s v="M"/>
    <n v="818.18181800000002"/>
  </r>
  <r>
    <s v="KHA"/>
    <s v="Doanh nghiệp 27"/>
    <s v="NLMT"/>
    <n v="337019091"/>
    <d v="2025-02-01T00:00:00"/>
    <n v="2"/>
    <n v="2025"/>
    <s v="Duyên hải Nam Trung Bộ"/>
    <s v="Doanh nghiệp"/>
    <x v="1"/>
    <s v="D"/>
    <n v="337.019091"/>
  </r>
  <r>
    <s v="AGG"/>
    <s v="Doanh nghiệp 6"/>
    <s v="NLMT"/>
    <n v="826813775"/>
    <d v="2025-02-01T00:00:00"/>
    <n v="2"/>
    <n v="2025"/>
    <s v="ĐB Sông Cửu Long"/>
    <s v="Doanh nghiệp"/>
    <x v="0"/>
    <s v="D"/>
    <n v="826.81377499999996"/>
  </r>
  <r>
    <s v="GLI"/>
    <s v="Doanh nghiệp 15"/>
    <s v="NLMT"/>
    <n v="99300000"/>
    <d v="2025-02-01T00:00:00"/>
    <n v="2"/>
    <n v="2025"/>
    <s v="Tây Nguyên"/>
    <s v="Doanh nghiệp"/>
    <x v="1"/>
    <s v="D"/>
    <n v="99.3"/>
  </r>
  <r>
    <s v="BDG"/>
    <s v="Doanh nghiệp 8"/>
    <s v="ME"/>
    <n v="733807509"/>
    <d v="2025-02-01T00:00:00"/>
    <n v="2"/>
    <n v="2025"/>
    <s v="Đông Nam Bộ"/>
    <s v="Doanh nghiệp"/>
    <x v="0"/>
    <s v="C"/>
    <n v="733.80750899999998"/>
  </r>
  <r>
    <s v="THA"/>
    <s v="Doanh nghiệp 9"/>
    <s v="ICT"/>
    <n v="218138655"/>
    <d v="2025-02-01T00:00:00"/>
    <n v="2"/>
    <n v="2025"/>
    <s v="Bắc Trung Bộ"/>
    <s v="Doanh nghiệp"/>
    <x v="1"/>
    <s v="B"/>
    <n v="218.138655"/>
  </r>
  <r>
    <s v="CTO"/>
    <s v="Doanh nghiệp 16"/>
    <s v="ICT"/>
    <n v="148691818"/>
    <d v="2025-02-01T00:00:00"/>
    <n v="2"/>
    <n v="2025"/>
    <s v="ĐB Sông Cửu Long"/>
    <s v="Doanh nghiệp"/>
    <x v="0"/>
    <s v="F"/>
    <n v="148.69181800000001"/>
  </r>
  <r>
    <s v="HNI"/>
    <s v="Doanh nghiệp 26"/>
    <s v="DVKT"/>
    <n v="45099818"/>
    <d v="2025-02-01T00:00:00"/>
    <n v="2"/>
    <n v="2025"/>
    <s v="ĐB Sông Hồng"/>
    <s v="Doanh nghiệp"/>
    <x v="1"/>
    <s v="O"/>
    <n v="45.099817999999999"/>
  </r>
  <r>
    <s v="HNI"/>
    <s v="Doanh nghiệp 27"/>
    <s v="DVKT"/>
    <n v="45192109"/>
    <d v="2025-02-01T00:00:00"/>
    <n v="2"/>
    <n v="2025"/>
    <s v="ĐB Sông Hồng"/>
    <s v="Doanh nghiệp"/>
    <x v="0"/>
    <s v="O"/>
    <n v="45.192109000000002"/>
  </r>
  <r>
    <s v="HNI"/>
    <s v="Doanh nghiệp 28"/>
    <s v="DVKT"/>
    <n v="45249055"/>
    <d v="2025-02-01T00:00:00"/>
    <n v="2"/>
    <n v="2025"/>
    <s v="ĐB Sông Hồng"/>
    <s v="Doanh nghiệp"/>
    <x v="1"/>
    <s v="O"/>
    <n v="45.249054999999998"/>
  </r>
  <r>
    <s v="GLI"/>
    <s v="Doanh nghiệp 15"/>
    <s v="NLMT"/>
    <n v="15190000"/>
    <d v="2025-02-01T00:00:00"/>
    <n v="2"/>
    <n v="2025"/>
    <s v="Tây Nguyên"/>
    <s v="Doanh nghiệp"/>
    <x v="0"/>
    <s v="K"/>
    <n v="15.19"/>
  </r>
  <r>
    <s v="NAN"/>
    <s v="Doanh nghiệp 22"/>
    <s v="Smarthome"/>
    <n v="45445455"/>
    <d v="2025-02-01T00:00:00"/>
    <n v="2"/>
    <n v="2025"/>
    <s v="Bắc Trung Bộ"/>
    <s v="Doanh nghiệp"/>
    <x v="1"/>
    <s v="L"/>
    <n v="45.445455000000003"/>
  </r>
  <r>
    <s v="HGG"/>
    <s v="Tập đoàn 13"/>
    <s v="ICT"/>
    <n v="1046419056"/>
    <d v="2025-02-01T00:00:00"/>
    <n v="2"/>
    <n v="2025"/>
    <s v="Đông Bắc Bộ"/>
    <s v="Doanh nghiệp"/>
    <x v="0"/>
    <s v="A"/>
    <n v="1046.419056"/>
  </r>
  <r>
    <s v="NAN"/>
    <s v="Tập đoàn 78"/>
    <s v="DVKT"/>
    <n v="17672727"/>
    <d v="2025-02-01T00:00:00"/>
    <n v="2"/>
    <n v="2025"/>
    <s v="Bắc Trung Bộ"/>
    <s v="Doanh nghiệp"/>
    <x v="1"/>
    <s v="O"/>
    <n v="17.672726999999998"/>
  </r>
  <r>
    <s v="LAN"/>
    <s v="Tập đoàn 91"/>
    <s v="ICT"/>
    <n v="29441500"/>
    <d v="2025-02-01T00:00:00"/>
    <n v="2"/>
    <n v="2025"/>
    <s v="ĐB Sông Cửu Long"/>
    <s v="Doanh nghiệp"/>
    <x v="0"/>
    <s v="P"/>
    <n v="29.441500000000001"/>
  </r>
  <r>
    <s v="TQG"/>
    <s v="Tập đoàn 93"/>
    <s v="CSDT"/>
    <n v="2000000000"/>
    <d v="2025-02-01T00:00:00"/>
    <n v="2"/>
    <n v="2025"/>
    <s v="Đông Bắc Bộ"/>
    <s v="Doanh nghiệp"/>
    <x v="1"/>
    <s v="E"/>
    <n v="2000"/>
  </r>
  <r>
    <s v="YBI"/>
    <s v="Tập đoàn 91"/>
    <s v="ICT"/>
    <n v="17494545"/>
    <d v="2025-02-01T00:00:00"/>
    <n v="2"/>
    <n v="2025"/>
    <s v="Tây Bắc Bộ"/>
    <s v="Doanh nghiệp"/>
    <x v="0"/>
    <s v="B"/>
    <n v="17.494544999999999"/>
  </r>
  <r>
    <s v="HNI"/>
    <s v="Tập đoàn 93"/>
    <s v="ICT"/>
    <n v="2362581200"/>
    <d v="2025-02-01T00:00:00"/>
    <n v="2"/>
    <n v="2025"/>
    <s v="ĐB Sông Hồng"/>
    <s v="Doanh nghiệp"/>
    <x v="1"/>
    <s v="A"/>
    <n v="2362.5812000000001"/>
  </r>
  <r>
    <s v="BKN"/>
    <s v="Tập đoàn 91"/>
    <s v="ICT"/>
    <n v="298079091"/>
    <d v="2025-02-01T00:00:00"/>
    <n v="2"/>
    <n v="2025"/>
    <s v="Đông Bắc Bộ"/>
    <s v="Doanh nghiệp"/>
    <x v="0"/>
    <s v="F"/>
    <n v="298.07909100000001"/>
  </r>
  <r>
    <s v="TQG"/>
    <s v="Tập đoàn 93"/>
    <s v="DVKT"/>
    <n v="1546033636"/>
    <d v="2025-02-01T00:00:00"/>
    <n v="2"/>
    <n v="2025"/>
    <s v="Đông Bắc Bộ"/>
    <s v="Doanh nghiệp"/>
    <x v="1"/>
    <s v="A"/>
    <n v="1546.0336359999999"/>
  </r>
  <r>
    <s v="HPG"/>
    <s v="Tập đoàn 94"/>
    <s v="Smarthome"/>
    <n v="4360219091"/>
    <d v="2025-02-01T00:00:00"/>
    <n v="2"/>
    <n v="2025"/>
    <s v="ĐB Sông Hồng"/>
    <s v="Doanh nghiệp"/>
    <x v="0"/>
    <s v="U"/>
    <n v="4360.2190909999999"/>
  </r>
  <r>
    <s v="DNI"/>
    <s v="Tập đoàn 94"/>
    <s v="DVKT"/>
    <n v="214116063"/>
    <d v="2025-02-01T00:00:00"/>
    <n v="2"/>
    <n v="2025"/>
    <s v="Đông Nam Bộ"/>
    <s v="Doanh nghiệp"/>
    <x v="1"/>
    <s v="A"/>
    <n v="214.116063"/>
  </r>
  <r>
    <s v="DNI"/>
    <s v="Tập đoàn 91"/>
    <s v="DVKT"/>
    <n v="373468518"/>
    <d v="2025-02-01T00:00:00"/>
    <n v="2"/>
    <n v="2025"/>
    <s v="Đông Nam Bộ"/>
    <s v="Doanh nghiệp"/>
    <x v="0"/>
    <s v="A"/>
    <n v="373.46851800000002"/>
  </r>
  <r>
    <s v="BKN"/>
    <s v="Tập đoàn 93"/>
    <s v="NLMT"/>
    <n v="16225455"/>
    <d v="2025-02-01T00:00:00"/>
    <n v="2"/>
    <n v="2025"/>
    <s v="Đông Bắc Bộ"/>
    <s v="Doanh nghiệp"/>
    <x v="1"/>
    <s v="K"/>
    <n v="16.225455"/>
  </r>
  <r>
    <s v="DCN"/>
    <s v="Bộ Chỉ Huy Bộ Đội Biên Phòng Tỉnh Đăk Nông"/>
    <s v="ME"/>
    <n v="1043636364"/>
    <d v="2025-02-01T00:00:00"/>
    <n v="2"/>
    <n v="2025"/>
    <s v="Tây Nguyên"/>
    <s v="Sở ban ngành"/>
    <x v="0"/>
    <s v="N"/>
    <n v="1043.636364"/>
  </r>
  <r>
    <s v="DTP"/>
    <s v="Bộ Chỉ Huy Quân Sự Tỉnh Đồng Tháp"/>
    <s v="ICT"/>
    <n v="45000000"/>
    <d v="2025-02-01T00:00:00"/>
    <n v="2"/>
    <n v="2025"/>
    <s v="ĐB Sông Cửu Long"/>
    <s v="Sở ban ngành"/>
    <x v="1"/>
    <s v="A"/>
    <n v="45"/>
  </r>
  <r>
    <s v="DTP"/>
    <s v="Bộ Chỉ Huy Quân Sự Tỉnh Đồng Tháp"/>
    <s v="ICT"/>
    <n v="31060000"/>
    <d v="2025-02-01T00:00:00"/>
    <n v="2"/>
    <n v="2025"/>
    <s v="ĐB Sông Cửu Long"/>
    <s v="Sở ban ngành"/>
    <x v="0"/>
    <s v="P"/>
    <n v="31.06"/>
  </r>
  <r>
    <s v="HGG"/>
    <s v="Công ty 36"/>
    <s v="CSDT"/>
    <n v="1061457289"/>
    <d v="2025-02-01T00:00:00"/>
    <n v="2"/>
    <n v="2025"/>
    <s v="Đông Bắc Bộ"/>
    <s v="Doanh nghiệp"/>
    <x v="1"/>
    <s v="E"/>
    <n v="1061.4572889999999"/>
  </r>
  <r>
    <s v="DBN"/>
    <s v="Công ty 93"/>
    <s v="NLMT"/>
    <n v="107954545"/>
    <d v="2025-02-01T00:00:00"/>
    <n v="2"/>
    <n v="2025"/>
    <s v="Tây Bắc Bộ"/>
    <s v="Doanh nghiệp"/>
    <x v="0"/>
    <s v="K"/>
    <n v="107.954545"/>
  </r>
  <r>
    <s v="DBN"/>
    <s v="Công ty 94"/>
    <s v="NLMT"/>
    <n v="131818182"/>
    <d v="2025-02-01T00:00:00"/>
    <n v="2"/>
    <n v="2025"/>
    <s v="Tây Bắc Bộ"/>
    <s v="Doanh nghiệp"/>
    <x v="1"/>
    <s v="K"/>
    <n v="131.81818200000001"/>
  </r>
  <r>
    <s v="DBN"/>
    <s v="Công ty 95"/>
    <s v="NLMT"/>
    <n v="68952727"/>
    <d v="2025-02-01T00:00:00"/>
    <n v="2"/>
    <n v="2025"/>
    <s v="Tây Bắc Bộ"/>
    <s v="Doanh nghiệp"/>
    <x v="0"/>
    <s v="K"/>
    <n v="68.952726999999996"/>
  </r>
  <r>
    <s v="TGG"/>
    <s v="Công An Huyện Gò Công Đông"/>
    <s v="ICT"/>
    <n v="44995000"/>
    <d v="2025-02-01T00:00:00"/>
    <n v="2"/>
    <n v="2025"/>
    <s v="ĐB Sông Cửu Long"/>
    <s v="Sở ban ngành"/>
    <x v="1"/>
    <s v="B"/>
    <n v="44.994999999999997"/>
  </r>
  <r>
    <s v="NBH"/>
    <s v="Công An Huyện Kim Sơn"/>
    <s v="ICT"/>
    <n v="484600909"/>
    <d v="2025-02-01T00:00:00"/>
    <n v="2"/>
    <n v="2025"/>
    <s v="ĐB Sông Hồng"/>
    <s v="Sở ban ngành"/>
    <x v="0"/>
    <s v="B"/>
    <n v="484.600909"/>
  </r>
  <r>
    <s v="HGG"/>
    <s v="CÔNG AN TỈNH LÀO CAI"/>
    <s v="ME"/>
    <n v="1714723636"/>
    <d v="2025-02-01T00:00:00"/>
    <n v="2"/>
    <n v="2025"/>
    <s v="Đông Bắc Bộ"/>
    <s v="Sở ban ngành"/>
    <x v="1"/>
    <s v="M"/>
    <n v="1714.7236359999999"/>
  </r>
  <r>
    <s v="THA"/>
    <s v="CÔNG AN TỈNH THANH HOÁ"/>
    <s v="ICT"/>
    <n v="87609091"/>
    <d v="2025-02-01T00:00:00"/>
    <n v="2"/>
    <n v="2025"/>
    <s v="Bắc Trung Bộ"/>
    <s v="Sở ban ngành"/>
    <x v="0"/>
    <s v="F"/>
    <n v="87.609091000000006"/>
  </r>
  <r>
    <s v="THA"/>
    <s v="CÔNG AN TỈNH THANH HOÁ"/>
    <s v="ICT"/>
    <n v="90468182"/>
    <d v="2025-02-01T00:00:00"/>
    <n v="2"/>
    <n v="2025"/>
    <s v="Bắc Trung Bộ"/>
    <s v="Sở ban ngành"/>
    <x v="1"/>
    <s v="B"/>
    <n v="90.468181999999999"/>
  </r>
  <r>
    <s v="THA"/>
    <s v="CÔNG AN TỈNH THANH HOÁ"/>
    <s v="ICT"/>
    <n v="90122727"/>
    <d v="2025-02-01T00:00:00"/>
    <n v="2"/>
    <n v="2025"/>
    <s v="Bắc Trung Bộ"/>
    <s v="Sở ban ngành"/>
    <x v="0"/>
    <s v="B"/>
    <n v="90.122726999999998"/>
  </r>
  <r>
    <s v="VLG"/>
    <s v="Công An Tỉnh Vĩnh Long"/>
    <s v="ICT"/>
    <n v="36192727"/>
    <d v="2025-02-01T00:00:00"/>
    <n v="2"/>
    <n v="2025"/>
    <s v="ĐB Sông Cửu Long"/>
    <s v="Sở ban ngành"/>
    <x v="1"/>
    <s v="B"/>
    <n v="36.192726999999998"/>
  </r>
  <r>
    <s v="DLK"/>
    <s v="Phòng Kinh Tế Và Hạ Tầng Huyện Eahleo"/>
    <s v="ICT"/>
    <n v="35516727"/>
    <d v="2025-02-01T00:00:00"/>
    <n v="2"/>
    <n v="2025"/>
    <s v="Tây Nguyên"/>
    <s v="Sở ban ngành"/>
    <x v="0"/>
    <s v="A"/>
    <n v="35.516727000000003"/>
  </r>
  <r>
    <s v="HDG"/>
    <s v="Quỹ Tín Dụng Nhân Dân Thanh Tùng"/>
    <s v="NLMT"/>
    <n v="236121582"/>
    <d v="2025-02-01T00:00:00"/>
    <n v="2"/>
    <n v="2025"/>
    <s v="ĐB Sông Hồng"/>
    <s v="Sở ban ngành"/>
    <x v="1"/>
    <s v="D"/>
    <n v="236.12158199999999"/>
  </r>
  <r>
    <s v="CBG"/>
    <s v="UBND THỊ TRẤN BẢO LẠC"/>
    <s v="ICT"/>
    <n v="6806364"/>
    <d v="2025-02-01T00:00:00"/>
    <n v="2"/>
    <n v="2025"/>
    <s v="Đông Bắc Bộ"/>
    <s v="Sở ban ngành"/>
    <x v="0"/>
    <s v="F"/>
    <n v="6.8063640000000003"/>
  </r>
  <r>
    <s v="BGG"/>
    <s v="Ubnd Thị Trấn Cao Thượng"/>
    <s v="ICT"/>
    <n v="33100000"/>
    <d v="2025-02-01T00:00:00"/>
    <n v="2"/>
    <n v="2025"/>
    <s v="Đông Bắc Bộ"/>
    <s v="Sở ban ngành"/>
    <x v="1"/>
    <s v="A"/>
    <n v="33.1"/>
  </r>
  <r>
    <s v="CBG"/>
    <s v="UBND xã Bảo Toàn"/>
    <s v="Smarthome"/>
    <n v="42980909"/>
    <d v="2025-02-01T00:00:00"/>
    <n v="2"/>
    <n v="2025"/>
    <s v="Đông Bắc Bộ"/>
    <s v="Sở ban ngành"/>
    <x v="0"/>
    <s v="B"/>
    <n v="42.980908999999997"/>
  </r>
  <r>
    <s v="NAN"/>
    <s v="Ubnd Xã Châu Hoàn"/>
    <s v="Smarthome"/>
    <n v="45445455"/>
    <d v="2025-02-01T00:00:00"/>
    <n v="2"/>
    <n v="2025"/>
    <s v="Bắc Trung Bộ"/>
    <s v="Sở ban ngành"/>
    <x v="1"/>
    <s v="L"/>
    <n v="45.445455000000003"/>
  </r>
  <r>
    <s v="NAN"/>
    <s v="Ubnd Xã Châu Lộc"/>
    <s v="ICT"/>
    <n v="90818182"/>
    <d v="2025-02-01T00:00:00"/>
    <n v="2"/>
    <n v="2025"/>
    <s v="Bắc Trung Bộ"/>
    <s v="Sở ban ngành"/>
    <x v="0"/>
    <s v="F"/>
    <n v="90.818181999999993"/>
  </r>
  <r>
    <s v="NAN"/>
    <s v="Ubnd Xã Châu Nga"/>
    <s v="Smarthome"/>
    <n v="45445455"/>
    <d v="2025-02-01T00:00:00"/>
    <n v="2"/>
    <n v="2025"/>
    <s v="Bắc Trung Bộ"/>
    <s v="Sở ban ngành"/>
    <x v="1"/>
    <s v="L"/>
    <n v="45.445455000000003"/>
  </r>
  <r>
    <s v="NAN"/>
    <s v="Ubnd Xã Châu Thắng"/>
    <s v="Smarthome"/>
    <n v="45445455"/>
    <d v="2025-02-01T00:00:00"/>
    <n v="2"/>
    <n v="2025"/>
    <s v="Bắc Trung Bộ"/>
    <s v="Sở ban ngành"/>
    <x v="0"/>
    <s v="L"/>
    <n v="45.445455000000003"/>
  </r>
  <r>
    <s v="NAN"/>
    <s v="Ubnd Xã Châu Thuận"/>
    <s v="Smarthome"/>
    <n v="45445455"/>
    <d v="2025-02-01T00:00:00"/>
    <n v="2"/>
    <n v="2025"/>
    <s v="Bắc Trung Bộ"/>
    <s v="Sở ban ngành"/>
    <x v="1"/>
    <s v="L"/>
    <n v="45.445455000000003"/>
  </r>
  <r>
    <s v="NAN"/>
    <s v="Ubnd Xã Châu Thuận"/>
    <s v="Smarthome"/>
    <n v="45445455"/>
    <d v="2025-02-01T00:00:00"/>
    <n v="2"/>
    <n v="2025"/>
    <s v="Bắc Trung Bộ"/>
    <s v="Sở ban ngành"/>
    <x v="0"/>
    <s v="L"/>
    <n v="45.445455000000003"/>
  </r>
  <r>
    <s v="NAN"/>
    <s v="Ubnd Xã Châu Tiến"/>
    <s v="Smarthome"/>
    <n v="45445455"/>
    <d v="2025-02-01T00:00:00"/>
    <n v="2"/>
    <n v="2025"/>
    <s v="Bắc Trung Bộ"/>
    <s v="Sở ban ngành"/>
    <x v="1"/>
    <s v="L"/>
    <n v="45.445455000000003"/>
  </r>
  <r>
    <s v="CBG"/>
    <s v="UBND XÃ CÔ BA"/>
    <s v="Smarthome"/>
    <n v="38700000"/>
    <d v="2025-02-01T00:00:00"/>
    <n v="2"/>
    <n v="2025"/>
    <s v="Đông Bắc Bộ"/>
    <s v="Sở ban ngành"/>
    <x v="0"/>
    <s v="H"/>
    <n v="38.700000000000003"/>
  </r>
  <r>
    <s v="LCI"/>
    <s v="UBND XÃ CỐC LY"/>
    <s v="Smarthome"/>
    <n v="247520653"/>
    <d v="2025-02-01T00:00:00"/>
    <n v="2"/>
    <n v="2025"/>
    <s v="Tây Bắc Bộ"/>
    <s v="Sở ban ngành"/>
    <x v="1"/>
    <s v="O"/>
    <n v="247.52065300000001"/>
  </r>
  <r>
    <s v="CBG"/>
    <s v="UBND XÃ CỐC PÀNG"/>
    <s v="Smarthome"/>
    <n v="41863636"/>
    <d v="2025-02-01T00:00:00"/>
    <n v="2"/>
    <n v="2025"/>
    <s v="Đông Bắc Bộ"/>
    <s v="Sở ban ngành"/>
    <x v="0"/>
    <s v="H"/>
    <n v="41.863636"/>
  </r>
  <r>
    <s v="NAN"/>
    <s v="Ubnd Xã Diên Lãm"/>
    <s v="Smarthome"/>
    <n v="45445455"/>
    <d v="2025-02-01T00:00:00"/>
    <n v="2"/>
    <n v="2025"/>
    <s v="Bắc Trung Bộ"/>
    <s v="Sở ban ngành"/>
    <x v="1"/>
    <s v="L"/>
    <n v="45.445455000000003"/>
  </r>
  <r>
    <s v="CBG"/>
    <s v="Ubnd Xã Đức Quang"/>
    <s v="NLMT"/>
    <n v="40909091"/>
    <d v="2025-02-01T00:00:00"/>
    <n v="2"/>
    <n v="2025"/>
    <s v="Đông Bắc Bộ"/>
    <s v="Sở ban ngành"/>
    <x v="0"/>
    <s v="K"/>
    <n v="40.909090999999997"/>
  </r>
  <r>
    <s v="CBG"/>
    <s v="Ubnd Xã Đức Quang"/>
    <s v="NLMT"/>
    <n v="22727273"/>
    <d v="2025-02-01T00:00:00"/>
    <n v="2"/>
    <n v="2025"/>
    <s v="Đông Bắc Bộ"/>
    <s v="Sở ban ngành"/>
    <x v="1"/>
    <s v="K"/>
    <n v="22.727273"/>
  </r>
  <r>
    <s v="HTH"/>
    <s v="Ubnd Xã Hòa Hải"/>
    <s v="Smarthome"/>
    <n v="71545455"/>
    <d v="2025-02-01T00:00:00"/>
    <n v="2"/>
    <n v="2025"/>
    <s v="Bắc Trung Bộ"/>
    <s v="Sở ban ngành"/>
    <x v="0"/>
    <s v="H"/>
    <n v="71.545455000000004"/>
  </r>
  <r>
    <s v="CBG"/>
    <s v="UBND XÃ HỒNG AN"/>
    <s v="Smarthome"/>
    <n v="40763636"/>
    <d v="2025-02-01T00:00:00"/>
    <n v="2"/>
    <n v="2025"/>
    <s v="Đông Bắc Bộ"/>
    <s v="Sở ban ngành"/>
    <x v="1"/>
    <s v="H"/>
    <n v="40.763635999999998"/>
  </r>
  <r>
    <s v="CBG"/>
    <s v="UBND XÃ HỒNG TRỊ"/>
    <s v="Smarthome"/>
    <n v="41988182"/>
    <d v="2025-02-01T00:00:00"/>
    <n v="2"/>
    <n v="2025"/>
    <s v="Đông Bắc Bộ"/>
    <s v="Sở ban ngành"/>
    <x v="0"/>
    <s v="H"/>
    <n v="41.988182000000002"/>
  </r>
  <r>
    <s v="CBG"/>
    <s v="UBND XÃ HƯNG ĐẠO"/>
    <s v="Smarthome"/>
    <n v="41863636"/>
    <d v="2025-02-01T00:00:00"/>
    <n v="2"/>
    <n v="2025"/>
    <s v="Đông Bắc Bộ"/>
    <s v="Sở ban ngành"/>
    <x v="1"/>
    <s v="H"/>
    <n v="41.863636"/>
  </r>
  <r>
    <s v="CBG"/>
    <s v="UBND XÃ HƯNG THỊNH"/>
    <s v="ICT"/>
    <n v="13256364"/>
    <d v="2025-02-01T00:00:00"/>
    <n v="2"/>
    <n v="2025"/>
    <s v="Đông Bắc Bộ"/>
    <s v="Sở ban ngành"/>
    <x v="0"/>
    <s v="B"/>
    <n v="13.256364"/>
  </r>
  <r>
    <s v="CBG"/>
    <s v="UBND XÃ HUY GIÁP"/>
    <s v="ICT"/>
    <n v="13256364"/>
    <d v="2025-02-01T00:00:00"/>
    <n v="2"/>
    <n v="2025"/>
    <s v="Đông Bắc Bộ"/>
    <s v="Sở ban ngành"/>
    <x v="1"/>
    <s v="B"/>
    <n v="13.256364"/>
  </r>
  <r>
    <s v="CBG"/>
    <s v="UBND XÃ KHÁNH XUÂN"/>
    <s v="ICT"/>
    <n v="12388182"/>
    <d v="2025-02-01T00:00:00"/>
    <n v="2"/>
    <n v="2025"/>
    <s v="Đông Bắc Bộ"/>
    <s v="Sở ban ngành"/>
    <x v="0"/>
    <s v="F"/>
    <n v="12.388182"/>
  </r>
  <r>
    <s v="CBG"/>
    <s v="UBND XÃ KIM CÚC"/>
    <s v="ICT"/>
    <n v="13380909"/>
    <d v="2025-02-01T00:00:00"/>
    <n v="2"/>
    <n v="2025"/>
    <s v="Đông Bắc Bộ"/>
    <s v="Sở ban ngành"/>
    <x v="1"/>
    <s v="B"/>
    <n v="13.380909000000001"/>
  </r>
  <r>
    <s v="NAN"/>
    <s v="Ubnd Xã Liên Hợp"/>
    <s v="ICT"/>
    <n v="90818182"/>
    <d v="2025-02-01T00:00:00"/>
    <n v="2"/>
    <n v="2025"/>
    <s v="Bắc Trung Bộ"/>
    <s v="Sở ban ngành"/>
    <x v="0"/>
    <s v="F"/>
    <n v="90.818181999999993"/>
  </r>
  <r>
    <s v="BGG"/>
    <s v="Ubnd Xã Mão Điền"/>
    <s v="Smarthome"/>
    <n v="324654545"/>
    <d v="2025-02-01T00:00:00"/>
    <n v="2"/>
    <n v="2025"/>
    <s v="Đông Bắc Bộ"/>
    <s v="Sở ban ngành"/>
    <x v="1"/>
    <s v="H"/>
    <n v="324.65454499999998"/>
  </r>
  <r>
    <s v="CBG"/>
    <s v="UBND XÃ PHAN THANH"/>
    <s v="Smarthome"/>
    <n v="40888182"/>
    <d v="2025-02-01T00:00:00"/>
    <n v="2"/>
    <n v="2025"/>
    <s v="Đông Bắc Bộ"/>
    <s v="Sở ban ngành"/>
    <x v="0"/>
    <s v="H"/>
    <n v="40.888182"/>
  </r>
  <r>
    <s v="CBG"/>
    <s v="UBND xã Sơn Lộ"/>
    <s v="Smarthome"/>
    <n v="41988182"/>
    <d v="2025-02-01T00:00:00"/>
    <n v="2"/>
    <n v="2025"/>
    <s v="Đông Bắc Bộ"/>
    <s v="Sở ban ngành"/>
    <x v="1"/>
    <s v="H"/>
    <n v="41.988182000000002"/>
  </r>
  <r>
    <s v="CBG"/>
    <s v="UBND XÃ THƯỢNG HÀ"/>
    <s v="Smarthome"/>
    <n v="40888182"/>
    <d v="2025-02-01T00:00:00"/>
    <n v="2"/>
    <n v="2025"/>
    <s v="Đông Bắc Bộ"/>
    <s v="Sở ban ngành"/>
    <x v="0"/>
    <s v="H"/>
    <n v="40.888182"/>
  </r>
  <r>
    <s v="BDH"/>
    <s v="ỦY BAN NHÂN DÂN PHƯỜNG BỒNG SƠN"/>
    <s v="DVKT"/>
    <n v="23890909"/>
    <d v="2025-02-01T00:00:00"/>
    <n v="2"/>
    <n v="2025"/>
    <s v="Duyên hải Nam Trung Bộ"/>
    <s v="Sở ban ngành"/>
    <x v="1"/>
    <s v="A"/>
    <n v="23.890909000000001"/>
  </r>
  <r>
    <s v="NDH"/>
    <s v="Ủy Ban Nhân Dân Xã Bạch Long"/>
    <s v="Smarthome"/>
    <n v="205000000"/>
    <d v="2025-02-01T00:00:00"/>
    <n v="2"/>
    <n v="2025"/>
    <s v="ĐB Sông Hồng"/>
    <s v="Sở ban ngành"/>
    <x v="0"/>
    <s v="H"/>
    <n v="205"/>
  </r>
  <r>
    <s v="NAN"/>
    <s v="UỶ BAN NHÂN DÂN XÃ CHÂU HỘI"/>
    <s v="Smarthome"/>
    <n v="45445455"/>
    <d v="2025-02-01T00:00:00"/>
    <n v="2"/>
    <n v="2025"/>
    <s v="Bắc Trung Bộ"/>
    <s v="Sở ban ngành"/>
    <x v="1"/>
    <s v="L"/>
    <n v="45.445455000000003"/>
  </r>
  <r>
    <s v="CBG"/>
    <s v="Ủy Ban Nhân Dân Xã Đình Phùng"/>
    <s v="ICT"/>
    <n v="6806364"/>
    <d v="2025-02-01T00:00:00"/>
    <n v="2"/>
    <n v="2025"/>
    <s v="Đông Bắc Bộ"/>
    <s v="Sở ban ngành"/>
    <x v="0"/>
    <s v="F"/>
    <n v="6.8063640000000003"/>
  </r>
  <r>
    <s v="LDG"/>
    <s v="Uỷ Ban Nhân Dân Xã Xuân Thọ"/>
    <s v="ME"/>
    <n v="315681818"/>
    <d v="2025-02-01T00:00:00"/>
    <n v="2"/>
    <n v="2025"/>
    <s v="Tây Nguyên"/>
    <s v="Sở ban ngành"/>
    <x v="1"/>
    <s v="E"/>
    <n v="315.68181800000002"/>
  </r>
  <r>
    <s v="CBG"/>
    <s v="Ủy Ban Nhân Dân Xã Xuân Trường"/>
    <s v="Smarthome"/>
    <n v="41756364"/>
    <d v="2025-02-01T00:00:00"/>
    <n v="2"/>
    <n v="2025"/>
    <s v="Đông Bắc Bộ"/>
    <s v="Trường học"/>
    <x v="0"/>
    <s v="B"/>
    <n v="41.756363999999998"/>
  </r>
  <r>
    <s v="DCN"/>
    <s v="Trường Thcs Nguyễn Trãi"/>
    <s v="Smarthome"/>
    <n v="25480000"/>
    <d v="2025-02-01T00:00:00"/>
    <n v="2"/>
    <n v="2025"/>
    <s v="Tây Nguyên"/>
    <s v="Trường học"/>
    <x v="1"/>
    <s v="H"/>
    <n v="25.48"/>
  </r>
  <r>
    <s v="TGG"/>
    <s v="TRƯỜNG TIỂU HỌC B AN HỮU"/>
    <s v="ICT"/>
    <n v="8700175"/>
    <d v="2025-02-01T00:00:00"/>
    <n v="2"/>
    <n v="2025"/>
    <s v="ĐB Sông Cửu Long"/>
    <s v="Trường học"/>
    <x v="0"/>
    <s v="B"/>
    <n v="8.7001749999999998"/>
  </r>
  <r>
    <s v="LDG"/>
    <s v="TRƯỜNG TIỂU HỌC HÒA NAM"/>
    <s v="ICT"/>
    <n v="44846364"/>
    <d v="2025-02-01T00:00:00"/>
    <n v="2"/>
    <n v="2025"/>
    <s v="Tây Nguyên"/>
    <s v="Trường học"/>
    <x v="1"/>
    <s v="B"/>
    <n v="44.846364000000001"/>
  </r>
  <r>
    <s v="TVH"/>
    <s v="Trường Trung Cấp Pali-khmer"/>
    <s v="ICT"/>
    <n v="36682727"/>
    <d v="2025-02-01T00:00:00"/>
    <n v="2"/>
    <n v="2025"/>
    <s v="ĐB Sông Cửu Long"/>
    <s v="Trường học"/>
    <x v="0"/>
    <s v="A"/>
    <n v="36.682727"/>
  </r>
  <r>
    <s v="HDG"/>
    <s v="Trường Trung Học Cơ Sở Thanh Quang"/>
    <s v="ICT"/>
    <n v="30154545"/>
    <d v="2025-02-01T00:00:00"/>
    <n v="2"/>
    <n v="2025"/>
    <s v="ĐB Sông Hồng"/>
    <s v="Trường học"/>
    <x v="1"/>
    <s v="F"/>
    <n v="30.154544999999999"/>
  </r>
  <r>
    <s v="DNG"/>
    <s v="BỆNH VIỆN PHỤC HỒI CHỨC NĂNG THÀNH PHỐ ĐÀ NẴNG"/>
    <s v="DVKT"/>
    <n v="8190909"/>
    <d v="2024-03-01T00:00:00"/>
    <n v="3"/>
    <n v="2024"/>
    <s v="Duyên hải Nam Trung Bộ"/>
    <s v="Bệnh viện"/>
    <x v="0"/>
    <s v="O"/>
    <n v="8.1909089999999996"/>
  </r>
  <r>
    <s v="BPC"/>
    <s v="Công ty 95"/>
    <s v="DVKT"/>
    <n v="38087405"/>
    <d v="2024-03-01T00:00:00"/>
    <n v="3"/>
    <n v="2024"/>
    <s v="Đông Nam Bộ"/>
    <s v="Doanh nghiệp"/>
    <x v="1"/>
    <s v="D"/>
    <n v="38.087404999999997"/>
  </r>
  <r>
    <s v="BPC"/>
    <s v="Công ty 96"/>
    <s v="DVKT"/>
    <n v="38087405"/>
    <d v="2024-03-01T00:00:00"/>
    <n v="3"/>
    <n v="2024"/>
    <s v="Đông Nam Bộ"/>
    <s v="Doanh nghiệp"/>
    <x v="0"/>
    <s v="K"/>
    <n v="38.087404999999997"/>
  </r>
  <r>
    <s v="QTI"/>
    <s v="Công ty 16"/>
    <s v="NLMT"/>
    <n v="212207430"/>
    <d v="2024-03-01T00:00:00"/>
    <n v="3"/>
    <n v="2024"/>
    <s v="Bắc Trung Bộ"/>
    <s v="Doanh nghiệp"/>
    <x v="1"/>
    <s v="D"/>
    <n v="212.20742999999999"/>
  </r>
  <r>
    <s v="BGG"/>
    <s v="Công ty 40"/>
    <s v="ICT"/>
    <n v="222824000"/>
    <d v="2024-03-01T00:00:00"/>
    <n v="3"/>
    <n v="2024"/>
    <s v="Đông Bắc Bộ"/>
    <s v="Doanh nghiệp"/>
    <x v="0"/>
    <s v="B"/>
    <n v="222.82400000000001"/>
  </r>
  <r>
    <s v="BGG"/>
    <s v="Công ty 41"/>
    <s v="ICT"/>
    <n v="163074000"/>
    <d v="2024-03-01T00:00:00"/>
    <n v="3"/>
    <n v="2024"/>
    <s v="Đông Bắc Bộ"/>
    <s v="Doanh nghiệp"/>
    <x v="1"/>
    <s v="B"/>
    <n v="163.07400000000001"/>
  </r>
  <r>
    <s v="HCM"/>
    <s v="Công ty 43"/>
    <s v="DVKT"/>
    <n v="25727564"/>
    <d v="2024-03-01T00:00:00"/>
    <n v="3"/>
    <n v="2024"/>
    <s v="Đông Nam Bộ"/>
    <s v="Doanh nghiệp"/>
    <x v="0"/>
    <s v="D"/>
    <n v="25.727564000000001"/>
  </r>
  <r>
    <s v="HUE"/>
    <s v="Công ty 65"/>
    <s v="ICT"/>
    <n v="16555636"/>
    <d v="2024-03-01T00:00:00"/>
    <n v="3"/>
    <n v="2024"/>
    <s v="Bắc Trung Bộ"/>
    <s v="Doanh nghiệp"/>
    <x v="1"/>
    <s v="B"/>
    <n v="16.555636"/>
  </r>
  <r>
    <s v="QNI"/>
    <s v="Công ty 4"/>
    <s v="DVKT"/>
    <n v="44476364"/>
    <d v="2024-03-01T00:00:00"/>
    <n v="3"/>
    <n v="2024"/>
    <s v="Duyên hải Nam Trung Bộ"/>
    <s v="Doanh nghiệp"/>
    <x v="0"/>
    <s v="B"/>
    <n v="44.476363999999997"/>
  </r>
  <r>
    <s v="BPC"/>
    <s v="Công ty 28"/>
    <s v="DVKT"/>
    <n v="38087405"/>
    <d v="2024-03-01T00:00:00"/>
    <n v="3"/>
    <n v="2024"/>
    <s v="Đông Nam Bộ"/>
    <s v="Doanh nghiệp"/>
    <x v="1"/>
    <s v="D"/>
    <n v="38.087404999999997"/>
  </r>
  <r>
    <s v="BPC"/>
    <s v="Công ty 29"/>
    <s v="DVKT"/>
    <n v="38087405"/>
    <d v="2024-03-01T00:00:00"/>
    <n v="3"/>
    <n v="2024"/>
    <s v="Đông Nam Bộ"/>
    <s v="Doanh nghiệp"/>
    <x v="0"/>
    <s v="D"/>
    <n v="38.087404999999997"/>
  </r>
  <r>
    <s v="PTO"/>
    <s v="Công ty 72"/>
    <s v="DVKT"/>
    <n v="40319139"/>
    <d v="2024-03-01T00:00:00"/>
    <n v="3"/>
    <n v="2024"/>
    <s v="Đông Bắc Bộ"/>
    <s v="Doanh nghiệp"/>
    <x v="1"/>
    <s v="E"/>
    <n v="40.319139"/>
  </r>
  <r>
    <s v="YBI"/>
    <s v="Công ty 28"/>
    <s v="ICT"/>
    <n v="53990000"/>
    <d v="2024-03-01T00:00:00"/>
    <n v="3"/>
    <n v="2024"/>
    <s v="Tây Bắc Bộ"/>
    <s v="Doanh nghiệp"/>
    <x v="0"/>
    <s v="B"/>
    <n v="53.99"/>
  </r>
  <r>
    <s v="DNG"/>
    <s v="Công ty 42"/>
    <s v="NLMT"/>
    <n v="5469545455"/>
    <d v="2024-03-01T00:00:00"/>
    <n v="3"/>
    <n v="2024"/>
    <s v="Duyên hải Nam Trung Bộ"/>
    <s v="Doanh nghiệp"/>
    <x v="1"/>
    <s v="D"/>
    <n v="5469.5454550000004"/>
  </r>
  <r>
    <s v="HNI"/>
    <s v="Công ty 53"/>
    <s v="ME"/>
    <n v="121890000"/>
    <d v="2024-03-01T00:00:00"/>
    <n v="3"/>
    <n v="2024"/>
    <s v="ĐB Sông Hồng"/>
    <s v="Doanh nghiệp"/>
    <x v="0"/>
    <s v="O"/>
    <n v="121.89"/>
  </r>
  <r>
    <s v="HNM"/>
    <s v="Công ty 64"/>
    <s v="ICT"/>
    <n v="410909091"/>
    <d v="2024-03-01T00:00:00"/>
    <n v="3"/>
    <n v="2024"/>
    <s v="ĐB Sông Hồng"/>
    <s v="Doanh nghiệp"/>
    <x v="1"/>
    <s v="B"/>
    <n v="410.90909099999999"/>
  </r>
  <r>
    <s v="NAN"/>
    <s v="Công ty 85"/>
    <s v="ICT"/>
    <n v="103166301"/>
    <d v="2024-03-01T00:00:00"/>
    <n v="3"/>
    <n v="2024"/>
    <s v="Bắc Trung Bộ"/>
    <s v="Doanh nghiệp"/>
    <x v="0"/>
    <s v="B"/>
    <n v="103.166301"/>
  </r>
  <r>
    <s v="HNI"/>
    <s v="Công ty 86"/>
    <s v="NLMT"/>
    <n v="166363636"/>
    <d v="2024-03-01T00:00:00"/>
    <n v="3"/>
    <n v="2024"/>
    <s v="ĐB Sông Hồng"/>
    <s v="Doanh nghiệp"/>
    <x v="1"/>
    <s v="D"/>
    <n v="166.36363600000001"/>
  </r>
  <r>
    <s v="NBH"/>
    <s v="Công ty 92"/>
    <s v="ICT"/>
    <n v="11425636"/>
    <d v="2024-03-01T00:00:00"/>
    <n v="3"/>
    <n v="2024"/>
    <s v="ĐB Sông Hồng"/>
    <s v="Doanh nghiệp"/>
    <x v="0"/>
    <s v="A"/>
    <n v="11.425636000000001"/>
  </r>
  <r>
    <s v="TBH"/>
    <s v="Công ty 23"/>
    <s v="ICT"/>
    <n v="30520000"/>
    <d v="2024-03-01T00:00:00"/>
    <n v="3"/>
    <n v="2024"/>
    <s v="ĐB Sông Hồng"/>
    <s v="Doanh nghiệp"/>
    <x v="1"/>
    <s v="B"/>
    <n v="30.52"/>
  </r>
  <r>
    <s v="AGG"/>
    <s v="Công ty 25"/>
    <s v="ICT"/>
    <n v="37228182"/>
    <d v="2024-03-01T00:00:00"/>
    <n v="3"/>
    <n v="2024"/>
    <s v="ĐB Sông Cửu Long"/>
    <s v="Doanh nghiệp"/>
    <x v="0"/>
    <s v="B"/>
    <n v="37.228181999999997"/>
  </r>
  <r>
    <s v="YBI"/>
    <s v="Công ty 62"/>
    <s v="ICT"/>
    <n v="32848182"/>
    <d v="2024-03-01T00:00:00"/>
    <n v="3"/>
    <n v="2024"/>
    <s v="Tây Bắc Bộ"/>
    <s v="Doanh nghiệp"/>
    <x v="1"/>
    <s v="B"/>
    <n v="32.848182000000001"/>
  </r>
  <r>
    <s v="TGG"/>
    <s v="Công ty 7"/>
    <s v="NLMT"/>
    <n v="136950000"/>
    <d v="2024-03-01T00:00:00"/>
    <n v="3"/>
    <n v="2024"/>
    <s v="ĐB Sông Cửu Long"/>
    <s v="Doanh nghiệp"/>
    <x v="0"/>
    <s v="K"/>
    <n v="136.94999999999999"/>
  </r>
  <r>
    <s v="NAN"/>
    <s v="Công ty 9"/>
    <s v="ICT"/>
    <n v="38753874"/>
    <d v="2024-03-01T00:00:00"/>
    <n v="3"/>
    <n v="2024"/>
    <s v="Bắc Trung Bộ"/>
    <s v="Doanh nghiệp"/>
    <x v="1"/>
    <s v="B"/>
    <n v="38.753874000000003"/>
  </r>
  <r>
    <s v="NAN"/>
    <s v="Công ty 10"/>
    <s v="ICT"/>
    <n v="122725117"/>
    <d v="2024-03-01T00:00:00"/>
    <n v="3"/>
    <n v="2024"/>
    <s v="Bắc Trung Bộ"/>
    <s v="Doanh nghiệp"/>
    <x v="0"/>
    <s v="B"/>
    <n v="122.725117"/>
  </r>
  <r>
    <s v="NAN"/>
    <s v="Công ty 11"/>
    <s v="ICT"/>
    <n v="106071282"/>
    <d v="2024-03-01T00:00:00"/>
    <n v="3"/>
    <n v="2024"/>
    <s v="Bắc Trung Bộ"/>
    <s v="Doanh nghiệp"/>
    <x v="1"/>
    <s v="B"/>
    <n v="106.071282"/>
  </r>
  <r>
    <s v="BTN"/>
    <s v="Công ty 19"/>
    <s v="ICT"/>
    <n v="31640000"/>
    <d v="2024-03-01T00:00:00"/>
    <n v="3"/>
    <n v="2024"/>
    <s v="Duyên hải Nam Trung Bộ"/>
    <s v="Doanh nghiệp"/>
    <x v="0"/>
    <s v="B"/>
    <n v="31.64"/>
  </r>
  <r>
    <s v="BPC"/>
    <s v="Công ty 52"/>
    <s v="DVKT"/>
    <n v="38087405"/>
    <d v="2024-03-01T00:00:00"/>
    <n v="3"/>
    <n v="2024"/>
    <s v="Đông Nam Bộ"/>
    <s v="Doanh nghiệp"/>
    <x v="1"/>
    <s v="D"/>
    <n v="38.087404999999997"/>
  </r>
  <r>
    <s v="BPC"/>
    <s v="Công ty 53"/>
    <s v="DVKT"/>
    <n v="38087405"/>
    <d v="2024-03-01T00:00:00"/>
    <n v="3"/>
    <n v="2024"/>
    <s v="Đông Nam Bộ"/>
    <s v="Doanh nghiệp"/>
    <x v="0"/>
    <s v="D"/>
    <n v="38.087404999999997"/>
  </r>
  <r>
    <s v="QNH"/>
    <s v="Công ty 66"/>
    <s v="ICT"/>
    <n v="71610000"/>
    <d v="2024-03-01T00:00:00"/>
    <n v="3"/>
    <n v="2024"/>
    <s v="Đông Bắc Bộ"/>
    <s v="Doanh nghiệp"/>
    <x v="1"/>
    <s v="B"/>
    <n v="71.61"/>
  </r>
  <r>
    <s v="NAN"/>
    <s v="Công ty 73"/>
    <s v="ME"/>
    <n v="482618182"/>
    <d v="2024-03-01T00:00:00"/>
    <n v="3"/>
    <n v="2024"/>
    <s v="Bắc Trung Bộ"/>
    <s v="Doanh nghiệp"/>
    <x v="0"/>
    <s v="N"/>
    <n v="482.61818199999999"/>
  </r>
  <r>
    <s v="HTH"/>
    <s v="Công ty 87"/>
    <s v="DVKT"/>
    <n v="15231818"/>
    <d v="2024-03-01T00:00:00"/>
    <n v="3"/>
    <n v="2024"/>
    <s v="Bắc Trung Bộ"/>
    <s v="Doanh nghiệp"/>
    <x v="1"/>
    <s v="B"/>
    <n v="15.231818000000001"/>
  </r>
  <r>
    <s v="SLA"/>
    <s v="Công ty 91"/>
    <s v="ME"/>
    <n v="48665527"/>
    <d v="2024-03-01T00:00:00"/>
    <n v="3"/>
    <n v="2024"/>
    <s v="Tây Bắc Bộ"/>
    <s v="Doanh nghiệp"/>
    <x v="0"/>
    <s v="O"/>
    <n v="48.665526999999997"/>
  </r>
  <r>
    <s v="HUE"/>
    <s v="Công ty 3"/>
    <s v="ME"/>
    <n v="24994545"/>
    <d v="2024-03-01T00:00:00"/>
    <n v="3"/>
    <n v="2024"/>
    <s v="Bắc Trung Bộ"/>
    <s v="Doanh nghiệp"/>
    <x v="1"/>
    <s v="C"/>
    <n v="24.994544999999999"/>
  </r>
  <r>
    <s v="BPC"/>
    <s v="Công ty 64"/>
    <s v="ICT"/>
    <n v="77093363"/>
    <d v="2024-03-01T00:00:00"/>
    <n v="3"/>
    <n v="2024"/>
    <s v="Đông Nam Bộ"/>
    <s v="Doanh nghiệp"/>
    <x v="0"/>
    <s v="B"/>
    <n v="77.093362999999997"/>
  </r>
  <r>
    <s v="GLI"/>
    <s v="Công ty 92"/>
    <s v="NLMT"/>
    <n v="106096364"/>
    <d v="2024-03-01T00:00:00"/>
    <n v="3"/>
    <n v="2024"/>
    <s v="Tây Nguyên"/>
    <s v="Doanh nghiệp"/>
    <x v="1"/>
    <s v="K"/>
    <n v="106.09636399999999"/>
  </r>
  <r>
    <s v="AGG"/>
    <s v="Công ty 4"/>
    <s v="NLMT"/>
    <n v="76818182"/>
    <d v="2024-03-01T00:00:00"/>
    <n v="3"/>
    <n v="2024"/>
    <s v="ĐB Sông Cửu Long"/>
    <s v="Doanh nghiệp"/>
    <x v="0"/>
    <s v="K"/>
    <n v="76.818181999999993"/>
  </r>
  <r>
    <s v="AGG"/>
    <s v="Công ty 43"/>
    <s v="ME"/>
    <n v="19818182"/>
    <d v="2024-03-01T00:00:00"/>
    <n v="3"/>
    <n v="2024"/>
    <s v="ĐB Sông Cửu Long"/>
    <s v="Doanh nghiệp"/>
    <x v="1"/>
    <s v="C"/>
    <n v="19.818182"/>
  </r>
  <r>
    <s v="DNI"/>
    <s v="Công ty 50"/>
    <s v="ICT"/>
    <n v="928168691"/>
    <d v="2024-03-01T00:00:00"/>
    <n v="3"/>
    <n v="2024"/>
    <s v="Đông Nam Bộ"/>
    <s v="Doanh nghiệp"/>
    <x v="0"/>
    <s v="B"/>
    <n v="928.16869099999997"/>
  </r>
  <r>
    <s v="VLG"/>
    <s v="Công ty 55"/>
    <s v="ICT"/>
    <n v="51632727"/>
    <d v="2024-03-01T00:00:00"/>
    <n v="3"/>
    <n v="2024"/>
    <s v="ĐB Sông Cửu Long"/>
    <s v="Doanh nghiệp"/>
    <x v="1"/>
    <s v="B"/>
    <n v="51.632727000000003"/>
  </r>
  <r>
    <s v="VLG"/>
    <s v="Công ty 83"/>
    <s v="ME"/>
    <n v="38636364"/>
    <d v="2024-03-01T00:00:00"/>
    <n v="3"/>
    <n v="2024"/>
    <s v="ĐB Sông Cửu Long"/>
    <s v="Doanh nghiệp"/>
    <x v="0"/>
    <s v="C"/>
    <n v="38.636364"/>
  </r>
  <r>
    <s v="BPC"/>
    <s v="Công ty 2"/>
    <s v="DVKT"/>
    <n v="38087405"/>
    <d v="2024-03-01T00:00:00"/>
    <n v="3"/>
    <n v="2024"/>
    <s v="Đông Nam Bộ"/>
    <s v="Doanh nghiệp"/>
    <x v="1"/>
    <s v="K"/>
    <n v="38.087404999999997"/>
  </r>
  <r>
    <s v="NBH"/>
    <s v="Công ty 7"/>
    <s v="ICT"/>
    <n v="43698244"/>
    <d v="2024-03-01T00:00:00"/>
    <n v="3"/>
    <n v="2024"/>
    <s v="ĐB Sông Hồng"/>
    <s v="Doanh nghiệp"/>
    <x v="0"/>
    <s v="B"/>
    <n v="43.698244000000003"/>
  </r>
  <r>
    <s v="TGG"/>
    <s v="Công ty 11"/>
    <s v="ME"/>
    <n v="156186935"/>
    <d v="2024-03-01T00:00:00"/>
    <n v="3"/>
    <n v="2024"/>
    <s v="ĐB Sông Cửu Long"/>
    <s v="Doanh nghiệp"/>
    <x v="1"/>
    <s v="L"/>
    <n v="156.18693500000001"/>
  </r>
  <r>
    <s v="TGG"/>
    <s v="Công ty 12"/>
    <s v="ME"/>
    <n v="455214965"/>
    <d v="2024-03-01T00:00:00"/>
    <n v="3"/>
    <n v="2024"/>
    <s v="ĐB Sông Cửu Long"/>
    <s v="Doanh nghiệp"/>
    <x v="0"/>
    <s v="C"/>
    <n v="455.21496500000001"/>
  </r>
  <r>
    <s v="TGG"/>
    <s v="Công ty 13"/>
    <s v="DVKT"/>
    <n v="15909091"/>
    <d v="2024-03-01T00:00:00"/>
    <n v="3"/>
    <n v="2024"/>
    <s v="ĐB Sông Cửu Long"/>
    <s v="Doanh nghiệp"/>
    <x v="1"/>
    <s v="C"/>
    <n v="15.909091"/>
  </r>
  <r>
    <s v="DBN"/>
    <s v="Công ty 63"/>
    <s v="ME"/>
    <n v="49990909"/>
    <d v="2024-03-01T00:00:00"/>
    <n v="3"/>
    <n v="2024"/>
    <s v="Tây Bắc Bộ"/>
    <s v="Doanh nghiệp"/>
    <x v="0"/>
    <s v="O"/>
    <n v="49.990909000000002"/>
  </r>
  <r>
    <s v="AGG"/>
    <s v="Công ty 81"/>
    <s v="ME"/>
    <n v="11114182"/>
    <d v="2024-03-01T00:00:00"/>
    <n v="3"/>
    <n v="2024"/>
    <s v="ĐB Sông Cửu Long"/>
    <s v="Doanh nghiệp"/>
    <x v="1"/>
    <s v="Q"/>
    <n v="11.114182"/>
  </r>
  <r>
    <s v="BPC"/>
    <s v="Công ty 83"/>
    <s v="ICT"/>
    <n v="238372727"/>
    <d v="2024-03-01T00:00:00"/>
    <n v="3"/>
    <n v="2024"/>
    <s v="Đông Nam Bộ"/>
    <s v="Doanh nghiệp"/>
    <x v="0"/>
    <s v="B"/>
    <n v="238.372727"/>
  </r>
  <r>
    <s v="BDG"/>
    <s v="Công ty 8"/>
    <s v="NLMT"/>
    <n v="46148250"/>
    <d v="2024-03-01T00:00:00"/>
    <n v="3"/>
    <n v="2024"/>
    <s v="Đông Nam Bộ"/>
    <s v="Doanh nghiệp"/>
    <x v="1"/>
    <s v="D"/>
    <n v="46.148249999999997"/>
  </r>
  <r>
    <s v="VTU"/>
    <s v="Công ty 28"/>
    <s v="DVKT"/>
    <n v="219035782"/>
    <d v="2024-03-01T00:00:00"/>
    <n v="3"/>
    <n v="2024"/>
    <s v="Đông Nam Bộ"/>
    <s v="Doanh nghiệp"/>
    <x v="0"/>
    <s v="A"/>
    <n v="219.03578200000001"/>
  </r>
  <r>
    <s v="CBG"/>
    <s v="Công ty 39"/>
    <s v="ICT"/>
    <n v="18090909"/>
    <d v="2024-03-01T00:00:00"/>
    <n v="3"/>
    <n v="2024"/>
    <s v="Đông Bắc Bộ"/>
    <s v="Doanh nghiệp"/>
    <x v="1"/>
    <s v="B"/>
    <n v="18.090909"/>
  </r>
  <r>
    <s v="KHA"/>
    <s v="Công ty 57"/>
    <s v="NLMT"/>
    <n v="1739784958"/>
    <d v="2024-03-01T00:00:00"/>
    <n v="3"/>
    <n v="2024"/>
    <s v="Duyên hải Nam Trung Bộ"/>
    <s v="Doanh nghiệp"/>
    <x v="0"/>
    <s v="D"/>
    <n v="1739.784958"/>
  </r>
  <r>
    <s v="HTH"/>
    <s v="Công ty 60"/>
    <s v="ME"/>
    <n v="18213223"/>
    <d v="2024-03-01T00:00:00"/>
    <n v="3"/>
    <n v="2024"/>
    <s v="Bắc Trung Bộ"/>
    <s v="Doanh nghiệp"/>
    <x v="1"/>
    <s v="O"/>
    <n v="18.213222999999999"/>
  </r>
  <r>
    <s v="NAN"/>
    <s v="Công ty 73"/>
    <s v="ICT"/>
    <n v="39398455"/>
    <d v="2024-03-01T00:00:00"/>
    <n v="3"/>
    <n v="2024"/>
    <s v="Bắc Trung Bộ"/>
    <s v="Doanh nghiệp"/>
    <x v="0"/>
    <s v="F"/>
    <n v="39.398454999999998"/>
  </r>
  <r>
    <s v="NAN"/>
    <s v="Công ty 74"/>
    <s v="ICT"/>
    <n v="18150909"/>
    <d v="2024-03-01T00:00:00"/>
    <n v="3"/>
    <n v="2024"/>
    <s v="Bắc Trung Bộ"/>
    <s v="Doanh nghiệp"/>
    <x v="1"/>
    <s v="F"/>
    <n v="18.150908999999999"/>
  </r>
  <r>
    <s v="DBN"/>
    <s v="Công ty 85"/>
    <s v="ICT"/>
    <n v="35375636"/>
    <d v="2024-03-01T00:00:00"/>
    <n v="3"/>
    <n v="2024"/>
    <s v="Tây Bắc Bộ"/>
    <s v="Doanh nghiệp"/>
    <x v="0"/>
    <s v="B"/>
    <n v="35.375636"/>
  </r>
  <r>
    <s v="GLI"/>
    <s v="Công ty 97"/>
    <s v="DVKT"/>
    <n v="51827273"/>
    <d v="2024-03-01T00:00:00"/>
    <n v="3"/>
    <n v="2024"/>
    <s v="Tây Nguyên"/>
    <s v="Doanh nghiệp"/>
    <x v="1"/>
    <s v="A"/>
    <n v="51.827272999999998"/>
  </r>
  <r>
    <s v="VPC"/>
    <s v="Công ty 3"/>
    <s v="DVKT"/>
    <n v="233977273"/>
    <d v="2024-03-01T00:00:00"/>
    <n v="3"/>
    <n v="2024"/>
    <s v="ĐB Sông Hồng"/>
    <s v="Doanh nghiệp"/>
    <x v="0"/>
    <s v="B"/>
    <n v="233.977273"/>
  </r>
  <r>
    <s v="VPC"/>
    <s v="Công ty 11"/>
    <s v="ICT"/>
    <n v="922835000"/>
    <d v="2024-03-01T00:00:00"/>
    <n v="3"/>
    <n v="2024"/>
    <s v="ĐB Sông Hồng"/>
    <s v="Doanh nghiệp"/>
    <x v="1"/>
    <s v="B"/>
    <n v="922.83500000000004"/>
  </r>
  <r>
    <s v="HUG"/>
    <s v="Công ty 13"/>
    <s v="ME"/>
    <n v="55909091"/>
    <d v="2024-03-01T00:00:00"/>
    <n v="3"/>
    <n v="2024"/>
    <s v="ĐB Sông Cửu Long"/>
    <s v="Doanh nghiệp"/>
    <x v="0"/>
    <s v="C"/>
    <n v="55.909090999999997"/>
  </r>
  <r>
    <s v="BDH"/>
    <s v="Công ty 34"/>
    <s v="NLMT"/>
    <n v="597635455"/>
    <d v="2024-03-01T00:00:00"/>
    <n v="3"/>
    <n v="2024"/>
    <s v="Duyên hải Nam Trung Bộ"/>
    <s v="Doanh nghiệp"/>
    <x v="1"/>
    <s v="D"/>
    <n v="597.63545499999998"/>
  </r>
  <r>
    <s v="HTH"/>
    <s v="Công ty 38"/>
    <s v="ICT"/>
    <n v="19546000"/>
    <d v="2024-03-01T00:00:00"/>
    <n v="3"/>
    <n v="2024"/>
    <s v="Bắc Trung Bộ"/>
    <s v="Doanh nghiệp"/>
    <x v="0"/>
    <s v="B"/>
    <n v="19.545999999999999"/>
  </r>
  <r>
    <s v="SLA"/>
    <s v="Công ty 65"/>
    <s v="ME"/>
    <n v="49505818"/>
    <d v="2024-03-01T00:00:00"/>
    <n v="3"/>
    <n v="2024"/>
    <s v="Tây Bắc Bộ"/>
    <s v="Doanh nghiệp"/>
    <x v="1"/>
    <s v="O"/>
    <n v="49.505817999999998"/>
  </r>
  <r>
    <s v="DTP"/>
    <s v="Công ty 85"/>
    <s v="ME"/>
    <n v="30909091"/>
    <d v="2024-03-01T00:00:00"/>
    <n v="3"/>
    <n v="2024"/>
    <s v="ĐB Sông Cửu Long"/>
    <s v="Doanh nghiệp"/>
    <x v="0"/>
    <s v="M"/>
    <n v="30.909091"/>
  </r>
  <r>
    <s v="TQG"/>
    <s v="Công ty 96"/>
    <s v="ICT"/>
    <n v="472853120"/>
    <d v="2024-03-01T00:00:00"/>
    <n v="3"/>
    <n v="2024"/>
    <s v="Đông Bắc Bộ"/>
    <s v="Doanh nghiệp"/>
    <x v="1"/>
    <s v="A"/>
    <n v="472.85311999999999"/>
  </r>
  <r>
    <s v="VLG"/>
    <s v="Công ty 84"/>
    <s v="ICT"/>
    <n v="309479494"/>
    <d v="2024-03-01T00:00:00"/>
    <n v="3"/>
    <n v="2024"/>
    <s v="ĐB Sông Cửu Long"/>
    <s v="Doanh nghiệp"/>
    <x v="0"/>
    <s v="B"/>
    <n v="309.47949399999999"/>
  </r>
  <r>
    <s v="BTE"/>
    <s v="Doanh nghiệp 7"/>
    <s v="ICT"/>
    <n v="30573182"/>
    <d v="2024-03-01T00:00:00"/>
    <n v="3"/>
    <n v="2024"/>
    <s v="ĐB Sông Cửu Long"/>
    <s v="Doanh nghiệp"/>
    <x v="1"/>
    <s v="B"/>
    <n v="30.573181999999999"/>
  </r>
  <r>
    <s v="HNI"/>
    <s v="Doanh nghiệp 13"/>
    <s v="ICT"/>
    <n v="26181790"/>
    <d v="2024-03-01T00:00:00"/>
    <n v="3"/>
    <n v="2024"/>
    <s v="ĐB Sông Hồng"/>
    <s v="Doanh nghiệp"/>
    <x v="0"/>
    <s v="B"/>
    <n v="26.181789999999999"/>
  </r>
  <r>
    <s v="QNH"/>
    <s v="Doanh nghiệp 14"/>
    <s v="DVKT"/>
    <n v="14641818"/>
    <d v="2024-03-01T00:00:00"/>
    <n v="3"/>
    <n v="2024"/>
    <s v="Đông Bắc Bộ"/>
    <s v="Doanh nghiệp"/>
    <x v="1"/>
    <s v="B"/>
    <n v="14.641818000000001"/>
  </r>
  <r>
    <s v="TBH"/>
    <s v="Doanh nghiệp 2"/>
    <s v="ICT"/>
    <n v="67272727"/>
    <d v="2024-03-01T00:00:00"/>
    <n v="3"/>
    <n v="2024"/>
    <s v="ĐB Sông Hồng"/>
    <s v="Doanh nghiệp"/>
    <x v="0"/>
    <s v="B"/>
    <n v="67.272727000000003"/>
  </r>
  <r>
    <s v="HNI"/>
    <s v="Doanh nghiệp 29"/>
    <s v="ICT"/>
    <n v="147677180"/>
    <d v="2024-03-01T00:00:00"/>
    <n v="3"/>
    <n v="2024"/>
    <s v="ĐB Sông Hồng"/>
    <s v="Doanh nghiệp"/>
    <x v="1"/>
    <s v="B"/>
    <n v="147.67717999999999"/>
  </r>
  <r>
    <s v="CTO"/>
    <s v="Doanh nghiệp 13"/>
    <s v="Smarthome"/>
    <n v="106109064"/>
    <d v="2024-03-01T00:00:00"/>
    <n v="3"/>
    <n v="2024"/>
    <s v="ĐB Sông Cửu Long"/>
    <s v="Doanh nghiệp"/>
    <x v="0"/>
    <s v="H"/>
    <n v="106.109064"/>
  </r>
  <r>
    <s v="BKN"/>
    <s v="Doanh nghiệp 24"/>
    <s v="ME"/>
    <n v="4227273"/>
    <d v="2024-03-01T00:00:00"/>
    <n v="3"/>
    <n v="2024"/>
    <s v="Đông Bắc Bộ"/>
    <s v="Doanh nghiệp"/>
    <x v="1"/>
    <s v="O"/>
    <n v="4.2272730000000003"/>
  </r>
  <r>
    <s v="STG"/>
    <s v="Doanh nghiệp 1"/>
    <s v="ICT"/>
    <n v="25580000"/>
    <d v="2024-03-01T00:00:00"/>
    <n v="3"/>
    <n v="2024"/>
    <s v="ĐB Sông Cửu Long"/>
    <s v="Doanh nghiệp"/>
    <x v="0"/>
    <s v="F"/>
    <n v="25.58"/>
  </r>
  <r>
    <s v="STG"/>
    <s v="Doanh nghiệp 2"/>
    <s v="DVKT"/>
    <n v="24012327"/>
    <d v="2024-03-01T00:00:00"/>
    <n v="3"/>
    <n v="2024"/>
    <s v="ĐB Sông Cửu Long"/>
    <s v="Doanh nghiệp"/>
    <x v="1"/>
    <s v="F"/>
    <n v="24.012326999999999"/>
  </r>
  <r>
    <s v="TNN"/>
    <s v="Doanh nghiệp 8"/>
    <s v="ICT"/>
    <n v="179774100"/>
    <d v="2024-03-01T00:00:00"/>
    <n v="3"/>
    <n v="2024"/>
    <s v="Đông Bắc Bộ"/>
    <s v="Doanh nghiệp"/>
    <x v="0"/>
    <s v="F"/>
    <n v="179.7741"/>
  </r>
  <r>
    <s v="CTO"/>
    <s v="Doanh nghiệp 19"/>
    <s v="ICT"/>
    <n v="51065364"/>
    <d v="2024-03-01T00:00:00"/>
    <n v="3"/>
    <n v="2024"/>
    <s v="ĐB Sông Cửu Long"/>
    <s v="Doanh nghiệp"/>
    <x v="1"/>
    <s v="B"/>
    <n v="51.065364000000002"/>
  </r>
  <r>
    <s v="CTO"/>
    <s v="Doanh nghiệp 20"/>
    <s v="ICT"/>
    <n v="1887324789"/>
    <d v="2024-03-01T00:00:00"/>
    <n v="3"/>
    <n v="2024"/>
    <s v="ĐB Sông Cửu Long"/>
    <s v="Doanh nghiệp"/>
    <x v="0"/>
    <s v="B"/>
    <n v="1887.324789"/>
  </r>
  <r>
    <s v="GLI"/>
    <s v="Tập đoàn 7"/>
    <s v="Smarthome"/>
    <n v="102018900"/>
    <d v="2024-03-01T00:00:00"/>
    <n v="3"/>
    <n v="2024"/>
    <s v="Tây Nguyên"/>
    <s v="Doanh nghiệp"/>
    <x v="1"/>
    <s v="H"/>
    <n v="102.0189"/>
  </r>
  <r>
    <s v="LSN"/>
    <s v="Tập đoàn 29"/>
    <s v="ICT"/>
    <n v="39609364"/>
    <d v="2024-03-01T00:00:00"/>
    <n v="3"/>
    <n v="2024"/>
    <s v="Đông Bắc Bộ"/>
    <s v="Doanh nghiệp"/>
    <x v="0"/>
    <s v="B"/>
    <n v="39.609363999999999"/>
  </r>
  <r>
    <s v="NDH"/>
    <s v="Tập đoàn 38"/>
    <s v="ICT"/>
    <n v="56852720"/>
    <d v="2024-03-01T00:00:00"/>
    <n v="3"/>
    <n v="2024"/>
    <s v="ĐB Sông Hồng"/>
    <s v="Doanh nghiệp"/>
    <x v="1"/>
    <s v="T"/>
    <n v="56.852719999999998"/>
  </r>
  <r>
    <s v="NAN"/>
    <s v="Tập đoàn 59"/>
    <s v="DVKT"/>
    <n v="20500364"/>
    <d v="2024-03-01T00:00:00"/>
    <n v="3"/>
    <n v="2024"/>
    <s v="Bắc Trung Bộ"/>
    <s v="Doanh nghiệp"/>
    <x v="0"/>
    <s v="O"/>
    <n v="20.500364000000001"/>
  </r>
  <r>
    <s v="QBH"/>
    <s v="Tập đoàn 86"/>
    <s v="ICT"/>
    <n v="2547774000"/>
    <d v="2024-03-01T00:00:00"/>
    <n v="3"/>
    <n v="2024"/>
    <s v="Bắc Trung Bộ"/>
    <s v="Doanh nghiệp"/>
    <x v="1"/>
    <s v="B"/>
    <n v="2547.7739999999999"/>
  </r>
  <r>
    <s v="QNH"/>
    <s v="Tập đoàn 90"/>
    <s v="ME"/>
    <n v="8137309"/>
    <d v="2024-03-01T00:00:00"/>
    <n v="3"/>
    <n v="2024"/>
    <s v="Đông Bắc Bộ"/>
    <s v="Doanh nghiệp"/>
    <x v="0"/>
    <s v="O"/>
    <n v="8.1373090000000001"/>
  </r>
  <r>
    <s v="HUE"/>
    <s v="Tập đoàn 83"/>
    <s v="DVKT"/>
    <n v="29239036"/>
    <d v="2024-03-01T00:00:00"/>
    <n v="3"/>
    <n v="2024"/>
    <s v="Bắc Trung Bộ"/>
    <s v="Doanh nghiệp"/>
    <x v="1"/>
    <s v="A"/>
    <n v="29.239035999999999"/>
  </r>
  <r>
    <s v="DLK"/>
    <s v="Tập đoàn 91"/>
    <s v="ICT"/>
    <n v="15600000"/>
    <d v="2024-03-01T00:00:00"/>
    <n v="3"/>
    <n v="2024"/>
    <s v="Tây Nguyên"/>
    <s v="Doanh nghiệp"/>
    <x v="0"/>
    <s v="F"/>
    <n v="15.6"/>
  </r>
  <r>
    <s v="DLK"/>
    <s v="Tập đoàn 92"/>
    <s v="Smarthome"/>
    <n v="9000000"/>
    <d v="2024-03-01T00:00:00"/>
    <n v="3"/>
    <n v="2024"/>
    <s v="Tây Nguyên"/>
    <s v="Doanh nghiệp"/>
    <x v="1"/>
    <s v="H"/>
    <n v="9"/>
  </r>
  <r>
    <s v="HUE"/>
    <s v="Tập đoàn 93"/>
    <s v="NLMT"/>
    <n v="90000000"/>
    <d v="2024-03-01T00:00:00"/>
    <n v="3"/>
    <n v="2024"/>
    <s v="Bắc Trung Bộ"/>
    <s v="Doanh nghiệp"/>
    <x v="0"/>
    <s v="K"/>
    <n v="90"/>
  </r>
  <r>
    <s v="YBI"/>
    <s v="Tập đoàn 93"/>
    <s v="ME"/>
    <n v="22909091"/>
    <d v="2024-03-01T00:00:00"/>
    <n v="3"/>
    <n v="2024"/>
    <s v="Tây Bắc Bộ"/>
    <s v="Doanh nghiệp"/>
    <x v="1"/>
    <s v="C"/>
    <n v="22.909091"/>
  </r>
  <r>
    <s v="HTH"/>
    <s v="Tập đoàn 92"/>
    <s v="ICT"/>
    <n v="44181818"/>
    <d v="2024-03-01T00:00:00"/>
    <n v="3"/>
    <n v="2024"/>
    <s v="Bắc Trung Bộ"/>
    <s v="Doanh nghiệp"/>
    <x v="0"/>
    <s v="B"/>
    <n v="44.181818"/>
  </r>
  <r>
    <s v="TVH"/>
    <s v="Tập đoàn 93"/>
    <s v="ICT"/>
    <n v="13129091"/>
    <d v="2024-03-01T00:00:00"/>
    <n v="3"/>
    <n v="2024"/>
    <s v="ĐB Sông Cửu Long"/>
    <s v="Doanh nghiệp"/>
    <x v="1"/>
    <s v="B"/>
    <n v="13.129091000000001"/>
  </r>
  <r>
    <s v="DBN"/>
    <s v="Công ty 48"/>
    <s v="NLMT"/>
    <n v="156545455"/>
    <d v="2024-03-01T00:00:00"/>
    <n v="3"/>
    <n v="2024"/>
    <s v="Tây Bắc Bộ"/>
    <s v="Doanh nghiệp"/>
    <x v="0"/>
    <s v="K"/>
    <n v="156.545455"/>
  </r>
  <r>
    <s v="DBN"/>
    <s v="Công ty 49"/>
    <s v="NLMT"/>
    <n v="34090909"/>
    <d v="2024-03-01T00:00:00"/>
    <n v="3"/>
    <n v="2024"/>
    <s v="Tây Bắc Bộ"/>
    <s v="Doanh nghiệp"/>
    <x v="1"/>
    <s v="K"/>
    <n v="34.090909000000003"/>
  </r>
  <r>
    <s v="DBN"/>
    <s v="Công ty 50"/>
    <s v="NLMT"/>
    <n v="238636364"/>
    <d v="2024-03-01T00:00:00"/>
    <n v="3"/>
    <n v="2024"/>
    <s v="Tây Bắc Bộ"/>
    <s v="Doanh nghiệp"/>
    <x v="0"/>
    <s v="K"/>
    <n v="238.63636399999999"/>
  </r>
  <r>
    <s v="BTE"/>
    <s v="Công An Tỉnh Bến Tre"/>
    <s v="ICT"/>
    <n v="510636364"/>
    <d v="2024-03-01T00:00:00"/>
    <n v="3"/>
    <n v="2024"/>
    <s v="ĐB Sông Cửu Long"/>
    <s v="Sở ban ngành"/>
    <x v="1"/>
    <s v="F"/>
    <n v="510.63636400000001"/>
  </r>
  <r>
    <s v="HUE"/>
    <s v="Công ty 21"/>
    <s v="DVKT"/>
    <n v="39072727"/>
    <d v="2024-03-01T00:00:00"/>
    <n v="3"/>
    <n v="2024"/>
    <s v="Bắc Trung Bộ"/>
    <s v="Doanh nghiệp"/>
    <x v="0"/>
    <s v="A"/>
    <n v="39.072727"/>
  </r>
  <r>
    <s v="NAN"/>
    <s v="LIÊN ĐOÀN ĐỊA CHẤT BẮC TRUNG BỘ"/>
    <s v="ICT"/>
    <n v="21993636"/>
    <d v="2024-03-01T00:00:00"/>
    <n v="3"/>
    <n v="2024"/>
    <s v="Bắc Trung Bộ"/>
    <s v="Sở ban ngành"/>
    <x v="1"/>
    <s v="A"/>
    <n v="21.993635999999999"/>
  </r>
  <r>
    <s v="BTN"/>
    <s v="PHÒNG NỘI VỤ HUYỆN HÀM TÂN"/>
    <s v="ME"/>
    <n v="69363636"/>
    <d v="2024-03-01T00:00:00"/>
    <n v="3"/>
    <n v="2024"/>
    <s v="Duyên hải Nam Trung Bộ"/>
    <s v="Sở ban ngành"/>
    <x v="0"/>
    <s v="C"/>
    <n v="69.363636"/>
  </r>
  <r>
    <s v="BTN"/>
    <s v="PHÒNG NÔNG NGHIỆP &amp; PT NÔNG THÔN HUYỆN HÀM TÂN"/>
    <s v="ME"/>
    <n v="59818182"/>
    <d v="2024-03-01T00:00:00"/>
    <n v="3"/>
    <n v="2024"/>
    <s v="Duyên hải Nam Trung Bộ"/>
    <s v="Sở ban ngành"/>
    <x v="1"/>
    <s v="C"/>
    <n v="59.818182"/>
  </r>
  <r>
    <s v="CBG"/>
    <s v="PHÒNG VĂN HOÁ THÔNG TIN HUYỆN HÀ QUẢNG"/>
    <s v="Smarthome"/>
    <n v="945518182"/>
    <d v="2024-03-01T00:00:00"/>
    <n v="3"/>
    <n v="2024"/>
    <s v="Đông Bắc Bộ"/>
    <s v="Sở ban ngành"/>
    <x v="0"/>
    <s v="U"/>
    <n v="945.51818200000002"/>
  </r>
  <r>
    <s v="GLI"/>
    <s v="Thôn An Điền Bắc"/>
    <s v="NLMT"/>
    <n v="8181818"/>
    <d v="2024-03-01T00:00:00"/>
    <n v="3"/>
    <n v="2024"/>
    <s v="Tây Nguyên"/>
    <s v="Sở ban ngành"/>
    <x v="1"/>
    <s v="K"/>
    <n v="8.1818179999999998"/>
  </r>
  <r>
    <s v="TGG"/>
    <s v="TRUNG TÂM Y TẾ CHÂU THÀNH"/>
    <s v="ICT"/>
    <n v="12334545"/>
    <d v="2024-03-01T00:00:00"/>
    <n v="3"/>
    <n v="2024"/>
    <s v="ĐB Sông Cửu Long"/>
    <s v="Sở ban ngành"/>
    <x v="0"/>
    <s v="F"/>
    <n v="12.334545"/>
  </r>
  <r>
    <s v="NAN"/>
    <s v="TRUNG TÂM Y TẾ HUYỆN HƯNG NGUYÊN"/>
    <s v="ICT"/>
    <n v="12970455"/>
    <d v="2024-03-01T00:00:00"/>
    <n v="3"/>
    <n v="2024"/>
    <s v="Bắc Trung Bộ"/>
    <s v="Sở ban ngành"/>
    <x v="1"/>
    <s v="A"/>
    <n v="12.970454999999999"/>
  </r>
  <r>
    <s v="DTP"/>
    <s v="Trung Tâm Y Tế Huyện Tân Hồng"/>
    <s v="DVKT"/>
    <n v="42194545"/>
    <d v="2024-03-01T00:00:00"/>
    <n v="3"/>
    <n v="2024"/>
    <s v="ĐB Sông Cửu Long"/>
    <s v="Sở ban ngành"/>
    <x v="0"/>
    <s v="C"/>
    <n v="42.194544999999998"/>
  </r>
  <r>
    <s v="PTO"/>
    <s v="Trung Tâm Y Tế Huyện Thanh Sơn"/>
    <s v="DVKT"/>
    <n v="17869091"/>
    <d v="2024-03-01T00:00:00"/>
    <n v="3"/>
    <n v="2024"/>
    <s v="Đông Bắc Bộ"/>
    <s v="Sở ban ngành"/>
    <x v="1"/>
    <s v="C"/>
    <n v="17.869091000000001"/>
  </r>
  <r>
    <s v="PTO"/>
    <s v="Trung Tâm Y Tế Huyện Thanh Sơn"/>
    <s v="DVKT"/>
    <n v="23269091"/>
    <d v="2024-03-01T00:00:00"/>
    <n v="3"/>
    <n v="2024"/>
    <s v="Đông Bắc Bộ"/>
    <s v="Sở ban ngành"/>
    <x v="0"/>
    <s v="C"/>
    <n v="23.269091"/>
  </r>
  <r>
    <s v="HTH"/>
    <s v="UBND PHƯỜNG NGUYỄN DU"/>
    <s v="ME"/>
    <n v="123181818"/>
    <d v="2024-03-01T00:00:00"/>
    <n v="3"/>
    <n v="2024"/>
    <s v="Bắc Trung Bộ"/>
    <s v="Sở ban ngành"/>
    <x v="1"/>
    <s v="C"/>
    <n v="123.18181800000001"/>
  </r>
  <r>
    <s v="NAN"/>
    <s v="UBND XÃ DIỄN KIM"/>
    <s v="ICT"/>
    <n v="190852727"/>
    <d v="2024-03-01T00:00:00"/>
    <n v="3"/>
    <n v="2024"/>
    <s v="Bắc Trung Bộ"/>
    <s v="Sở ban ngành"/>
    <x v="0"/>
    <s v="B"/>
    <n v="190.85272699999999"/>
  </r>
  <r>
    <s v="THA"/>
    <s v="Ubnd Xã Ngọc Trạo"/>
    <s v="Smarthome"/>
    <n v="36233800"/>
    <d v="2024-03-01T00:00:00"/>
    <n v="3"/>
    <n v="2024"/>
    <s v="Bắc Trung Bộ"/>
    <s v="Sở ban ngành"/>
    <x v="1"/>
    <s v="U"/>
    <n v="36.233800000000002"/>
  </r>
  <r>
    <s v="THA"/>
    <s v="Ubnd Xã Thành Thọ"/>
    <s v="Smarthome"/>
    <n v="44023873"/>
    <d v="2024-03-01T00:00:00"/>
    <n v="3"/>
    <n v="2024"/>
    <s v="Bắc Trung Bộ"/>
    <s v="Sở ban ngành"/>
    <x v="0"/>
    <s v="U"/>
    <n v="44.023873000000002"/>
  </r>
  <r>
    <s v="THA"/>
    <s v="UBND XÃ THÀNH TIẾN"/>
    <s v="Smarthome"/>
    <n v="45436364"/>
    <d v="2024-03-01T00:00:00"/>
    <n v="3"/>
    <n v="2024"/>
    <s v="Bắc Trung Bộ"/>
    <s v="Sở ban ngành"/>
    <x v="1"/>
    <s v="U"/>
    <n v="45.436363999999998"/>
  </r>
  <r>
    <s v="AGG"/>
    <s v="UBND XÃ VĨNH BÌNH"/>
    <s v="ME"/>
    <n v="37600000"/>
    <d v="2024-03-01T00:00:00"/>
    <n v="3"/>
    <n v="2024"/>
    <s v="ĐB Sông Cửu Long"/>
    <s v="Sở ban ngành"/>
    <x v="0"/>
    <s v="C"/>
    <n v="37.6"/>
  </r>
  <r>
    <s v="THA"/>
    <s v="ỦY BAN MẶT TRẬN TỔ QUỐC VIỆT NAM XÃ MINH TIẾN"/>
    <s v="ICT"/>
    <n v="67163636"/>
    <d v="2024-03-01T00:00:00"/>
    <n v="3"/>
    <n v="2024"/>
    <s v="Bắc Trung Bộ"/>
    <s v="Sở ban ngành"/>
    <x v="1"/>
    <s v="B"/>
    <n v="67.163635999999997"/>
  </r>
  <r>
    <s v="BDH"/>
    <s v="ỦY BAN NHÂN DÂN PHƯỜNG BỒNG SƠN"/>
    <s v="ICT"/>
    <n v="287364545"/>
    <d v="2024-03-01T00:00:00"/>
    <n v="3"/>
    <n v="2024"/>
    <s v="Duyên hải Nam Trung Bộ"/>
    <s v="Sở ban ngành"/>
    <x v="0"/>
    <s v="B"/>
    <n v="287.36454500000002"/>
  </r>
  <r>
    <s v="DCN"/>
    <s v="UỶ BAN NHÂN DÂN XÃ ĐĂK SÔR"/>
    <s v="NLMT"/>
    <n v="162654545"/>
    <d v="2024-03-01T00:00:00"/>
    <n v="3"/>
    <n v="2024"/>
    <s v="Tây Nguyên"/>
    <s v="Sở ban ngành"/>
    <x v="1"/>
    <s v="K"/>
    <n v="162.65454500000001"/>
  </r>
  <r>
    <s v="PTO"/>
    <s v="Ủy Ban Nhân Dân Xã Kiệt Sơn"/>
    <s v="ICT"/>
    <n v="11499091"/>
    <d v="2024-03-01T00:00:00"/>
    <n v="3"/>
    <n v="2024"/>
    <s v="Đông Bắc Bộ"/>
    <s v="Sở ban ngành"/>
    <x v="0"/>
    <s v="B"/>
    <n v="11.499091"/>
  </r>
  <r>
    <s v="YBI"/>
    <s v="Ủy Ban Nhân Dân Xã Liễu Đô"/>
    <s v="DVKT"/>
    <n v="29036364"/>
    <d v="2024-03-01T00:00:00"/>
    <n v="3"/>
    <n v="2024"/>
    <s v="Tây Bắc Bộ"/>
    <s v="Sở ban ngành"/>
    <x v="1"/>
    <s v="B"/>
    <n v="29.036363999999999"/>
  </r>
  <r>
    <s v="HUE"/>
    <s v="HỌC VIỆN ÂM NHẠC HUẾ"/>
    <s v="DVKT"/>
    <n v="13454545"/>
    <d v="2024-03-01T00:00:00"/>
    <n v="3"/>
    <n v="2024"/>
    <s v="Bắc Trung Bộ"/>
    <s v="Trường học"/>
    <x v="0"/>
    <s v="C"/>
    <n v="13.454545"/>
  </r>
  <r>
    <s v="PTO"/>
    <s v="TRƯỜNG CAO ĐẲNG Y TẾ PHÚ THỌ"/>
    <s v="ICT"/>
    <n v="90802727"/>
    <d v="2024-03-01T00:00:00"/>
    <n v="3"/>
    <n v="2024"/>
    <s v="Đông Bắc Bộ"/>
    <s v="Trường học"/>
    <x v="1"/>
    <s v="A"/>
    <n v="90.802727000000004"/>
  </r>
  <r>
    <s v="NAN"/>
    <s v="TRƯỜNG MẦM NON ĐÔNG VĨNH"/>
    <s v="ICT"/>
    <n v="21792182"/>
    <d v="2024-03-01T00:00:00"/>
    <n v="3"/>
    <n v="2024"/>
    <s v="Bắc Trung Bộ"/>
    <s v="Trường học"/>
    <x v="0"/>
    <s v="A"/>
    <n v="21.792182"/>
  </r>
  <r>
    <s v="DTP"/>
    <s v="TRƯỜNG MẦM NON PHÚ CƯỜNG"/>
    <s v="DVKT"/>
    <n v="11500000"/>
    <d v="2024-03-01T00:00:00"/>
    <n v="3"/>
    <n v="2024"/>
    <s v="ĐB Sông Cửu Long"/>
    <s v="Trường học"/>
    <x v="1"/>
    <s v="M"/>
    <n v="11.5"/>
  </r>
  <r>
    <s v="LSN"/>
    <s v="TRƯỜNG MẦM NON XÃ SƠN HÀ"/>
    <s v="ICT"/>
    <n v="4468000"/>
    <d v="2024-03-01T00:00:00"/>
    <n v="3"/>
    <n v="2024"/>
    <s v="Đông Bắc Bộ"/>
    <s v="Trường học"/>
    <x v="0"/>
    <s v="A"/>
    <n v="4.468"/>
  </r>
  <r>
    <s v="HNI"/>
    <s v="Trường Thcs Mai Đình"/>
    <s v="ICT"/>
    <n v="371900000"/>
    <d v="2024-03-01T00:00:00"/>
    <n v="3"/>
    <n v="2024"/>
    <s v="ĐB Sông Hồng"/>
    <s v="Trường học"/>
    <x v="1"/>
    <s v="F"/>
    <n v="371.9"/>
  </r>
  <r>
    <s v="STG"/>
    <s v="TRƯỜNG THCS VÀ THPT TRẦN ĐỀ"/>
    <s v="ICT"/>
    <n v="26604400"/>
    <d v="2024-03-01T00:00:00"/>
    <n v="3"/>
    <n v="2024"/>
    <s v="ĐB Sông Cửu Long"/>
    <s v="Trường học"/>
    <x v="0"/>
    <s v="B"/>
    <n v="26.604399999999998"/>
  </r>
  <r>
    <s v="BTE"/>
    <s v="TRƯỜNG THPT NGUYỄN THỊ ĐỊNH"/>
    <s v="ICT"/>
    <n v="9090909"/>
    <d v="2024-03-01T00:00:00"/>
    <n v="3"/>
    <n v="2024"/>
    <s v="ĐB Sông Cửu Long"/>
    <s v="Trường học"/>
    <x v="1"/>
    <s v="A"/>
    <n v="9.0909089999999999"/>
  </r>
  <r>
    <s v="BTE"/>
    <s v="TRƯỜNG THPT PHAN LIÊM"/>
    <s v="ICT"/>
    <n v="36727273"/>
    <d v="2024-03-01T00:00:00"/>
    <n v="3"/>
    <n v="2024"/>
    <s v="ĐB Sông Cửu Long"/>
    <s v="Trường học"/>
    <x v="0"/>
    <s v="A"/>
    <n v="36.727272999999997"/>
  </r>
  <r>
    <s v="BTE"/>
    <s v="Trường THPT Phan Văn Trị"/>
    <s v="ICT"/>
    <n v="18181818"/>
    <d v="2024-03-01T00:00:00"/>
    <n v="3"/>
    <n v="2024"/>
    <s v="ĐB Sông Cửu Long"/>
    <s v="Trường học"/>
    <x v="1"/>
    <s v="A"/>
    <n v="18.181818"/>
  </r>
  <r>
    <s v="BTE"/>
    <s v="Trường THPT Phan Văn Trị"/>
    <s v="ICT"/>
    <n v="23627273"/>
    <d v="2024-03-01T00:00:00"/>
    <n v="3"/>
    <n v="2024"/>
    <s v="ĐB Sông Cửu Long"/>
    <s v="Trường học"/>
    <x v="0"/>
    <s v="A"/>
    <n v="23.627272999999999"/>
  </r>
  <r>
    <s v="KHA"/>
    <s v="TRƯỜNG THPT TRẦN QUÝ CÁP"/>
    <s v="ICT"/>
    <n v="9545455"/>
    <d v="2024-03-01T00:00:00"/>
    <n v="3"/>
    <n v="2024"/>
    <s v="Duyên hải Nam Trung Bộ"/>
    <s v="Trường học"/>
    <x v="1"/>
    <s v="A"/>
    <n v="9.5454550000000005"/>
  </r>
  <r>
    <s v="BTE"/>
    <s v="Trường Tiểu Học Bình Phú"/>
    <s v="ICT"/>
    <n v="7457500"/>
    <d v="2024-03-01T00:00:00"/>
    <n v="3"/>
    <n v="2024"/>
    <s v="ĐB Sông Cửu Long"/>
    <s v="Trường học"/>
    <x v="0"/>
    <s v="A"/>
    <n v="7.4574999999999996"/>
  </r>
  <r>
    <s v="BTE"/>
    <s v="Trường Tiểu Học Bình Phú"/>
    <s v="DVKT"/>
    <n v="7457500"/>
    <d v="2024-03-01T00:00:00"/>
    <n v="3"/>
    <n v="2024"/>
    <s v="ĐB Sông Cửu Long"/>
    <s v="Trường học"/>
    <x v="1"/>
    <s v="A"/>
    <n v="7.4574999999999996"/>
  </r>
  <r>
    <s v="BDH"/>
    <s v="TRƯỜNG TIỂU HỌC BÌNH TÂN"/>
    <s v="DVKT"/>
    <n v="17445455"/>
    <d v="2024-03-01T00:00:00"/>
    <n v="3"/>
    <n v="2024"/>
    <s v="Duyên hải Nam Trung Bộ"/>
    <s v="Trường học"/>
    <x v="0"/>
    <s v="A"/>
    <n v="17.445454999999999"/>
  </r>
  <r>
    <s v="PTO"/>
    <s v="Trường Tiểu Học Minh Tiến"/>
    <s v="ICT"/>
    <n v="20600000"/>
    <d v="2024-03-01T00:00:00"/>
    <n v="3"/>
    <n v="2024"/>
    <s v="Đông Bắc Bộ"/>
    <s v="Trường học"/>
    <x v="1"/>
    <s v="F"/>
    <n v="20.6"/>
  </r>
  <r>
    <s v="NBH"/>
    <s v="TRƯỜNG TIỂU HỌC THANH BÌNH"/>
    <s v="ICT"/>
    <n v="32181364"/>
    <d v="2024-03-01T00:00:00"/>
    <n v="3"/>
    <n v="2024"/>
    <s v="ĐB Sông Hồng"/>
    <s v="Trường học"/>
    <x v="0"/>
    <s v="A"/>
    <n v="32.181364000000002"/>
  </r>
  <r>
    <s v="NAN"/>
    <s v="TRƯỜNG TIỂU HỌC TRƯỜNG THI"/>
    <s v="ICT"/>
    <n v="52363636"/>
    <d v="2024-03-01T00:00:00"/>
    <n v="3"/>
    <n v="2024"/>
    <s v="Bắc Trung Bộ"/>
    <s v="Trường học"/>
    <x v="1"/>
    <s v="F"/>
    <n v="52.363636"/>
  </r>
  <r>
    <s v="GLI"/>
    <s v="TRƯỜNG TIỂU HỌC VÀ THCS SƠ PAI"/>
    <s v="ME"/>
    <n v="44231405"/>
    <d v="2024-03-01T00:00:00"/>
    <n v="3"/>
    <n v="2024"/>
    <s v="Tây Nguyên"/>
    <s v="Trường học"/>
    <x v="0"/>
    <s v="O"/>
    <n v="44.231405000000002"/>
  </r>
  <r>
    <s v="DTP"/>
    <s v="TRƯỜNG TRUNG HỌC CƠ SỞ LONG KHÁNH A"/>
    <s v="ICT"/>
    <n v="23790000"/>
    <d v="2024-03-01T00:00:00"/>
    <n v="3"/>
    <n v="2024"/>
    <s v="ĐB Sông Cửu Long"/>
    <s v="Trường học"/>
    <x v="1"/>
    <s v="A"/>
    <n v="23.79"/>
  </r>
  <r>
    <s v="DTP"/>
    <s v="TRƯỜNG TRUNG HỌC CƠ SỞ LONG KHÁNH A"/>
    <s v="DVKT"/>
    <n v="32727273"/>
    <d v="2024-03-01T00:00:00"/>
    <n v="3"/>
    <n v="2024"/>
    <s v="ĐB Sông Cửu Long"/>
    <s v="Trường học"/>
    <x v="0"/>
    <s v="Q"/>
    <n v="32.727272999999997"/>
  </r>
  <r>
    <s v="BGG"/>
    <s v="TRƯỜNG TRUNG HỌC CƠ SỞ QUẢNG MINH"/>
    <s v="ICT"/>
    <n v="40956800"/>
    <d v="2024-03-01T00:00:00"/>
    <n v="3"/>
    <n v="2024"/>
    <s v="Đông Bắc Bộ"/>
    <s v="Trường học"/>
    <x v="1"/>
    <s v="A"/>
    <n v="40.956800000000001"/>
  </r>
  <r>
    <s v="PTO"/>
    <s v="TRƯỜNG TRUNG HỌC CƠ SỞ TỨ MỸ"/>
    <s v="DVKT"/>
    <n v="20741518"/>
    <d v="2024-03-01T00:00:00"/>
    <n v="3"/>
    <n v="2024"/>
    <s v="Đông Bắc Bộ"/>
    <s v="Trường học"/>
    <x v="0"/>
    <s v="E"/>
    <n v="20.741517999999999"/>
  </r>
  <r>
    <s v="SLA"/>
    <s v="TRƯỜNG TRUNG HỌC PHỔ THÔNG TÂN LANG"/>
    <s v="ICT"/>
    <n v="42301000"/>
    <d v="2024-03-01T00:00:00"/>
    <n v="3"/>
    <n v="2024"/>
    <s v="Tây Bắc Bộ"/>
    <s v="Trường học"/>
    <x v="1"/>
    <s v="B"/>
    <n v="42.301000000000002"/>
  </r>
  <r>
    <s v="SLA"/>
    <s v="TRƯỜNG TRUNG HỌC PHỔ THÔNG YÊN CHÂU"/>
    <s v="ICT"/>
    <n v="43535091"/>
    <d v="2024-03-01T00:00:00"/>
    <n v="3"/>
    <n v="2024"/>
    <s v="Tây Bắc Bộ"/>
    <s v="Trường học"/>
    <x v="0"/>
    <s v="B"/>
    <n v="43.535091000000001"/>
  </r>
  <r>
    <s v="TBH"/>
    <s v="Công ty 4"/>
    <s v="ME"/>
    <n v="4539296000"/>
    <d v="2025-03-01T00:00:00"/>
    <n v="3"/>
    <n v="2025"/>
    <s v="ĐB Sông Hồng"/>
    <s v="Doanh nghiệp"/>
    <x v="1"/>
    <s v="E"/>
    <n v="4539.2960000000003"/>
  </r>
  <r>
    <s v="LSN"/>
    <s v="Công ty 30"/>
    <s v="DVKT"/>
    <n v="197714873"/>
    <d v="2025-03-01T00:00:00"/>
    <n v="3"/>
    <n v="2025"/>
    <s v="Đông Bắc Bộ"/>
    <s v="Doanh nghiệp"/>
    <x v="0"/>
    <s v="B"/>
    <n v="197.71487300000001"/>
  </r>
  <r>
    <s v="NAN"/>
    <s v="Công ty 36"/>
    <s v="DVKT"/>
    <n v="171229091"/>
    <d v="2025-03-01T00:00:00"/>
    <n v="3"/>
    <n v="2025"/>
    <s v="Bắc Trung Bộ"/>
    <s v="Doanh nghiệp"/>
    <x v="1"/>
    <s v="D"/>
    <n v="171.22909100000001"/>
  </r>
  <r>
    <s v="NTN"/>
    <s v="Công ty 12"/>
    <s v="ME"/>
    <n v="97218182"/>
    <d v="2025-03-01T00:00:00"/>
    <n v="3"/>
    <n v="2025"/>
    <s v="Duyên hải Nam Trung Bộ"/>
    <s v="Doanh nghiệp"/>
    <x v="0"/>
    <s v="L"/>
    <n v="97.218181999999999"/>
  </r>
  <r>
    <s v="DNG"/>
    <s v="Công ty 24"/>
    <s v="DVKT"/>
    <n v="3976364"/>
    <d v="2025-03-01T00:00:00"/>
    <n v="3"/>
    <n v="2025"/>
    <s v="Duyên hải Nam Trung Bộ"/>
    <s v="Doanh nghiệp"/>
    <x v="1"/>
    <s v="B"/>
    <n v="3.9763639999999998"/>
  </r>
  <r>
    <s v="LDG"/>
    <s v="Công ty 56"/>
    <s v="DVKT"/>
    <n v="35820000"/>
    <d v="2025-03-01T00:00:00"/>
    <n v="3"/>
    <n v="2025"/>
    <s v="Tây Nguyên"/>
    <s v="Doanh nghiệp"/>
    <x v="0"/>
    <s v="A"/>
    <n v="35.82"/>
  </r>
  <r>
    <s v="BDG"/>
    <s v="Công ty 71"/>
    <s v="ME"/>
    <n v="537334000"/>
    <d v="2025-03-01T00:00:00"/>
    <n v="3"/>
    <n v="2025"/>
    <s v="Đông Nam Bộ"/>
    <s v="Doanh nghiệp"/>
    <x v="1"/>
    <s v="E"/>
    <n v="537.33399999999995"/>
  </r>
  <r>
    <s v="TQG"/>
    <s v="Công ty 93"/>
    <s v="DVKT"/>
    <n v="405157273"/>
    <d v="2025-03-01T00:00:00"/>
    <n v="3"/>
    <n v="2025"/>
    <s v="Đông Bắc Bộ"/>
    <s v="Doanh nghiệp"/>
    <x v="0"/>
    <s v="C"/>
    <n v="405.15727299999998"/>
  </r>
  <r>
    <s v="THA"/>
    <s v="Công ty 12"/>
    <s v="ME"/>
    <n v="180872727"/>
    <d v="2025-03-01T00:00:00"/>
    <n v="3"/>
    <n v="2025"/>
    <s v="Bắc Trung Bộ"/>
    <s v="Doanh nghiệp"/>
    <x v="1"/>
    <s v="M"/>
    <n v="180.872727"/>
  </r>
  <r>
    <s v="CBG"/>
    <s v="Công ty 36"/>
    <s v="DVKT"/>
    <n v="50454545"/>
    <d v="2025-03-01T00:00:00"/>
    <n v="3"/>
    <n v="2025"/>
    <s v="Đông Bắc Bộ"/>
    <s v="Doanh nghiệp"/>
    <x v="0"/>
    <s v="O"/>
    <n v="50.454545000000003"/>
  </r>
  <r>
    <s v="QNH"/>
    <s v="Công ty 7"/>
    <s v="ME"/>
    <n v="106043636"/>
    <d v="2025-03-01T00:00:00"/>
    <n v="3"/>
    <n v="2025"/>
    <s v="Đông Bắc Bộ"/>
    <s v="Doanh nghiệp"/>
    <x v="1"/>
    <s v="C"/>
    <n v="106.04363600000001"/>
  </r>
  <r>
    <s v="HDG"/>
    <s v="Công ty 22"/>
    <s v="ICT"/>
    <n v="54309091"/>
    <d v="2025-03-01T00:00:00"/>
    <n v="3"/>
    <n v="2025"/>
    <s v="ĐB Sông Hồng"/>
    <s v="Doanh nghiệp"/>
    <x v="0"/>
    <s v="B"/>
    <n v="54.309091000000002"/>
  </r>
  <r>
    <s v="KTM"/>
    <s v="Công ty 26"/>
    <s v="ICT"/>
    <n v="38470000"/>
    <d v="2025-03-01T00:00:00"/>
    <n v="3"/>
    <n v="2025"/>
    <s v="Tây Nguyên"/>
    <s v="Doanh nghiệp"/>
    <x v="1"/>
    <s v="B"/>
    <n v="38.47"/>
  </r>
  <r>
    <s v="BGG"/>
    <s v="Công ty 75"/>
    <s v="NLMT"/>
    <n v="185354545"/>
    <d v="2025-03-01T00:00:00"/>
    <n v="3"/>
    <n v="2025"/>
    <s v="Đông Bắc Bộ"/>
    <s v="Doanh nghiệp"/>
    <x v="0"/>
    <s v="D"/>
    <n v="185.354545"/>
  </r>
  <r>
    <s v="GLI"/>
    <s v="Công ty 82"/>
    <s v="ICT"/>
    <n v="28650000"/>
    <d v="2025-03-01T00:00:00"/>
    <n v="3"/>
    <n v="2025"/>
    <s v="Tây Nguyên"/>
    <s v="Doanh nghiệp"/>
    <x v="1"/>
    <s v="F"/>
    <n v="28.65"/>
  </r>
  <r>
    <s v="GLI"/>
    <s v="Công ty 83"/>
    <s v="ICT"/>
    <n v="167802000"/>
    <d v="2025-03-01T00:00:00"/>
    <n v="3"/>
    <n v="2025"/>
    <s v="Tây Nguyên"/>
    <s v="Doanh nghiệp"/>
    <x v="0"/>
    <s v="B"/>
    <n v="167.80199999999999"/>
  </r>
  <r>
    <s v="TVH"/>
    <s v="Công ty 49"/>
    <s v="DVKT"/>
    <n v="9185455"/>
    <d v="2025-03-01T00:00:00"/>
    <n v="3"/>
    <n v="2025"/>
    <s v="ĐB Sông Cửu Long"/>
    <s v="Doanh nghiệp"/>
    <x v="1"/>
    <s v="C"/>
    <n v="9.1854549999999993"/>
  </r>
  <r>
    <s v="NTN"/>
    <s v="Công ty 51"/>
    <s v="NLMT"/>
    <n v="327272727"/>
    <d v="2025-03-01T00:00:00"/>
    <n v="3"/>
    <n v="2025"/>
    <s v="Duyên hải Nam Trung Bộ"/>
    <s v="Doanh nghiệp"/>
    <x v="0"/>
    <s v="D"/>
    <n v="327.27272699999997"/>
  </r>
  <r>
    <s v="TNH"/>
    <s v="Công ty 52"/>
    <s v="NLMT"/>
    <n v="548239291"/>
    <d v="2025-03-01T00:00:00"/>
    <n v="3"/>
    <n v="2025"/>
    <s v="Đông Nam Bộ"/>
    <s v="Doanh nghiệp"/>
    <x v="1"/>
    <s v="D"/>
    <n v="548.23929099999998"/>
  </r>
  <r>
    <s v="NAN"/>
    <s v="Công ty 61"/>
    <s v="NLMT"/>
    <n v="140726212"/>
    <d v="2025-03-01T00:00:00"/>
    <n v="3"/>
    <n v="2025"/>
    <s v="Bắc Trung Bộ"/>
    <s v="Doanh nghiệp"/>
    <x v="0"/>
    <s v="D"/>
    <n v="140.726212"/>
  </r>
  <r>
    <s v="HDG"/>
    <s v="Công ty 68"/>
    <s v="NLMT"/>
    <n v="324528305"/>
    <d v="2025-03-01T00:00:00"/>
    <n v="3"/>
    <n v="2025"/>
    <s v="ĐB Sông Hồng"/>
    <s v="Doanh nghiệp"/>
    <x v="1"/>
    <s v="D"/>
    <n v="324.52830499999999"/>
  </r>
  <r>
    <s v="NAN"/>
    <s v="Công ty 80"/>
    <s v="NLMT"/>
    <n v="1675937909"/>
    <d v="2025-03-01T00:00:00"/>
    <n v="3"/>
    <n v="2025"/>
    <s v="Bắc Trung Bộ"/>
    <s v="Doanh nghiệp"/>
    <x v="0"/>
    <s v="D"/>
    <n v="1675.937909"/>
  </r>
  <r>
    <s v="KGG"/>
    <s v="Công ty 68"/>
    <s v="DVKT"/>
    <n v="9272727"/>
    <d v="2025-03-01T00:00:00"/>
    <n v="3"/>
    <n v="2025"/>
    <s v="ĐB Sông Cửu Long"/>
    <s v="Doanh nghiệp"/>
    <x v="1"/>
    <s v="D"/>
    <n v="9.2727269999999997"/>
  </r>
  <r>
    <s v="KGG"/>
    <s v="Công ty 69"/>
    <s v="DVKT"/>
    <n v="17772727"/>
    <d v="2025-03-01T00:00:00"/>
    <n v="3"/>
    <n v="2025"/>
    <s v="ĐB Sông Cửu Long"/>
    <s v="Doanh nghiệp"/>
    <x v="0"/>
    <s v="D"/>
    <n v="17.772727"/>
  </r>
  <r>
    <s v="HDG"/>
    <s v="Công ty 99"/>
    <s v="ME"/>
    <n v="36869091"/>
    <d v="2025-03-01T00:00:00"/>
    <n v="3"/>
    <n v="2025"/>
    <s v="ĐB Sông Hồng"/>
    <s v="Doanh nghiệp"/>
    <x v="1"/>
    <s v="C"/>
    <n v="36.869090999999997"/>
  </r>
  <r>
    <s v="GLI"/>
    <s v="Công ty 6"/>
    <s v="NLMT"/>
    <n v="338132582"/>
    <d v="2025-03-01T00:00:00"/>
    <n v="3"/>
    <n v="2025"/>
    <s v="Tây Nguyên"/>
    <s v="Doanh nghiệp"/>
    <x v="0"/>
    <s v="D"/>
    <n v="338.13258200000001"/>
  </r>
  <r>
    <s v="HNI"/>
    <s v="Công ty 10"/>
    <s v="DVKT"/>
    <n v="173082764"/>
    <d v="2025-03-01T00:00:00"/>
    <n v="3"/>
    <n v="2025"/>
    <s v="ĐB Sông Hồng"/>
    <s v="Doanh nghiệp"/>
    <x v="1"/>
    <s v="O"/>
    <n v="173.082764"/>
  </r>
  <r>
    <s v="HNI"/>
    <s v="Công ty 11"/>
    <s v="DVKT"/>
    <n v="174486764"/>
    <d v="2025-03-01T00:00:00"/>
    <n v="3"/>
    <n v="2025"/>
    <s v="ĐB Sông Hồng"/>
    <s v="Doanh nghiệp"/>
    <x v="0"/>
    <s v="O"/>
    <n v="174.48676399999999"/>
  </r>
  <r>
    <s v="HNI"/>
    <s v="Công ty 28"/>
    <s v="DVKT"/>
    <n v="12174545"/>
    <d v="2025-03-01T00:00:00"/>
    <n v="3"/>
    <n v="2025"/>
    <s v="ĐB Sông Hồng"/>
    <s v="Doanh nghiệp"/>
    <x v="1"/>
    <s v="D"/>
    <n v="12.174545"/>
  </r>
  <r>
    <s v="NTN"/>
    <s v="Công ty 29"/>
    <s v="DVKT"/>
    <n v="4969155"/>
    <d v="2025-03-01T00:00:00"/>
    <n v="3"/>
    <n v="2025"/>
    <s v="Duyên hải Nam Trung Bộ"/>
    <s v="Doanh nghiệp"/>
    <x v="0"/>
    <s v="Q"/>
    <n v="4.9691549999999998"/>
  </r>
  <r>
    <s v="GLI"/>
    <s v="Công ty 61"/>
    <s v="ME"/>
    <n v="72181818"/>
    <d v="2025-03-01T00:00:00"/>
    <n v="3"/>
    <n v="2025"/>
    <s v="Tây Nguyên"/>
    <s v="Doanh nghiệp"/>
    <x v="1"/>
    <s v="M"/>
    <n v="72.181818000000007"/>
  </r>
  <r>
    <s v="QNM"/>
    <s v="Công ty 62"/>
    <s v="ME"/>
    <n v="679855166"/>
    <d v="2025-03-01T00:00:00"/>
    <n v="3"/>
    <n v="2025"/>
    <s v="Duyên hải Nam Trung Bộ"/>
    <s v="Doanh nghiệp"/>
    <x v="0"/>
    <s v="M"/>
    <n v="679.85516600000005"/>
  </r>
  <r>
    <s v="NTN"/>
    <s v="Công ty 71"/>
    <s v="NLMT"/>
    <n v="172727273"/>
    <d v="2025-03-01T00:00:00"/>
    <n v="3"/>
    <n v="2025"/>
    <s v="Duyên hải Nam Trung Bộ"/>
    <s v="Doanh nghiệp"/>
    <x v="1"/>
    <s v="D"/>
    <n v="172.727273"/>
  </r>
  <r>
    <s v="NAN"/>
    <s v="Công ty 86"/>
    <s v="ICT"/>
    <n v="44466507"/>
    <d v="2025-03-01T00:00:00"/>
    <n v="3"/>
    <n v="2025"/>
    <s v="Bắc Trung Bộ"/>
    <s v="Doanh nghiệp"/>
    <x v="0"/>
    <s v="F"/>
    <n v="44.466507"/>
  </r>
  <r>
    <s v="GLI"/>
    <s v="Công ty 99"/>
    <s v="NLMT"/>
    <n v="589440909"/>
    <d v="2025-03-01T00:00:00"/>
    <n v="3"/>
    <n v="2025"/>
    <s v="Tây Nguyên"/>
    <s v="Doanh nghiệp"/>
    <x v="1"/>
    <s v="D"/>
    <n v="589.44090900000003"/>
  </r>
  <r>
    <s v="TNH"/>
    <s v="Công ty 90"/>
    <s v="ME"/>
    <n v="612000000"/>
    <d v="2025-03-01T00:00:00"/>
    <n v="3"/>
    <n v="2025"/>
    <s v="Đông Nam Bộ"/>
    <s v="Doanh nghiệp"/>
    <x v="0"/>
    <s v="C"/>
    <n v="612"/>
  </r>
  <r>
    <s v="BPC"/>
    <s v="Công ty 94"/>
    <s v="DVKT"/>
    <n v="7272727"/>
    <d v="2025-03-01T00:00:00"/>
    <n v="3"/>
    <n v="2025"/>
    <s v="Đông Nam Bộ"/>
    <s v="Doanh nghiệp"/>
    <x v="1"/>
    <s v="D"/>
    <n v="7.2727269999999997"/>
  </r>
  <r>
    <s v="LAN"/>
    <s v="Công ty 4"/>
    <s v="ICT"/>
    <n v="11826445"/>
    <d v="2025-03-01T00:00:00"/>
    <n v="3"/>
    <n v="2025"/>
    <s v="ĐB Sông Cửu Long"/>
    <s v="Doanh nghiệp"/>
    <x v="0"/>
    <s v="B"/>
    <n v="11.826445"/>
  </r>
  <r>
    <s v="KTM"/>
    <s v="Công ty 80"/>
    <s v="NLMT"/>
    <n v="222727273"/>
    <d v="2025-03-01T00:00:00"/>
    <n v="3"/>
    <n v="2025"/>
    <s v="Tây Nguyên"/>
    <s v="Doanh nghiệp"/>
    <x v="1"/>
    <s v="D"/>
    <n v="222.727273"/>
  </r>
  <r>
    <s v="VTU"/>
    <s v="Công ty 12"/>
    <s v="ICT"/>
    <n v="461414487"/>
    <d v="2025-03-01T00:00:00"/>
    <n v="3"/>
    <n v="2025"/>
    <s v="Đông Nam Bộ"/>
    <s v="Doanh nghiệp"/>
    <x v="0"/>
    <s v="A"/>
    <n v="461.41448700000001"/>
  </r>
  <r>
    <s v="BTN"/>
    <s v="Công ty 17"/>
    <s v="ICT"/>
    <n v="677214800"/>
    <d v="2025-03-01T00:00:00"/>
    <n v="3"/>
    <n v="2025"/>
    <s v="Duyên hải Nam Trung Bộ"/>
    <s v="Doanh nghiệp"/>
    <x v="1"/>
    <s v="F"/>
    <n v="677.21479999999997"/>
  </r>
  <r>
    <s v="NAN"/>
    <s v="Công ty 49"/>
    <s v="NLMT"/>
    <n v="64238182"/>
    <d v="2025-03-01T00:00:00"/>
    <n v="3"/>
    <n v="2025"/>
    <s v="Bắc Trung Bộ"/>
    <s v="Doanh nghiệp"/>
    <x v="0"/>
    <s v="D"/>
    <n v="64.238181999999995"/>
  </r>
  <r>
    <s v="BPC"/>
    <s v="Công ty 98"/>
    <s v="ICT"/>
    <n v="88534818"/>
    <d v="2025-03-01T00:00:00"/>
    <n v="3"/>
    <n v="2025"/>
    <s v="Đông Nam Bộ"/>
    <s v="Doanh nghiệp"/>
    <x v="1"/>
    <s v="A"/>
    <n v="88.534818000000001"/>
  </r>
  <r>
    <s v="SLA"/>
    <s v="Công ty 8"/>
    <s v="ME"/>
    <n v="102863636"/>
    <d v="2025-03-01T00:00:00"/>
    <n v="3"/>
    <n v="2025"/>
    <s v="Tây Bắc Bộ"/>
    <s v="Doanh nghiệp"/>
    <x v="0"/>
    <s v="H"/>
    <n v="102.863636"/>
  </r>
  <r>
    <s v="NAN"/>
    <s v="Công ty 88"/>
    <s v="DVKT"/>
    <n v="694196475"/>
    <d v="2025-03-01T00:00:00"/>
    <n v="3"/>
    <n v="2025"/>
    <s v="Bắc Trung Bộ"/>
    <s v="Doanh nghiệp"/>
    <x v="1"/>
    <s v="A"/>
    <n v="694.19647499999996"/>
  </r>
  <r>
    <s v="NAN"/>
    <s v="Công ty 90"/>
    <s v="NLMT"/>
    <n v="38730000"/>
    <d v="2025-03-01T00:00:00"/>
    <n v="3"/>
    <n v="2025"/>
    <s v="Bắc Trung Bộ"/>
    <s v="Doanh nghiệp"/>
    <x v="0"/>
    <s v="D"/>
    <n v="38.729999999999997"/>
  </r>
  <r>
    <s v="BTN"/>
    <s v="Công ty 92"/>
    <s v="ICT"/>
    <n v="215397273"/>
    <d v="2025-03-01T00:00:00"/>
    <n v="3"/>
    <n v="2025"/>
    <s v="Duyên hải Nam Trung Bộ"/>
    <s v="Doanh nghiệp"/>
    <x v="1"/>
    <s v="B"/>
    <n v="215.39727300000001"/>
  </r>
  <r>
    <s v="NTN"/>
    <s v="Công ty 97"/>
    <s v="NLMT"/>
    <n v="118181818"/>
    <d v="2025-03-01T00:00:00"/>
    <n v="3"/>
    <n v="2025"/>
    <s v="Duyên hải Nam Trung Bộ"/>
    <s v="Doanh nghiệp"/>
    <x v="0"/>
    <s v="D"/>
    <n v="118.18181800000001"/>
  </r>
  <r>
    <s v="HNI"/>
    <s v="Công ty 99"/>
    <s v="ICT"/>
    <n v="107862370"/>
    <d v="2025-03-01T00:00:00"/>
    <n v="3"/>
    <n v="2025"/>
    <s v="ĐB Sông Hồng"/>
    <s v="Doanh nghiệp"/>
    <x v="1"/>
    <s v="B"/>
    <n v="107.86237"/>
  </r>
  <r>
    <s v="KGG"/>
    <s v="Công ty 92"/>
    <s v="NLMT"/>
    <n v="213636364"/>
    <d v="2025-03-01T00:00:00"/>
    <n v="3"/>
    <n v="2025"/>
    <s v="ĐB Sông Cửu Long"/>
    <s v="Doanh nghiệp"/>
    <x v="0"/>
    <s v="D"/>
    <n v="213.63636399999999"/>
  </r>
  <r>
    <s v="KGG"/>
    <s v="Công ty 83"/>
    <s v="NLMT"/>
    <n v="56818182"/>
    <d v="2025-03-01T00:00:00"/>
    <n v="3"/>
    <n v="2025"/>
    <s v="ĐB Sông Cửu Long"/>
    <s v="Doanh nghiệp"/>
    <x v="1"/>
    <s v="D"/>
    <n v="56.818182"/>
  </r>
  <r>
    <s v="TNH"/>
    <s v="Công ty 89"/>
    <s v="DVKT"/>
    <n v="38522834"/>
    <d v="2025-03-01T00:00:00"/>
    <n v="3"/>
    <n v="2025"/>
    <s v="Đông Nam Bộ"/>
    <s v="Doanh nghiệp"/>
    <x v="0"/>
    <s v="O"/>
    <n v="38.522834000000003"/>
  </r>
  <r>
    <s v="SLA"/>
    <s v="Công ty 91"/>
    <s v="Smarthome"/>
    <n v="103454545"/>
    <d v="2025-03-01T00:00:00"/>
    <n v="3"/>
    <n v="2025"/>
    <s v="Tây Bắc Bộ"/>
    <s v="Doanh nghiệp"/>
    <x v="1"/>
    <s v="H"/>
    <n v="103.454545"/>
  </r>
  <r>
    <s v="CTO"/>
    <s v="Công ty 92"/>
    <s v="ICT"/>
    <n v="164340909"/>
    <d v="2025-03-01T00:00:00"/>
    <n v="3"/>
    <n v="2025"/>
    <s v="ĐB Sông Cửu Long"/>
    <s v="Doanh nghiệp"/>
    <x v="0"/>
    <s v="T"/>
    <n v="164.34090900000001"/>
  </r>
  <r>
    <s v="HNI"/>
    <s v="Công ty 98"/>
    <s v="ICT"/>
    <n v="204600000"/>
    <d v="2025-03-01T00:00:00"/>
    <n v="3"/>
    <n v="2025"/>
    <s v="ĐB Sông Hồng"/>
    <s v="Doanh nghiệp"/>
    <x v="1"/>
    <s v="F"/>
    <n v="204.6"/>
  </r>
  <r>
    <s v="HDG"/>
    <s v="Công ty 98"/>
    <s v="NLMT"/>
    <n v="58672727"/>
    <d v="2025-03-01T00:00:00"/>
    <n v="3"/>
    <n v="2025"/>
    <s v="ĐB Sông Hồng"/>
    <s v="Doanh nghiệp"/>
    <x v="0"/>
    <s v="D"/>
    <n v="58.672727000000002"/>
  </r>
  <r>
    <s v="BDG"/>
    <s v="Doanh nghiệp 10"/>
    <s v="ME"/>
    <n v="92016000"/>
    <d v="2025-03-01T00:00:00"/>
    <n v="3"/>
    <n v="2025"/>
    <s v="Đông Nam Bộ"/>
    <s v="Doanh nghiệp"/>
    <x v="1"/>
    <s v="C"/>
    <n v="92.016000000000005"/>
  </r>
  <r>
    <s v="CMU"/>
    <s v="Doanh nghiệp 29"/>
    <s v="ME"/>
    <n v="26638909"/>
    <d v="2025-03-01T00:00:00"/>
    <n v="3"/>
    <n v="2025"/>
    <s v="ĐB Sông Cửu Long"/>
    <s v="Doanh nghiệp"/>
    <x v="0"/>
    <s v="C"/>
    <n v="26.638909000000002"/>
  </r>
  <r>
    <s v="HNI"/>
    <s v="Doanh nghiệp 30"/>
    <s v="DVKT"/>
    <n v="181783636"/>
    <d v="2025-03-01T00:00:00"/>
    <n v="3"/>
    <n v="2025"/>
    <s v="ĐB Sông Hồng"/>
    <s v="Doanh nghiệp"/>
    <x v="1"/>
    <s v="O"/>
    <n v="181.783636"/>
  </r>
  <r>
    <s v="HNI"/>
    <s v="Doanh nghiệp 31"/>
    <s v="DVKT"/>
    <n v="44819018"/>
    <d v="2025-03-01T00:00:00"/>
    <n v="3"/>
    <n v="2025"/>
    <s v="ĐB Sông Hồng"/>
    <s v="Doanh nghiệp"/>
    <x v="0"/>
    <s v="O"/>
    <n v="44.819018"/>
  </r>
  <r>
    <s v="HYN"/>
    <s v="Doanh nghiệp 18"/>
    <s v="Smarthome"/>
    <n v="146300967"/>
    <d v="2025-03-01T00:00:00"/>
    <n v="3"/>
    <n v="2025"/>
    <s v="ĐB Sông Hồng"/>
    <s v="Doanh nghiệp"/>
    <x v="1"/>
    <s v="H"/>
    <n v="146.30096700000001"/>
  </r>
  <r>
    <s v="CTO"/>
    <s v="Doanh nghiệp 27"/>
    <s v="ICT"/>
    <n v="49446273"/>
    <d v="2025-03-01T00:00:00"/>
    <n v="3"/>
    <n v="2025"/>
    <s v="ĐB Sông Cửu Long"/>
    <s v="Doanh nghiệp"/>
    <x v="0"/>
    <s v="A"/>
    <n v="49.446272999999998"/>
  </r>
  <r>
    <s v="KGG"/>
    <s v="Tập đoàn 21"/>
    <s v="ME"/>
    <n v="7818182"/>
    <d v="2025-03-01T00:00:00"/>
    <n v="3"/>
    <n v="2025"/>
    <s v="ĐB Sông Cửu Long"/>
    <s v="Doanh nghiệp"/>
    <x v="1"/>
    <s v="C"/>
    <n v="7.8181820000000002"/>
  </r>
  <r>
    <s v="NAN"/>
    <s v="Tập đoàn 79"/>
    <s v="DVKT"/>
    <n v="19440000"/>
    <d v="2025-03-01T00:00:00"/>
    <n v="3"/>
    <n v="2025"/>
    <s v="Bắc Trung Bộ"/>
    <s v="Doanh nghiệp"/>
    <x v="0"/>
    <s v="O"/>
    <n v="19.440000000000001"/>
  </r>
  <r>
    <s v="YBI"/>
    <s v="Tập đoàn 91"/>
    <s v="NLMT"/>
    <n v="90909091"/>
    <d v="2025-03-01T00:00:00"/>
    <n v="3"/>
    <n v="2025"/>
    <s v="Tây Bắc Bộ"/>
    <s v="Doanh nghiệp"/>
    <x v="1"/>
    <s v="K"/>
    <n v="90.909091000000004"/>
  </r>
  <r>
    <s v="BKN"/>
    <s v="Tập đoàn 93"/>
    <s v="NLMT"/>
    <n v="11345455"/>
    <d v="2025-03-01T00:00:00"/>
    <n v="3"/>
    <n v="2025"/>
    <s v="Đông Bắc Bộ"/>
    <s v="Doanh nghiệp"/>
    <x v="0"/>
    <s v="K"/>
    <n v="11.345454999999999"/>
  </r>
  <r>
    <s v="THA"/>
    <s v="CÔNG AN TỈNH THANH HOÁ"/>
    <s v="ICT"/>
    <n v="204519091"/>
    <d v="2025-03-01T00:00:00"/>
    <n v="3"/>
    <n v="2025"/>
    <s v="Bắc Trung Bộ"/>
    <s v="Sở ban ngành"/>
    <x v="1"/>
    <s v="F"/>
    <n v="204.519091"/>
  </r>
  <r>
    <s v="TNN"/>
    <s v="Đoàn Thanh Niên Xã Nam Hòa"/>
    <s v="NLMT"/>
    <n v="22727273"/>
    <d v="2025-03-01T00:00:00"/>
    <n v="3"/>
    <n v="2025"/>
    <s v="Đông Bắc Bộ"/>
    <s v="Sở ban ngành"/>
    <x v="0"/>
    <s v="K"/>
    <n v="22.727273"/>
  </r>
  <r>
    <s v="BKN"/>
    <s v="ĐOÀN TNCS HỒ CHÍ MINH TỈNH BẮC KẠN"/>
    <s v="NLMT"/>
    <n v="40227273"/>
    <d v="2025-03-01T00:00:00"/>
    <n v="3"/>
    <n v="2025"/>
    <s v="Đông Bắc Bộ"/>
    <s v="Sở ban ngành"/>
    <x v="1"/>
    <s v="K"/>
    <n v="40.227272999999997"/>
  </r>
  <r>
    <s v="BKN"/>
    <s v="ĐOÀN TNCS HỒ CHÍ MINH TỈNH BẮC KẠN"/>
    <s v="NLMT"/>
    <n v="40227273"/>
    <d v="2025-03-01T00:00:00"/>
    <n v="3"/>
    <n v="2025"/>
    <s v="Đông Bắc Bộ"/>
    <s v="Sở ban ngành"/>
    <x v="0"/>
    <s v="K"/>
    <n v="40.227272999999997"/>
  </r>
  <r>
    <s v="LSN"/>
    <s v="Ngân hàng chính sách xã hội tỉnh Lạng Sơn"/>
    <s v="ICT"/>
    <n v="1928000"/>
    <d v="2025-03-01T00:00:00"/>
    <n v="3"/>
    <n v="2025"/>
    <s v="Đông Bắc Bộ"/>
    <s v="Ngân hàng"/>
    <x v="1"/>
    <s v="B"/>
    <n v="1.9279999999999999"/>
  </r>
  <r>
    <s v="LSN"/>
    <s v="Phòng Giao Dịch Ngân Hàng Chính Sách Xã Hội Huyện Đình Lập"/>
    <s v="ICT"/>
    <n v="3856000"/>
    <d v="2025-03-01T00:00:00"/>
    <n v="3"/>
    <n v="2025"/>
    <s v="Đông Bắc Bộ"/>
    <s v="Ngân hàng"/>
    <x v="0"/>
    <s v="B"/>
    <n v="3.8559999999999999"/>
  </r>
  <r>
    <s v="VTU"/>
    <s v="Quân Khu7"/>
    <s v="ICT"/>
    <n v="428063636"/>
    <d v="2025-03-01T00:00:00"/>
    <n v="3"/>
    <n v="2025"/>
    <s v="Đông Nam Bộ"/>
    <s v="Sở ban ngành"/>
    <x v="1"/>
    <s v="A"/>
    <n v="428.06363599999997"/>
  </r>
  <r>
    <s v="BGG"/>
    <s v="Trung Tâm Giáo Dục Nghề Nghiệp- Giáo Dục Thường Xuyên Huyện Tân Yên"/>
    <s v="ICT"/>
    <n v="44650000"/>
    <d v="2025-03-01T00:00:00"/>
    <n v="3"/>
    <n v="2025"/>
    <s v="Đông Bắc Bộ"/>
    <s v="Sở ban ngành"/>
    <x v="0"/>
    <s v="A"/>
    <n v="44.65"/>
  </r>
  <r>
    <s v="CBG"/>
    <s v="Trung Tâm Văn Hoá Và Truyền Thông Huyện Nguyên Bình"/>
    <s v="ICT"/>
    <n v="263163636"/>
    <d v="2025-03-01T00:00:00"/>
    <n v="3"/>
    <n v="2025"/>
    <s v="Đông Bắc Bộ"/>
    <s v="Sở ban ngành"/>
    <x v="1"/>
    <s v="F"/>
    <n v="263.163636"/>
  </r>
  <r>
    <s v="CBG"/>
    <s v="UBND THỊ TRẤN BẢO LẠC"/>
    <s v="Smarthome"/>
    <n v="35181818"/>
    <d v="2025-03-01T00:00:00"/>
    <n v="3"/>
    <n v="2025"/>
    <s v="Đông Bắc Bộ"/>
    <s v="Sở ban ngành"/>
    <x v="0"/>
    <s v="H"/>
    <n v="35.181818"/>
  </r>
  <r>
    <s v="NAN"/>
    <s v="Ubnd Thị Trấn Tân Lạc"/>
    <s v="Smarthome"/>
    <n v="45445455"/>
    <d v="2025-03-01T00:00:00"/>
    <n v="3"/>
    <n v="2025"/>
    <s v="Bắc Trung Bộ"/>
    <s v="Sở ban ngành"/>
    <x v="1"/>
    <s v="H"/>
    <n v="45.445455000000003"/>
  </r>
  <r>
    <s v="CBG"/>
    <s v="UBND xã Bảo Toàn"/>
    <s v="ICT"/>
    <n v="5581818"/>
    <d v="2025-03-01T00:00:00"/>
    <n v="3"/>
    <n v="2025"/>
    <s v="Đông Bắc Bộ"/>
    <s v="Sở ban ngành"/>
    <x v="0"/>
    <s v="F"/>
    <n v="5.5818180000000002"/>
  </r>
  <r>
    <s v="NAN"/>
    <s v="Ubnd Xã Châu Bính"/>
    <s v="Smarthome"/>
    <n v="45445455"/>
    <d v="2025-03-01T00:00:00"/>
    <n v="3"/>
    <n v="2025"/>
    <s v="Bắc Trung Bộ"/>
    <s v="Sở ban ngành"/>
    <x v="1"/>
    <s v="H"/>
    <n v="45.445455000000003"/>
  </r>
  <r>
    <s v="NAN"/>
    <s v="Ubnd Xã Châu Bình"/>
    <s v="ME"/>
    <n v="45445455"/>
    <d v="2025-03-01T00:00:00"/>
    <n v="3"/>
    <n v="2025"/>
    <s v="Bắc Trung Bộ"/>
    <s v="Sở ban ngành"/>
    <x v="0"/>
    <s v="L"/>
    <n v="45.445455000000003"/>
  </r>
  <r>
    <s v="CBG"/>
    <s v="UBND XÃ CÔ BA"/>
    <s v="ICT"/>
    <n v="18990909"/>
    <d v="2025-03-01T00:00:00"/>
    <n v="3"/>
    <n v="2025"/>
    <s v="Đông Bắc Bộ"/>
    <s v="Sở ban ngành"/>
    <x v="1"/>
    <s v="F"/>
    <n v="18.990908999999998"/>
  </r>
  <r>
    <s v="CBG"/>
    <s v="UBND XÃ CỐC PÀNG"/>
    <s v="ICT"/>
    <n v="6574545"/>
    <d v="2025-03-01T00:00:00"/>
    <n v="3"/>
    <n v="2025"/>
    <s v="Đông Bắc Bộ"/>
    <s v="Sở ban ngành"/>
    <x v="0"/>
    <s v="F"/>
    <n v="6.5745449999999996"/>
  </r>
  <r>
    <s v="CBG"/>
    <s v="UBND XÃ CỐC PÀNG"/>
    <s v="ICT"/>
    <n v="42331818"/>
    <d v="2025-03-01T00:00:00"/>
    <n v="3"/>
    <n v="2025"/>
    <s v="Đông Bắc Bộ"/>
    <s v="Sở ban ngành"/>
    <x v="1"/>
    <s v="F"/>
    <n v="42.331817999999998"/>
  </r>
  <r>
    <s v="TQG"/>
    <s v="Ubnd Xã Đồng Quý"/>
    <s v="NLMT"/>
    <n v="90872727"/>
    <d v="2025-03-01T00:00:00"/>
    <n v="3"/>
    <n v="2025"/>
    <s v="Đông Bắc Bộ"/>
    <s v="Sở ban ngành"/>
    <x v="0"/>
    <s v="K"/>
    <n v="90.872726999999998"/>
  </r>
  <r>
    <s v="CBG"/>
    <s v="Ubnd Xã Đức Quang"/>
    <s v="NLMT"/>
    <n v="22727273"/>
    <d v="2025-03-01T00:00:00"/>
    <n v="3"/>
    <n v="2025"/>
    <s v="Đông Bắc Bộ"/>
    <s v="Sở ban ngành"/>
    <x v="1"/>
    <s v="K"/>
    <n v="22.727273"/>
  </r>
  <r>
    <s v="CBG"/>
    <s v="UBND XÃ HƯNG ĐẠO"/>
    <s v="ICT"/>
    <n v="11818182"/>
    <d v="2025-03-01T00:00:00"/>
    <n v="3"/>
    <n v="2025"/>
    <s v="Đông Bắc Bộ"/>
    <s v="Sở ban ngành"/>
    <x v="0"/>
    <s v="F"/>
    <n v="11.818182"/>
  </r>
  <r>
    <s v="CBG"/>
    <s v="UBND XÃ HƯNG ĐẠO"/>
    <s v="ICT"/>
    <n v="37145455"/>
    <d v="2025-03-01T00:00:00"/>
    <n v="3"/>
    <n v="2025"/>
    <s v="Đông Bắc Bộ"/>
    <s v="Sở ban ngành"/>
    <x v="1"/>
    <s v="F"/>
    <n v="37.145454999999998"/>
  </r>
  <r>
    <s v="CBG"/>
    <s v="UBND XÃ PHAN THANH"/>
    <s v="ICT"/>
    <n v="13354545"/>
    <d v="2025-03-01T00:00:00"/>
    <n v="3"/>
    <n v="2025"/>
    <s v="Đông Bắc Bộ"/>
    <s v="Sở ban ngành"/>
    <x v="0"/>
    <s v="F"/>
    <n v="13.354545"/>
  </r>
  <r>
    <s v="TQG"/>
    <s v="Ubnd Xã Quyết Thắng"/>
    <s v="NLMT"/>
    <n v="90872727"/>
    <d v="2025-03-01T00:00:00"/>
    <n v="3"/>
    <n v="2025"/>
    <s v="Đông Bắc Bộ"/>
    <s v="Sở ban ngành"/>
    <x v="1"/>
    <s v="K"/>
    <n v="90.872726999999998"/>
  </r>
  <r>
    <s v="CBG"/>
    <s v="UBND xã Sơn Lộ"/>
    <s v="ICT"/>
    <n v="6574545"/>
    <d v="2025-03-01T00:00:00"/>
    <n v="3"/>
    <n v="2025"/>
    <s v="Đông Bắc Bộ"/>
    <s v="Sở ban ngành"/>
    <x v="0"/>
    <s v="F"/>
    <n v="6.5745449999999996"/>
  </r>
  <r>
    <s v="CBG"/>
    <s v="Ủy Ban Nhân Dân Xã Chí Thảo"/>
    <s v="NLMT"/>
    <n v="22727273"/>
    <d v="2025-03-01T00:00:00"/>
    <n v="3"/>
    <n v="2025"/>
    <s v="Đông Bắc Bộ"/>
    <s v="Sở ban ngành"/>
    <x v="1"/>
    <s v="K"/>
    <n v="22.727273"/>
  </r>
  <r>
    <s v="CBG"/>
    <s v="Ủy Ban Nhân Dân Xã Đình Phùng"/>
    <s v="ICT"/>
    <n v="40063636"/>
    <d v="2025-03-01T00:00:00"/>
    <n v="3"/>
    <n v="2025"/>
    <s v="Đông Bắc Bộ"/>
    <s v="Sở ban ngành"/>
    <x v="0"/>
    <s v="F"/>
    <n v="40.063636000000002"/>
  </r>
  <r>
    <s v="CBG"/>
    <s v="Ủy Ban Nhân Dân Xã Đình Phùng"/>
    <s v="ICT"/>
    <n v="26909091"/>
    <d v="2025-03-01T00:00:00"/>
    <n v="3"/>
    <n v="2025"/>
    <s v="Đông Bắc Bộ"/>
    <s v="Sở ban ngành"/>
    <x v="1"/>
    <s v="F"/>
    <n v="26.909091"/>
  </r>
  <r>
    <s v="CBG"/>
    <s v="Ủy Ban Nhân Dân Xã Hạnh Phúc"/>
    <s v="NLMT"/>
    <n v="22727273"/>
    <d v="2025-03-01T00:00:00"/>
    <n v="3"/>
    <n v="2025"/>
    <s v="Đông Bắc Bộ"/>
    <s v="Sở ban ngành"/>
    <x v="0"/>
    <s v="K"/>
    <n v="22.727273"/>
  </r>
  <r>
    <s v="TQG"/>
    <s v="ỦY BAN NHÂN DÂN XÃ LANG QUÁN"/>
    <s v="NLMT"/>
    <n v="223309091"/>
    <d v="2025-03-01T00:00:00"/>
    <n v="3"/>
    <n v="2025"/>
    <s v="Đông Bắc Bộ"/>
    <s v="Sở ban ngành"/>
    <x v="1"/>
    <s v="K"/>
    <n v="223.309091"/>
  </r>
  <r>
    <s v="CBG"/>
    <s v="Ủy Ban Nhân Dân Xã Ngọc Động"/>
    <s v="NLMT"/>
    <n v="12000000"/>
    <d v="2025-03-01T00:00:00"/>
    <n v="3"/>
    <n v="2025"/>
    <s v="Đông Bắc Bộ"/>
    <s v="Sở ban ngành"/>
    <x v="0"/>
    <s v="K"/>
    <n v="12"/>
  </r>
  <r>
    <s v="TQG"/>
    <s v="Ủy Ban Nhân Dân Xã Tân Thanh"/>
    <s v="NLMT"/>
    <n v="90872727"/>
    <d v="2025-03-01T00:00:00"/>
    <n v="3"/>
    <n v="2025"/>
    <s v="Đông Bắc Bộ"/>
    <s v="Sở ban ngành"/>
    <x v="1"/>
    <s v="K"/>
    <n v="90.872726999999998"/>
  </r>
  <r>
    <s v="LCU"/>
    <s v="ỦY BAN NHÂN DÂN XÃ TRUNG ĐỒNG"/>
    <s v="NLMT"/>
    <n v="176681818"/>
    <d v="2025-03-01T00:00:00"/>
    <n v="3"/>
    <n v="2025"/>
    <s v="Tây Bắc Bộ"/>
    <s v="Sở ban ngành"/>
    <x v="0"/>
    <s v="K"/>
    <n v="176.68181799999999"/>
  </r>
  <r>
    <s v="TQG"/>
    <s v="Ủy Ban Nhân Dân Xã Trường Sinh"/>
    <s v="NLMT"/>
    <n v="90872727"/>
    <d v="2025-03-01T00:00:00"/>
    <n v="3"/>
    <n v="2025"/>
    <s v="Đông Bắc Bộ"/>
    <s v="Trường học"/>
    <x v="1"/>
    <s v="K"/>
    <n v="90.872726999999998"/>
  </r>
  <r>
    <s v="CBG"/>
    <s v="Ủy Ban Nhân Dân Xã Xuân Trường"/>
    <s v="ICT"/>
    <n v="11288182"/>
    <d v="2025-03-01T00:00:00"/>
    <n v="3"/>
    <n v="2025"/>
    <s v="Đông Bắc Bộ"/>
    <s v="Trường học"/>
    <x v="0"/>
    <s v="F"/>
    <n v="11.288182000000001"/>
  </r>
  <r>
    <s v="GLI"/>
    <s v="Trung Tâm Giáo Dục Môi Trường Và Dịch Vụ Môi Trường Rừng"/>
    <s v="ICT"/>
    <n v="337172727"/>
    <d v="2025-03-01T00:00:00"/>
    <n v="3"/>
    <n v="2025"/>
    <s v="Tây Nguyên"/>
    <s v="Trường học"/>
    <x v="1"/>
    <s v="F"/>
    <n v="337.17272700000001"/>
  </r>
  <r>
    <s v="BGG"/>
    <s v="TRƯỜNG TIỂU HỌC QUANG MINH"/>
    <s v="ICT"/>
    <n v="32950000"/>
    <d v="2025-03-01T00:00:00"/>
    <n v="3"/>
    <n v="2025"/>
    <s v="Đông Bắc Bộ"/>
    <s v="Trường học"/>
    <x v="0"/>
    <s v="A"/>
    <n v="32.950000000000003"/>
  </r>
  <r>
    <s v="DNG"/>
    <s v="TRƯỜNG TIỂU HỌC, TRUNG HỌC CƠ SỞ VÀ TRUNG HỌC PHỔ THÔNG ANH QUỐC"/>
    <s v="DVKT"/>
    <n v="27172727"/>
    <d v="2025-03-01T00:00:00"/>
    <n v="3"/>
    <n v="2025"/>
    <s v="Duyên hải Nam Trung Bộ"/>
    <s v="Trường học"/>
    <x v="1"/>
    <s v="C"/>
    <n v="27.172726999999998"/>
  </r>
  <r>
    <s v="DNG"/>
    <s v="BỆNH VIỆN ĐÀ NẴNG"/>
    <s v="ME"/>
    <n v="117205182"/>
    <d v="2024-04-01T00:00:00"/>
    <n v="4"/>
    <n v="2024"/>
    <s v="Duyên hải Nam Trung Bộ"/>
    <s v="Bệnh viện"/>
    <x v="0"/>
    <s v="E"/>
    <n v="117.20518199999999"/>
  </r>
  <r>
    <s v="DTP"/>
    <s v="Bệnh Viện Y Học Cổ Truyền Đồng Tháp"/>
    <s v="DVKT"/>
    <n v="17454545"/>
    <d v="2024-04-01T00:00:00"/>
    <n v="4"/>
    <n v="2024"/>
    <s v="ĐB Sông Cửu Long"/>
    <s v="Bệnh viện"/>
    <x v="1"/>
    <s v="C"/>
    <n v="17.454545"/>
  </r>
  <r>
    <s v="NAN"/>
    <s v="Bệnh Viện Y Học Cổ Truyền Nghệ An"/>
    <s v="ME"/>
    <n v="44090909"/>
    <d v="2024-04-01T00:00:00"/>
    <n v="4"/>
    <n v="2024"/>
    <s v="Bắc Trung Bộ"/>
    <s v="Bệnh viện"/>
    <x v="0"/>
    <s v="C"/>
    <n v="44.090909000000003"/>
  </r>
  <r>
    <s v="NAN"/>
    <s v="Bệnh Viện Y Học Cổ Truyền Nghệ An"/>
    <s v="DVKT"/>
    <n v="44090909"/>
    <d v="2024-04-01T00:00:00"/>
    <n v="4"/>
    <n v="2024"/>
    <s v="Bắc Trung Bộ"/>
    <s v="Bệnh viện"/>
    <x v="1"/>
    <s v="C"/>
    <n v="44.090909000000003"/>
  </r>
  <r>
    <s v="TGG"/>
    <s v="Công ty 48"/>
    <s v="ICT"/>
    <n v="460643184"/>
    <d v="2024-04-01T00:00:00"/>
    <n v="4"/>
    <n v="2024"/>
    <s v="ĐB Sông Cửu Long"/>
    <s v="Doanh nghiệp"/>
    <x v="0"/>
    <s v="F"/>
    <n v="460.64318400000002"/>
  </r>
  <r>
    <s v="BPC"/>
    <s v="Công ty 74"/>
    <s v="ICT"/>
    <n v="20347273"/>
    <d v="2024-04-01T00:00:00"/>
    <n v="4"/>
    <n v="2024"/>
    <s v="Đông Nam Bộ"/>
    <s v="Doanh nghiệp"/>
    <x v="1"/>
    <s v="B"/>
    <n v="20.347273000000001"/>
  </r>
  <r>
    <s v="QNM"/>
    <s v="Công ty 87"/>
    <s v="ME"/>
    <n v="6597306371"/>
    <d v="2024-04-01T00:00:00"/>
    <n v="4"/>
    <n v="2024"/>
    <s v="Duyên hải Nam Trung Bộ"/>
    <s v="Doanh nghiệp"/>
    <x v="0"/>
    <s v="E"/>
    <n v="6597.3063709999997"/>
  </r>
  <r>
    <s v="QNM"/>
    <s v="Công ty 88"/>
    <s v="ME"/>
    <n v="4981513935"/>
    <d v="2024-04-01T00:00:00"/>
    <n v="4"/>
    <n v="2024"/>
    <s v="Duyên hải Nam Trung Bộ"/>
    <s v="Doanh nghiệp"/>
    <x v="1"/>
    <s v="E"/>
    <n v="4981.5139349999999"/>
  </r>
  <r>
    <s v="HCM"/>
    <s v="Công ty 99"/>
    <s v="NLMT"/>
    <n v="60317931"/>
    <d v="2024-04-01T00:00:00"/>
    <n v="4"/>
    <n v="2024"/>
    <s v="Đông Nam Bộ"/>
    <s v="Doanh nghiệp"/>
    <x v="0"/>
    <s v="D"/>
    <n v="60.317931000000002"/>
  </r>
  <r>
    <s v="HCM"/>
    <s v="Công ty 1"/>
    <s v="DVKT"/>
    <n v="54219399"/>
    <d v="2024-04-01T00:00:00"/>
    <n v="4"/>
    <n v="2024"/>
    <s v="Đông Nam Bộ"/>
    <s v="Doanh nghiệp"/>
    <x v="1"/>
    <s v="D"/>
    <n v="54.219399000000003"/>
  </r>
  <r>
    <s v="HCM"/>
    <s v="Công ty 2"/>
    <s v="DVKT"/>
    <n v="39376425"/>
    <d v="2024-04-01T00:00:00"/>
    <n v="4"/>
    <n v="2024"/>
    <s v="Đông Nam Bộ"/>
    <s v="Doanh nghiệp"/>
    <x v="0"/>
    <s v="D"/>
    <n v="39.376424999999998"/>
  </r>
  <r>
    <s v="HCM"/>
    <s v="Công ty 3"/>
    <s v="DVKT"/>
    <n v="35701756"/>
    <d v="2024-04-01T00:00:00"/>
    <n v="4"/>
    <n v="2024"/>
    <s v="Đông Nam Bộ"/>
    <s v="Doanh nghiệp"/>
    <x v="1"/>
    <s v="D"/>
    <n v="35.701756000000003"/>
  </r>
  <r>
    <s v="HCM"/>
    <s v="Công ty 4"/>
    <s v="DVKT"/>
    <n v="7601482"/>
    <d v="2024-04-01T00:00:00"/>
    <n v="4"/>
    <n v="2024"/>
    <s v="Đông Nam Bộ"/>
    <s v="Doanh nghiệp"/>
    <x v="0"/>
    <s v="D"/>
    <n v="7.6014819999999999"/>
  </r>
  <r>
    <s v="HGG"/>
    <s v="Công ty 15"/>
    <s v="ME"/>
    <n v="75059091"/>
    <d v="2024-04-01T00:00:00"/>
    <n v="4"/>
    <n v="2024"/>
    <s v="Đông Bắc Bộ"/>
    <s v="Doanh nghiệp"/>
    <x v="1"/>
    <s v="C"/>
    <n v="75.059090999999995"/>
  </r>
  <r>
    <s v="HGG"/>
    <s v="Công ty 52"/>
    <s v="ICT"/>
    <n v="37054545"/>
    <d v="2024-04-01T00:00:00"/>
    <n v="4"/>
    <n v="2024"/>
    <s v="Đông Bắc Bộ"/>
    <s v="Doanh nghiệp"/>
    <x v="0"/>
    <s v="B"/>
    <n v="37.054544999999997"/>
  </r>
  <r>
    <s v="YBI"/>
    <s v="Công ty 60"/>
    <s v="ME"/>
    <n v="136225455"/>
    <d v="2024-04-01T00:00:00"/>
    <n v="4"/>
    <n v="2024"/>
    <s v="Tây Bắc Bộ"/>
    <s v="Doanh nghiệp"/>
    <x v="1"/>
    <s v="C"/>
    <n v="136.22545500000001"/>
  </r>
  <r>
    <s v="PTO"/>
    <s v="Công ty 67"/>
    <s v="DVKT"/>
    <n v="19351636"/>
    <d v="2024-04-01T00:00:00"/>
    <n v="4"/>
    <n v="2024"/>
    <s v="Đông Bắc Bộ"/>
    <s v="Doanh nghiệp"/>
    <x v="0"/>
    <s v="B"/>
    <n v="19.351635999999999"/>
  </r>
  <r>
    <s v="PTO"/>
    <s v="Công ty 73"/>
    <s v="DVKT"/>
    <n v="233280000"/>
    <d v="2024-04-01T00:00:00"/>
    <n v="4"/>
    <n v="2024"/>
    <s v="Đông Bắc Bộ"/>
    <s v="Doanh nghiệp"/>
    <x v="1"/>
    <s v="A"/>
    <n v="233.28"/>
  </r>
  <r>
    <s v="GLI"/>
    <s v="Công ty 77"/>
    <s v="NLMT"/>
    <n v="672174315"/>
    <d v="2024-04-01T00:00:00"/>
    <n v="4"/>
    <n v="2024"/>
    <s v="Tây Nguyên"/>
    <s v="Doanh nghiệp"/>
    <x v="0"/>
    <s v="D"/>
    <n v="672.17431499999998"/>
  </r>
  <r>
    <s v="HCM"/>
    <s v="Công ty 89"/>
    <s v="DVKT"/>
    <n v="18006545"/>
    <d v="2024-04-01T00:00:00"/>
    <n v="4"/>
    <n v="2024"/>
    <s v="Đông Nam Bộ"/>
    <s v="Doanh nghiệp"/>
    <x v="1"/>
    <s v="O"/>
    <n v="18.006544999999999"/>
  </r>
  <r>
    <s v="HTH"/>
    <s v="Công ty 8"/>
    <s v="ICT"/>
    <n v="56911000"/>
    <d v="2024-04-01T00:00:00"/>
    <n v="4"/>
    <n v="2024"/>
    <s v="Bắc Trung Bộ"/>
    <s v="Doanh nghiệp"/>
    <x v="0"/>
    <s v="T"/>
    <n v="56.911000000000001"/>
  </r>
  <r>
    <s v="HCM"/>
    <s v="Công ty 21"/>
    <s v="DVKT"/>
    <n v="357564044"/>
    <d v="2024-04-01T00:00:00"/>
    <n v="4"/>
    <n v="2024"/>
    <s v="Đông Nam Bộ"/>
    <s v="Doanh nghiệp"/>
    <x v="1"/>
    <s v="D"/>
    <n v="357.56404400000002"/>
  </r>
  <r>
    <s v="DLK"/>
    <s v="Công ty 23"/>
    <s v="ICT"/>
    <n v="16333182"/>
    <d v="2024-04-01T00:00:00"/>
    <n v="4"/>
    <n v="2024"/>
    <s v="Tây Nguyên"/>
    <s v="Doanh nghiệp"/>
    <x v="0"/>
    <s v="B"/>
    <n v="16.333182000000001"/>
  </r>
  <r>
    <s v="NAN"/>
    <s v="Công ty 43"/>
    <s v="ICT"/>
    <n v="58798636"/>
    <d v="2024-04-01T00:00:00"/>
    <n v="4"/>
    <n v="2024"/>
    <s v="Bắc Trung Bộ"/>
    <s v="Doanh nghiệp"/>
    <x v="1"/>
    <s v="B"/>
    <n v="58.798636000000002"/>
  </r>
  <r>
    <s v="BNH"/>
    <s v="Công ty 47"/>
    <s v="DVKT"/>
    <n v="12545455"/>
    <d v="2024-04-01T00:00:00"/>
    <n v="4"/>
    <n v="2024"/>
    <s v="ĐB Sông Hồng"/>
    <s v="Doanh nghiệp"/>
    <x v="0"/>
    <s v="C"/>
    <n v="12.545455"/>
  </r>
  <r>
    <s v="BNH"/>
    <s v="Công ty 48"/>
    <s v="DVKT"/>
    <n v="12545455"/>
    <d v="2024-04-01T00:00:00"/>
    <n v="4"/>
    <n v="2024"/>
    <s v="ĐB Sông Hồng"/>
    <s v="Doanh nghiệp"/>
    <x v="1"/>
    <s v="C"/>
    <n v="12.545455"/>
  </r>
  <r>
    <s v="QNI"/>
    <s v="Công ty 15"/>
    <s v="ICT"/>
    <n v="221468273"/>
    <d v="2024-04-01T00:00:00"/>
    <n v="4"/>
    <n v="2024"/>
    <s v="Duyên hải Nam Trung Bộ"/>
    <s v="Doanh nghiệp"/>
    <x v="0"/>
    <s v="B"/>
    <n v="221.46827300000001"/>
  </r>
  <r>
    <s v="BTN"/>
    <s v="Công ty 32"/>
    <s v="DVKT"/>
    <n v="35720000"/>
    <d v="2024-04-01T00:00:00"/>
    <n v="4"/>
    <n v="2024"/>
    <s v="Duyên hải Nam Trung Bộ"/>
    <s v="Doanh nghiệp"/>
    <x v="1"/>
    <s v="A"/>
    <n v="35.72"/>
  </r>
  <r>
    <s v="BDH"/>
    <s v="Công ty 48"/>
    <s v="ICT"/>
    <n v="24029091"/>
    <d v="2024-04-01T00:00:00"/>
    <n v="4"/>
    <n v="2024"/>
    <s v="Duyên hải Nam Trung Bộ"/>
    <s v="Doanh nghiệp"/>
    <x v="0"/>
    <s v="A"/>
    <n v="24.029091000000001"/>
  </r>
  <r>
    <s v="NAN"/>
    <s v="Công ty 71"/>
    <s v="ICT"/>
    <n v="143681818"/>
    <d v="2024-04-01T00:00:00"/>
    <n v="4"/>
    <n v="2024"/>
    <s v="Bắc Trung Bộ"/>
    <s v="Doanh nghiệp"/>
    <x v="1"/>
    <s v="F"/>
    <n v="143.68181799999999"/>
  </r>
  <r>
    <s v="SLA"/>
    <s v="Công ty 88"/>
    <s v="ME"/>
    <n v="37580227"/>
    <d v="2024-04-01T00:00:00"/>
    <n v="4"/>
    <n v="2024"/>
    <s v="Tây Bắc Bộ"/>
    <s v="Doanh nghiệp"/>
    <x v="0"/>
    <s v="O"/>
    <n v="37.580227000000001"/>
  </r>
  <r>
    <s v="TQG"/>
    <s v="Công ty 1"/>
    <s v="ICT"/>
    <n v="296375909"/>
    <d v="2024-04-01T00:00:00"/>
    <n v="4"/>
    <n v="2024"/>
    <s v="Đông Bắc Bộ"/>
    <s v="Doanh nghiệp"/>
    <x v="1"/>
    <s v="A"/>
    <n v="296.37590899999998"/>
  </r>
  <r>
    <s v="NAN"/>
    <s v="Công ty 19"/>
    <s v="ICT"/>
    <n v="42401409"/>
    <d v="2024-04-01T00:00:00"/>
    <n v="4"/>
    <n v="2024"/>
    <s v="Bắc Trung Bộ"/>
    <s v="Doanh nghiệp"/>
    <x v="0"/>
    <s v="A"/>
    <n v="42.401409000000001"/>
  </r>
  <r>
    <s v="BKN"/>
    <s v="Công ty 27"/>
    <s v="ME"/>
    <n v="1727273"/>
    <d v="2024-04-01T00:00:00"/>
    <n v="4"/>
    <n v="2024"/>
    <s v="Đông Bắc Bộ"/>
    <s v="Doanh nghiệp"/>
    <x v="1"/>
    <s v="C"/>
    <n v="1.7272730000000001"/>
  </r>
  <r>
    <s v="BKN"/>
    <s v="Công ty 28"/>
    <s v="ME"/>
    <n v="20000000"/>
    <d v="2024-04-01T00:00:00"/>
    <n v="4"/>
    <n v="2024"/>
    <s v="Đông Bắc Bộ"/>
    <s v="Doanh nghiệp"/>
    <x v="0"/>
    <s v="C"/>
    <n v="20"/>
  </r>
  <r>
    <s v="TNN"/>
    <s v="Công ty 57"/>
    <s v="ICT"/>
    <n v="2411000000"/>
    <d v="2024-04-01T00:00:00"/>
    <n v="4"/>
    <n v="2024"/>
    <s v="Đông Bắc Bộ"/>
    <s v="Doanh nghiệp"/>
    <x v="1"/>
    <s v="F"/>
    <n v="2411"/>
  </r>
  <r>
    <s v="HNI"/>
    <s v="Công ty 73"/>
    <s v="NLMT"/>
    <n v="852732840"/>
    <d v="2024-04-01T00:00:00"/>
    <n v="4"/>
    <n v="2024"/>
    <s v="ĐB Sông Hồng"/>
    <s v="Doanh nghiệp"/>
    <x v="0"/>
    <s v="D"/>
    <n v="852.73284000000001"/>
  </r>
  <r>
    <s v="HPG"/>
    <s v="Công ty 82"/>
    <s v="NLMT"/>
    <n v="81702163"/>
    <d v="2024-04-01T00:00:00"/>
    <n v="4"/>
    <n v="2024"/>
    <s v="ĐB Sông Hồng"/>
    <s v="Doanh nghiệp"/>
    <x v="1"/>
    <s v="D"/>
    <n v="81.702162999999999"/>
  </r>
  <r>
    <s v="HCM"/>
    <s v="Công ty 86"/>
    <s v="NLMT"/>
    <n v="10850000000"/>
    <d v="2024-04-01T00:00:00"/>
    <n v="4"/>
    <n v="2024"/>
    <s v="Đông Nam Bộ"/>
    <s v="Doanh nghiệp"/>
    <x v="0"/>
    <s v="D"/>
    <n v="10850"/>
  </r>
  <r>
    <s v="BPC"/>
    <s v="Công ty 87"/>
    <s v="ICT"/>
    <n v="75760000"/>
    <d v="2024-04-01T00:00:00"/>
    <n v="4"/>
    <n v="2024"/>
    <s v="Đông Nam Bộ"/>
    <s v="Doanh nghiệp"/>
    <x v="1"/>
    <s v="A"/>
    <n v="75.760000000000005"/>
  </r>
  <r>
    <s v="AGG"/>
    <s v="Công ty 97"/>
    <s v="ICT"/>
    <n v="25450000"/>
    <d v="2024-04-01T00:00:00"/>
    <n v="4"/>
    <n v="2024"/>
    <s v="ĐB Sông Cửu Long"/>
    <s v="Doanh nghiệp"/>
    <x v="0"/>
    <s v="B"/>
    <n v="25.45"/>
  </r>
  <r>
    <s v="AGG"/>
    <s v="Công ty 98"/>
    <s v="ME"/>
    <n v="21300000"/>
    <d v="2024-04-01T00:00:00"/>
    <n v="4"/>
    <n v="2024"/>
    <s v="ĐB Sông Cửu Long"/>
    <s v="Doanh nghiệp"/>
    <x v="1"/>
    <s v="O"/>
    <n v="21.3"/>
  </r>
  <r>
    <s v="AGG"/>
    <s v="Công ty 99"/>
    <s v="ICT"/>
    <n v="38181818"/>
    <d v="2024-04-01T00:00:00"/>
    <n v="4"/>
    <n v="2024"/>
    <s v="ĐB Sông Cửu Long"/>
    <s v="Doanh nghiệp"/>
    <x v="0"/>
    <s v="B"/>
    <n v="38.181818"/>
  </r>
  <r>
    <s v="NAN"/>
    <s v="Công ty 12"/>
    <s v="ICT"/>
    <n v="76566364"/>
    <d v="2024-04-01T00:00:00"/>
    <n v="4"/>
    <n v="2024"/>
    <s v="Bắc Trung Bộ"/>
    <s v="Doanh nghiệp"/>
    <x v="1"/>
    <s v="B"/>
    <n v="76.566363999999993"/>
  </r>
  <r>
    <s v="VPC"/>
    <s v="Công ty 21"/>
    <s v="NLMT"/>
    <n v="542160000"/>
    <d v="2024-04-01T00:00:00"/>
    <n v="4"/>
    <n v="2024"/>
    <s v="ĐB Sông Hồng"/>
    <s v="Doanh nghiệp"/>
    <x v="0"/>
    <s v="D"/>
    <n v="542.16"/>
  </r>
  <r>
    <s v="DTP"/>
    <s v="Công ty 7"/>
    <s v="ME"/>
    <n v="19036364"/>
    <d v="2024-04-01T00:00:00"/>
    <n v="4"/>
    <n v="2024"/>
    <s v="ĐB Sông Cửu Long"/>
    <s v="Doanh nghiệp"/>
    <x v="1"/>
    <s v="Q"/>
    <n v="19.036363999999999"/>
  </r>
  <r>
    <s v="HTH"/>
    <s v="Công ty 53"/>
    <s v="ICT"/>
    <n v="24754545"/>
    <d v="2024-04-01T00:00:00"/>
    <n v="4"/>
    <n v="2024"/>
    <s v="Bắc Trung Bộ"/>
    <s v="Doanh nghiệp"/>
    <x v="0"/>
    <s v="B"/>
    <n v="24.754545"/>
  </r>
  <r>
    <s v="VTU"/>
    <s v="Công ty 54"/>
    <s v="ICT"/>
    <n v="729672145"/>
    <d v="2024-04-01T00:00:00"/>
    <n v="4"/>
    <n v="2024"/>
    <s v="Đông Nam Bộ"/>
    <s v="Doanh nghiệp"/>
    <x v="1"/>
    <s v="B"/>
    <n v="729.672145"/>
  </r>
  <r>
    <s v="GLI"/>
    <s v="Công ty 42"/>
    <s v="ICT"/>
    <n v="27440000"/>
    <d v="2024-04-01T00:00:00"/>
    <n v="4"/>
    <n v="2024"/>
    <s v="Tây Nguyên"/>
    <s v="Doanh nghiệp"/>
    <x v="0"/>
    <s v="A"/>
    <n v="27.44"/>
  </r>
  <r>
    <s v="TGG"/>
    <s v="Công ty 48"/>
    <s v="ICT"/>
    <n v="55183727"/>
    <d v="2024-04-01T00:00:00"/>
    <n v="4"/>
    <n v="2024"/>
    <s v="ĐB Sông Cửu Long"/>
    <s v="Doanh nghiệp"/>
    <x v="1"/>
    <s v="B"/>
    <n v="55.183726999999998"/>
  </r>
  <r>
    <s v="HGG"/>
    <s v="Công ty 59"/>
    <s v="ME"/>
    <n v="500863151"/>
    <d v="2024-04-01T00:00:00"/>
    <n v="4"/>
    <n v="2024"/>
    <s v="Đông Bắc Bộ"/>
    <s v="Doanh nghiệp"/>
    <x v="0"/>
    <s v="M"/>
    <n v="500.86315100000002"/>
  </r>
  <r>
    <s v="DCN"/>
    <s v="Công ty 61"/>
    <s v="ME"/>
    <n v="91964545"/>
    <d v="2024-04-01T00:00:00"/>
    <n v="4"/>
    <n v="2024"/>
    <s v="Tây Nguyên"/>
    <s v="Doanh nghiệp"/>
    <x v="1"/>
    <s v="O"/>
    <n v="91.964545000000001"/>
  </r>
  <r>
    <s v="TBH"/>
    <s v="Công ty 86"/>
    <s v="ME"/>
    <n v="272800000"/>
    <d v="2024-04-01T00:00:00"/>
    <n v="4"/>
    <n v="2024"/>
    <s v="ĐB Sông Hồng"/>
    <s v="Doanh nghiệp"/>
    <x v="0"/>
    <s v="C"/>
    <n v="272.8"/>
  </r>
  <r>
    <s v="PTO"/>
    <s v="Công ty 19"/>
    <s v="DVKT"/>
    <n v="693370836"/>
    <d v="2024-04-01T00:00:00"/>
    <n v="4"/>
    <n v="2024"/>
    <s v="Đông Bắc Bộ"/>
    <s v="Doanh nghiệp"/>
    <x v="1"/>
    <s v="A"/>
    <n v="693.37083600000005"/>
  </r>
  <r>
    <s v="PTO"/>
    <s v="Công ty 20"/>
    <s v="DVKT"/>
    <n v="796246684"/>
    <d v="2024-04-01T00:00:00"/>
    <n v="4"/>
    <n v="2024"/>
    <s v="Đông Bắc Bộ"/>
    <s v="Doanh nghiệp"/>
    <x v="0"/>
    <s v="M"/>
    <n v="796.24668399999996"/>
  </r>
  <r>
    <s v="PTO"/>
    <s v="Công ty 21"/>
    <s v="ME"/>
    <n v="1785710388"/>
    <d v="2024-04-01T00:00:00"/>
    <n v="4"/>
    <n v="2024"/>
    <s v="Đông Bắc Bộ"/>
    <s v="Doanh nghiệp"/>
    <x v="1"/>
    <s v="M"/>
    <n v="1785.710388"/>
  </r>
  <r>
    <s v="BDH"/>
    <s v="Công ty 43"/>
    <s v="NLMT"/>
    <n v="117500000"/>
    <d v="2024-04-01T00:00:00"/>
    <n v="4"/>
    <n v="2024"/>
    <s v="Duyên hải Nam Trung Bộ"/>
    <s v="Doanh nghiệp"/>
    <x v="0"/>
    <s v="D"/>
    <n v="117.5"/>
  </r>
  <r>
    <s v="TBH"/>
    <s v="Công ty 44"/>
    <s v="ICT"/>
    <n v="120926600"/>
    <d v="2024-04-01T00:00:00"/>
    <n v="4"/>
    <n v="2024"/>
    <s v="ĐB Sông Hồng"/>
    <s v="Doanh nghiệp"/>
    <x v="1"/>
    <s v="A"/>
    <n v="120.92659999999999"/>
  </r>
  <r>
    <s v="BPC"/>
    <s v="Công ty 46"/>
    <s v="DVKT"/>
    <n v="14874545"/>
    <d v="2024-04-01T00:00:00"/>
    <n v="4"/>
    <n v="2024"/>
    <s v="Đông Nam Bộ"/>
    <s v="Doanh nghiệp"/>
    <x v="0"/>
    <s v="A"/>
    <n v="14.874544999999999"/>
  </r>
  <r>
    <s v="BPC"/>
    <s v="Công ty 47"/>
    <s v="DVKT"/>
    <n v="41864727"/>
    <d v="2024-04-01T00:00:00"/>
    <n v="4"/>
    <n v="2024"/>
    <s v="Đông Nam Bộ"/>
    <s v="Doanh nghiệp"/>
    <x v="1"/>
    <s v="A"/>
    <n v="41.864727000000002"/>
  </r>
  <r>
    <s v="HDG"/>
    <s v="Công ty 61"/>
    <s v="ME"/>
    <n v="143446244"/>
    <d v="2024-04-01T00:00:00"/>
    <n v="4"/>
    <n v="2024"/>
    <s v="ĐB Sông Hồng"/>
    <s v="Doanh nghiệp"/>
    <x v="0"/>
    <s v="C"/>
    <n v="143.44624400000001"/>
  </r>
  <r>
    <s v="VLG"/>
    <s v="Công ty 66"/>
    <s v="DVKT"/>
    <n v="430586330"/>
    <d v="2024-04-01T00:00:00"/>
    <n v="4"/>
    <n v="2024"/>
    <s v="ĐB Sông Cửu Long"/>
    <s v="Doanh nghiệp"/>
    <x v="1"/>
    <s v="D"/>
    <n v="430.58632999999998"/>
  </r>
  <r>
    <s v="STG"/>
    <s v="Công ty 2"/>
    <s v="ICT"/>
    <n v="18335000"/>
    <d v="2024-04-01T00:00:00"/>
    <n v="4"/>
    <n v="2024"/>
    <s v="ĐB Sông Cửu Long"/>
    <s v="Doanh nghiệp"/>
    <x v="0"/>
    <s v="B"/>
    <n v="18.335000000000001"/>
  </r>
  <r>
    <s v="LAN"/>
    <s v="Công ty 6"/>
    <s v="ICT"/>
    <n v="36981818"/>
    <d v="2024-04-01T00:00:00"/>
    <n v="4"/>
    <n v="2024"/>
    <s v="ĐB Sông Cửu Long"/>
    <s v="Doanh nghiệp"/>
    <x v="1"/>
    <s v="B"/>
    <n v="36.981817999999997"/>
  </r>
  <r>
    <s v="BTN"/>
    <s v="Công ty 15"/>
    <s v="ICT"/>
    <n v="828660918"/>
    <d v="2024-04-01T00:00:00"/>
    <n v="4"/>
    <n v="2024"/>
    <s v="Duyên hải Nam Trung Bộ"/>
    <s v="Doanh nghiệp"/>
    <x v="0"/>
    <s v="B"/>
    <n v="828.66091800000004"/>
  </r>
  <r>
    <s v="SLA"/>
    <s v="Công ty 23"/>
    <s v="ME"/>
    <n v="128005636"/>
    <d v="2024-04-01T00:00:00"/>
    <n v="4"/>
    <n v="2024"/>
    <s v="Tây Bắc Bộ"/>
    <s v="Doanh nghiệp"/>
    <x v="1"/>
    <s v="O"/>
    <n v="128.00563600000001"/>
  </r>
  <r>
    <s v="CBG"/>
    <s v="Công ty 40"/>
    <s v="ME"/>
    <n v="53707273"/>
    <d v="2024-04-01T00:00:00"/>
    <n v="4"/>
    <n v="2024"/>
    <s v="Đông Bắc Bộ"/>
    <s v="Doanh nghiệp"/>
    <x v="0"/>
    <s v="C"/>
    <n v="53.707273000000001"/>
  </r>
  <r>
    <s v="NAN"/>
    <s v="Công ty 48"/>
    <s v="ICT"/>
    <n v="16575455"/>
    <d v="2024-04-01T00:00:00"/>
    <n v="4"/>
    <n v="2024"/>
    <s v="Bắc Trung Bộ"/>
    <s v="Doanh nghiệp"/>
    <x v="1"/>
    <s v="B"/>
    <n v="16.575455000000002"/>
  </r>
  <r>
    <s v="QNI"/>
    <s v="Công ty 71"/>
    <s v="ICT"/>
    <n v="15638000"/>
    <d v="2024-04-01T00:00:00"/>
    <n v="4"/>
    <n v="2024"/>
    <s v="Duyên hải Nam Trung Bộ"/>
    <s v="Doanh nghiệp"/>
    <x v="0"/>
    <s v="B"/>
    <n v="15.638"/>
  </r>
  <r>
    <s v="HNI"/>
    <s v="Công ty 2"/>
    <s v="ICT"/>
    <n v="31968000"/>
    <d v="2024-04-01T00:00:00"/>
    <n v="4"/>
    <n v="2024"/>
    <s v="ĐB Sông Hồng"/>
    <s v="Doanh nghiệp"/>
    <x v="1"/>
    <s v="B"/>
    <n v="31.968"/>
  </r>
  <r>
    <s v="QNI"/>
    <s v="Công ty 43"/>
    <s v="ICT"/>
    <n v="9942727"/>
    <d v="2024-04-01T00:00:00"/>
    <n v="4"/>
    <n v="2024"/>
    <s v="Duyên hải Nam Trung Bộ"/>
    <s v="Doanh nghiệp"/>
    <x v="0"/>
    <s v="A"/>
    <n v="9.9427269999999996"/>
  </r>
  <r>
    <s v="DCN"/>
    <s v="Công ty 76"/>
    <s v="ME"/>
    <n v="113907854"/>
    <d v="2024-04-01T00:00:00"/>
    <n v="4"/>
    <n v="2024"/>
    <s v="Tây Nguyên"/>
    <s v="Doanh nghiệp"/>
    <x v="1"/>
    <s v="E"/>
    <n v="113.907854"/>
  </r>
  <r>
    <s v="KTM"/>
    <s v="Công ty 86"/>
    <s v="ICT"/>
    <n v="29936364"/>
    <d v="2024-04-01T00:00:00"/>
    <n v="4"/>
    <n v="2024"/>
    <s v="Tây Nguyên"/>
    <s v="Doanh nghiệp"/>
    <x v="0"/>
    <s v="B"/>
    <n v="29.936364000000001"/>
  </r>
  <r>
    <s v="BPC"/>
    <s v="Công ty 96"/>
    <s v="ICT"/>
    <n v="41647045"/>
    <d v="2024-04-01T00:00:00"/>
    <n v="4"/>
    <n v="2024"/>
    <s v="Đông Nam Bộ"/>
    <s v="Doanh nghiệp"/>
    <x v="1"/>
    <s v="A"/>
    <n v="41.647044999999999"/>
  </r>
  <r>
    <s v="TNN"/>
    <s v="Công ty 88"/>
    <s v="ICT"/>
    <n v="59924000"/>
    <d v="2024-04-01T00:00:00"/>
    <n v="4"/>
    <n v="2024"/>
    <s v="Đông Bắc Bộ"/>
    <s v="Doanh nghiệp"/>
    <x v="0"/>
    <s v="L"/>
    <n v="59.923999999999999"/>
  </r>
  <r>
    <s v="DTP"/>
    <s v="Doanh nghiệp 26"/>
    <s v="ICT"/>
    <n v="12900000"/>
    <d v="2024-04-01T00:00:00"/>
    <n v="4"/>
    <n v="2024"/>
    <s v="ĐB Sông Cửu Long"/>
    <s v="Doanh nghiệp"/>
    <x v="1"/>
    <s v="B"/>
    <n v="12.9"/>
  </r>
  <r>
    <s v="GLI"/>
    <s v="Doanh nghiệp 2"/>
    <s v="NLMT"/>
    <n v="490755549"/>
    <d v="2024-04-01T00:00:00"/>
    <n v="4"/>
    <n v="2024"/>
    <s v="Tây Nguyên"/>
    <s v="Doanh nghiệp"/>
    <x v="0"/>
    <s v="D"/>
    <n v="490.75554899999997"/>
  </r>
  <r>
    <s v="CMU"/>
    <s v="Doanh nghiệp 28"/>
    <s v="ME"/>
    <n v="163144800"/>
    <d v="2024-04-01T00:00:00"/>
    <n v="4"/>
    <n v="2024"/>
    <s v="ĐB Sông Cửu Long"/>
    <s v="Doanh nghiệp"/>
    <x v="1"/>
    <s v="M"/>
    <n v="163.1448"/>
  </r>
  <r>
    <s v="TNH"/>
    <s v="Doanh nghiệp 3"/>
    <s v="ME"/>
    <n v="245431970"/>
    <d v="2024-04-01T00:00:00"/>
    <n v="4"/>
    <n v="2024"/>
    <s v="Đông Nam Bộ"/>
    <s v="Doanh nghiệp"/>
    <x v="0"/>
    <s v="E"/>
    <n v="245.43197000000001"/>
  </r>
  <r>
    <s v="HTH"/>
    <s v="Doanh nghiệp 10"/>
    <s v="ICT"/>
    <n v="15347727"/>
    <d v="2024-04-01T00:00:00"/>
    <n v="4"/>
    <n v="2024"/>
    <s v="Bắc Trung Bộ"/>
    <s v="Doanh nghiệp"/>
    <x v="1"/>
    <s v="B"/>
    <n v="15.347727000000001"/>
  </r>
  <r>
    <s v="HTH"/>
    <s v="Doanh nghiệp 12"/>
    <s v="Smarthome"/>
    <n v="68181818"/>
    <d v="2024-04-01T00:00:00"/>
    <n v="4"/>
    <n v="2024"/>
    <s v="Bắc Trung Bộ"/>
    <s v="Doanh nghiệp"/>
    <x v="0"/>
    <s v="I"/>
    <n v="68.181818000000007"/>
  </r>
  <r>
    <s v="TGG"/>
    <s v="Doanh nghiệp 17"/>
    <s v="ICT"/>
    <n v="56327236"/>
    <d v="2024-04-01T00:00:00"/>
    <n v="4"/>
    <n v="2024"/>
    <s v="ĐB Sông Cửu Long"/>
    <s v="Doanh nghiệp"/>
    <x v="1"/>
    <s v="B"/>
    <n v="56.327235999999999"/>
  </r>
  <r>
    <s v="TQG"/>
    <s v="Doanh nghiệp 20"/>
    <s v="ICT"/>
    <n v="36320000"/>
    <d v="2024-04-01T00:00:00"/>
    <n v="4"/>
    <n v="2024"/>
    <s v="Đông Bắc Bộ"/>
    <s v="Doanh nghiệp"/>
    <x v="0"/>
    <s v="B"/>
    <n v="36.32"/>
  </r>
  <r>
    <s v="DTP"/>
    <s v="Doanh nghiệp 26"/>
    <s v="ME"/>
    <n v="9090909"/>
    <d v="2024-04-01T00:00:00"/>
    <n v="4"/>
    <n v="2024"/>
    <s v="ĐB Sông Cửu Long"/>
    <s v="Doanh nghiệp"/>
    <x v="1"/>
    <s v="Q"/>
    <n v="9.0909089999999999"/>
  </r>
  <r>
    <s v="HTH"/>
    <s v="Doanh nghiệp 11"/>
    <s v="DVKT"/>
    <n v="40234545"/>
    <d v="2024-04-01T00:00:00"/>
    <n v="4"/>
    <n v="2024"/>
    <s v="Bắc Trung Bộ"/>
    <s v="Doanh nghiệp"/>
    <x v="0"/>
    <s v="A"/>
    <n v="40.234544999999997"/>
  </r>
  <r>
    <s v="TNN"/>
    <s v="Doanh nghiệp 9"/>
    <s v="ICT"/>
    <n v="1779540000"/>
    <d v="2024-04-01T00:00:00"/>
    <n v="4"/>
    <n v="2024"/>
    <s v="Đông Bắc Bộ"/>
    <s v="Doanh nghiệp"/>
    <x v="1"/>
    <s v="F"/>
    <n v="1779.54"/>
  </r>
  <r>
    <s v="TQG"/>
    <s v="Doanh nghiệp 13"/>
    <s v="NLMT"/>
    <n v="90021200"/>
    <d v="2024-04-01T00:00:00"/>
    <n v="4"/>
    <n v="2024"/>
    <s v="Đông Bắc Bộ"/>
    <s v="Doanh nghiệp"/>
    <x v="0"/>
    <s v="K"/>
    <n v="90.021199999999993"/>
  </r>
  <r>
    <s v="GLI"/>
    <s v="Doanh nghiệp 14"/>
    <s v="NLMT"/>
    <n v="43330905"/>
    <d v="2024-04-01T00:00:00"/>
    <n v="4"/>
    <n v="2024"/>
    <s v="Tây Nguyên"/>
    <s v="Doanh nghiệp"/>
    <x v="1"/>
    <s v="K"/>
    <n v="43.330905000000001"/>
  </r>
  <r>
    <s v="CTO"/>
    <s v="Doanh nghiệp 21"/>
    <s v="ME"/>
    <n v="137104545"/>
    <d v="2024-04-01T00:00:00"/>
    <n v="4"/>
    <n v="2024"/>
    <s v="ĐB Sông Cửu Long"/>
    <s v="Doanh nghiệp"/>
    <x v="0"/>
    <s v="C"/>
    <n v="137.104545"/>
  </r>
  <r>
    <s v="CTO"/>
    <s v="Doanh nghiệp 21"/>
    <s v="ICT"/>
    <n v="96387482"/>
    <d v="2024-04-01T00:00:00"/>
    <n v="4"/>
    <n v="2024"/>
    <s v="ĐB Sông Cửu Long"/>
    <s v="Doanh nghiệp"/>
    <x v="1"/>
    <s v="A"/>
    <n v="96.387482000000006"/>
  </r>
  <r>
    <s v="HGG"/>
    <s v="Tập đoàn 9"/>
    <s v="ME"/>
    <n v="149456000"/>
    <d v="2024-04-01T00:00:00"/>
    <n v="4"/>
    <n v="2024"/>
    <s v="Đông Bắc Bộ"/>
    <s v="Doanh nghiệp"/>
    <x v="0"/>
    <s v="C"/>
    <n v="149.45599999999999"/>
  </r>
  <r>
    <s v="HBH"/>
    <s v="Tập đoàn 18"/>
    <s v="ICT"/>
    <n v="680697909"/>
    <d v="2024-04-01T00:00:00"/>
    <n v="4"/>
    <n v="2024"/>
    <s v="Tây Bắc Bộ"/>
    <s v="Doanh nghiệp"/>
    <x v="1"/>
    <s v="B"/>
    <n v="680.69790899999998"/>
  </r>
  <r>
    <s v="LCU"/>
    <s v="Tập đoàn 22"/>
    <s v="ME"/>
    <n v="40068000"/>
    <d v="2024-04-01T00:00:00"/>
    <n v="4"/>
    <n v="2024"/>
    <s v="Tây Bắc Bộ"/>
    <s v="Doanh nghiệp"/>
    <x v="0"/>
    <s v="O"/>
    <n v="40.067999999999998"/>
  </r>
  <r>
    <s v="LDG"/>
    <s v="Tập đoàn 24"/>
    <s v="ICT"/>
    <n v="33776364"/>
    <d v="2024-04-01T00:00:00"/>
    <n v="4"/>
    <n v="2024"/>
    <s v="Tây Nguyên"/>
    <s v="Doanh nghiệp"/>
    <x v="1"/>
    <s v="F"/>
    <n v="33.776364000000001"/>
  </r>
  <r>
    <s v="LAN"/>
    <s v="Tập đoàn 34"/>
    <s v="DVKT"/>
    <n v="27232126"/>
    <d v="2024-04-01T00:00:00"/>
    <n v="4"/>
    <n v="2024"/>
    <s v="ĐB Sông Cửu Long"/>
    <s v="Doanh nghiệp"/>
    <x v="0"/>
    <s v="E"/>
    <n v="27.232126000000001"/>
  </r>
  <r>
    <s v="NDH"/>
    <s v="Tập đoàn 39"/>
    <s v="ICT"/>
    <n v="42000000"/>
    <d v="2024-04-01T00:00:00"/>
    <n v="4"/>
    <n v="2024"/>
    <s v="ĐB Sông Hồng"/>
    <s v="Doanh nghiệp"/>
    <x v="1"/>
    <s v="B"/>
    <n v="42"/>
  </r>
  <r>
    <s v="NDH"/>
    <s v="Tập đoàn 40"/>
    <s v="ICT"/>
    <n v="30094545"/>
    <d v="2024-04-01T00:00:00"/>
    <n v="4"/>
    <n v="2024"/>
    <s v="ĐB Sông Hồng"/>
    <s v="Doanh nghiệp"/>
    <x v="0"/>
    <s v="T"/>
    <n v="30.094545"/>
  </r>
  <r>
    <s v="NDH"/>
    <s v="Tập đoàn 41"/>
    <s v="ICT"/>
    <n v="78000000"/>
    <d v="2024-04-01T00:00:00"/>
    <n v="4"/>
    <n v="2024"/>
    <s v="ĐB Sông Hồng"/>
    <s v="Doanh nghiệp"/>
    <x v="1"/>
    <s v="B"/>
    <n v="78"/>
  </r>
  <r>
    <s v="NAN"/>
    <s v="Tập đoàn 60"/>
    <s v="DVKT"/>
    <n v="19793455"/>
    <d v="2024-04-01T00:00:00"/>
    <n v="4"/>
    <n v="2024"/>
    <s v="Bắc Trung Bộ"/>
    <s v="Doanh nghiệp"/>
    <x v="0"/>
    <s v="O"/>
    <n v="19.793455000000002"/>
  </r>
  <r>
    <s v="YBI"/>
    <s v="Tập đoàn 93"/>
    <s v="NLMT"/>
    <n v="42909091"/>
    <d v="2024-04-01T00:00:00"/>
    <n v="4"/>
    <n v="2024"/>
    <s v="Tây Bắc Bộ"/>
    <s v="Doanh nghiệp"/>
    <x v="1"/>
    <s v="K"/>
    <n v="42.909090999999997"/>
  </r>
  <r>
    <s v="CBG"/>
    <s v="Tập đoàn 94"/>
    <s v="ICT"/>
    <n v="13915000"/>
    <d v="2024-04-01T00:00:00"/>
    <n v="4"/>
    <n v="2024"/>
    <s v="Đông Bắc Bộ"/>
    <s v="Doanh nghiệp"/>
    <x v="0"/>
    <s v="B"/>
    <n v="13.914999999999999"/>
  </r>
  <r>
    <s v="NAN"/>
    <s v="Tập đoàn 94"/>
    <s v="Smarthome"/>
    <n v="40909091"/>
    <d v="2024-04-01T00:00:00"/>
    <n v="4"/>
    <n v="2024"/>
    <s v="Bắc Trung Bộ"/>
    <s v="Doanh nghiệp"/>
    <x v="1"/>
    <s v="H"/>
    <n v="40.909090999999997"/>
  </r>
  <r>
    <s v="HNI"/>
    <s v="Tập đoàn 93"/>
    <s v="ICT"/>
    <n v="156156410"/>
    <d v="2024-04-01T00:00:00"/>
    <n v="4"/>
    <n v="2024"/>
    <s v="ĐB Sông Hồng"/>
    <s v="Doanh nghiệp"/>
    <x v="0"/>
    <s v="B"/>
    <n v="156.15640999999999"/>
  </r>
  <r>
    <s v="DBN"/>
    <s v="Công ty 51"/>
    <s v="NLMT"/>
    <n v="43909091"/>
    <d v="2024-04-01T00:00:00"/>
    <n v="4"/>
    <n v="2024"/>
    <s v="Tây Bắc Bộ"/>
    <s v="Doanh nghiệp"/>
    <x v="1"/>
    <s v="K"/>
    <n v="43.909090999999997"/>
  </r>
  <r>
    <s v="DBN"/>
    <s v="Công ty 52"/>
    <s v="NLMT"/>
    <n v="11454545"/>
    <d v="2024-04-01T00:00:00"/>
    <n v="4"/>
    <n v="2024"/>
    <s v="Tây Bắc Bộ"/>
    <s v="Doanh nghiệp"/>
    <x v="0"/>
    <s v="K"/>
    <n v="11.454545"/>
  </r>
  <r>
    <s v="DBN"/>
    <s v="Công ty 53"/>
    <s v="NLMT"/>
    <n v="34363636"/>
    <d v="2024-04-01T00:00:00"/>
    <n v="4"/>
    <n v="2024"/>
    <s v="Tây Bắc Bộ"/>
    <s v="Doanh nghiệp"/>
    <x v="1"/>
    <s v="K"/>
    <n v="34.363636"/>
  </r>
  <r>
    <s v="DBN"/>
    <s v="Công ty 54"/>
    <s v="NLMT"/>
    <n v="209783636"/>
    <d v="2024-04-01T00:00:00"/>
    <n v="4"/>
    <n v="2024"/>
    <s v="Tây Bắc Bộ"/>
    <s v="Doanh nghiệp"/>
    <x v="0"/>
    <s v="K"/>
    <n v="209.783636"/>
  </r>
  <r>
    <s v="DBN"/>
    <s v="Công ty 55"/>
    <s v="NLMT"/>
    <n v="234409091"/>
    <d v="2024-04-01T00:00:00"/>
    <n v="4"/>
    <n v="2024"/>
    <s v="Tây Bắc Bộ"/>
    <s v="Doanh nghiệp"/>
    <x v="1"/>
    <s v="K"/>
    <n v="234.40909099999999"/>
  </r>
  <r>
    <s v="BDG"/>
    <s v="Công ty 99"/>
    <s v="ICT"/>
    <n v="16350000"/>
    <d v="2024-04-01T00:00:00"/>
    <n v="4"/>
    <n v="2024"/>
    <s v="Đông Nam Bộ"/>
    <s v="Doanh nghiệp"/>
    <x v="0"/>
    <s v="B"/>
    <n v="16.350000000000001"/>
  </r>
  <r>
    <s v="QNI"/>
    <s v="CÔNG AN TỈNH QUẢNG NGÃI"/>
    <s v="Smarthome"/>
    <n v="37861818"/>
    <d v="2024-04-01T00:00:00"/>
    <n v="4"/>
    <n v="2024"/>
    <s v="Duyên hải Nam Trung Bộ"/>
    <s v="Sở ban ngành"/>
    <x v="1"/>
    <s v="I"/>
    <n v="37.861818"/>
  </r>
  <r>
    <s v="YBI"/>
    <s v="Công An Xã Yên Phú"/>
    <s v="DVKT"/>
    <n v="13018182"/>
    <d v="2024-04-01T00:00:00"/>
    <n v="4"/>
    <n v="2024"/>
    <s v="Tây Bắc Bộ"/>
    <s v="Sở ban ngành"/>
    <x v="0"/>
    <s v="B"/>
    <n v="13.018181999999999"/>
  </r>
  <r>
    <s v="PYN"/>
    <s v="PHÒNG VĂN HÓA VÀ THÔNG TIN HUYỆN SÔNG HINH"/>
    <s v="ICT"/>
    <n v="262360309"/>
    <d v="2024-04-01T00:00:00"/>
    <n v="4"/>
    <n v="2024"/>
    <s v="Duyên hải Nam Trung Bộ"/>
    <s v="Sở ban ngành"/>
    <x v="1"/>
    <s v="P"/>
    <n v="262.36030899999997"/>
  </r>
  <r>
    <s v="LDG"/>
    <s v="TRUNG TÂM Y TẾ HUYỆN LẠC DƯƠNG"/>
    <s v="ICT"/>
    <n v="88940000"/>
    <d v="2024-04-01T00:00:00"/>
    <n v="4"/>
    <n v="2024"/>
    <s v="Tây Nguyên"/>
    <s v="Sở ban ngành"/>
    <x v="0"/>
    <s v="B"/>
    <n v="88.94"/>
  </r>
  <r>
    <s v="VLG"/>
    <s v="Trung Tâm Y Tế Huyện Tam Bình"/>
    <s v="ICT"/>
    <n v="71272727"/>
    <d v="2024-04-01T00:00:00"/>
    <n v="4"/>
    <n v="2024"/>
    <s v="ĐB Sông Cửu Long"/>
    <s v="Sở ban ngành"/>
    <x v="1"/>
    <s v="F"/>
    <n v="71.272727000000003"/>
  </r>
  <r>
    <s v="PTO"/>
    <s v="Trung tâm y tế huyện Tân Sơn"/>
    <s v="DVKT"/>
    <n v="83264073"/>
    <d v="2024-04-01T00:00:00"/>
    <n v="4"/>
    <n v="2024"/>
    <s v="Đông Bắc Bộ"/>
    <s v="Sở ban ngành"/>
    <x v="0"/>
    <s v="C"/>
    <n v="83.264072999999996"/>
  </r>
  <r>
    <s v="BGG"/>
    <s v="Ubnd Thị Trấn Cao Thượng"/>
    <s v="ICT"/>
    <n v="21900000"/>
    <d v="2024-04-01T00:00:00"/>
    <n v="4"/>
    <n v="2024"/>
    <s v="Đông Bắc Bộ"/>
    <s v="Sở ban ngành"/>
    <x v="1"/>
    <s v="F"/>
    <n v="21.9"/>
  </r>
  <r>
    <s v="BTN"/>
    <s v="UBND THỊ TRẤN TÂN MINH"/>
    <s v="ICT"/>
    <n v="45181818"/>
    <d v="2024-04-01T00:00:00"/>
    <n v="4"/>
    <n v="2024"/>
    <s v="Duyên hải Nam Trung Bộ"/>
    <s v="Sở ban ngành"/>
    <x v="0"/>
    <s v="F"/>
    <n v="45.181818"/>
  </r>
  <r>
    <s v="BTN"/>
    <s v="UBND THỊ TRẤN TÂN NGHĨA"/>
    <s v="ICT"/>
    <n v="45181818"/>
    <d v="2024-04-01T00:00:00"/>
    <n v="4"/>
    <n v="2024"/>
    <s v="Duyên hải Nam Trung Bộ"/>
    <s v="Sở ban ngành"/>
    <x v="1"/>
    <s v="F"/>
    <n v="45.181818"/>
  </r>
  <r>
    <s v="CBG"/>
    <s v="UBND THỊ TRẤN THANH NHẬT"/>
    <s v="NLMT"/>
    <n v="22727273"/>
    <d v="2024-04-01T00:00:00"/>
    <n v="4"/>
    <n v="2024"/>
    <s v="Đông Bắc Bộ"/>
    <s v="Sở ban ngành"/>
    <x v="0"/>
    <s v="K"/>
    <n v="22.727273"/>
  </r>
  <r>
    <s v="CBG"/>
    <s v="Ubnd Xã An Lạc"/>
    <s v="NLMT"/>
    <n v="22727273"/>
    <d v="2024-04-01T00:00:00"/>
    <n v="4"/>
    <n v="2024"/>
    <s v="Đông Bắc Bộ"/>
    <s v="Sở ban ngành"/>
    <x v="1"/>
    <s v="K"/>
    <n v="22.727273"/>
  </r>
  <r>
    <s v="BGG"/>
    <s v="UBND XÃ BIỂN ĐỘNG"/>
    <s v="Smarthome"/>
    <n v="32727273"/>
    <d v="2024-04-01T00:00:00"/>
    <n v="4"/>
    <n v="2024"/>
    <s v="Đông Bắc Bộ"/>
    <s v="Sở ban ngành"/>
    <x v="0"/>
    <s v="I"/>
    <n v="32.727272999999997"/>
  </r>
  <r>
    <s v="HTH"/>
    <s v="UBND xã Cẩm Quang"/>
    <s v="DVKT"/>
    <n v="18027273"/>
    <d v="2024-04-01T00:00:00"/>
    <n v="4"/>
    <n v="2024"/>
    <s v="Bắc Trung Bộ"/>
    <s v="Sở ban ngành"/>
    <x v="1"/>
    <s v="A"/>
    <n v="18.027273000000001"/>
  </r>
  <r>
    <s v="CBG"/>
    <s v="UBND XÃ CÔ NGÂN"/>
    <s v="NLMT"/>
    <n v="22727273"/>
    <d v="2024-04-01T00:00:00"/>
    <n v="4"/>
    <n v="2024"/>
    <s v="Đông Bắc Bộ"/>
    <s v="Sở ban ngành"/>
    <x v="0"/>
    <s v="K"/>
    <n v="22.727273"/>
  </r>
  <r>
    <s v="CBG"/>
    <s v="UBND XÃ CÔ NGÂN"/>
    <s v="NLMT"/>
    <n v="18181818"/>
    <d v="2024-04-01T00:00:00"/>
    <n v="4"/>
    <n v="2024"/>
    <s v="Đông Bắc Bộ"/>
    <s v="Sở ban ngành"/>
    <x v="1"/>
    <s v="K"/>
    <n v="18.181818"/>
  </r>
  <r>
    <s v="CBG"/>
    <s v="Ubnd Xã Đức Quang"/>
    <s v="NLMT"/>
    <n v="22727273"/>
    <d v="2024-04-01T00:00:00"/>
    <n v="4"/>
    <n v="2024"/>
    <s v="Đông Bắc Bộ"/>
    <s v="Sở ban ngành"/>
    <x v="0"/>
    <s v="K"/>
    <n v="22.727273"/>
  </r>
  <r>
    <s v="HUE"/>
    <s v="UBND Xã Hương Xuân"/>
    <s v="ME"/>
    <n v="313149091"/>
    <d v="2024-04-01T00:00:00"/>
    <n v="4"/>
    <n v="2024"/>
    <s v="Bắc Trung Bộ"/>
    <s v="Sở ban ngành"/>
    <x v="1"/>
    <s v="E"/>
    <n v="313.149091"/>
  </r>
  <r>
    <s v="NDH"/>
    <s v="Ubnd Xã Nghĩa Sơn"/>
    <s v="ICT"/>
    <n v="75420000"/>
    <d v="2024-04-01T00:00:00"/>
    <n v="4"/>
    <n v="2024"/>
    <s v="ĐB Sông Hồng"/>
    <s v="Sở ban ngành"/>
    <x v="0"/>
    <s v="B"/>
    <n v="75.42"/>
  </r>
  <r>
    <s v="HUE"/>
    <s v="UBND XÃ PHONG CHƯƠNG"/>
    <s v="ICT"/>
    <n v="79090909"/>
    <d v="2024-04-01T00:00:00"/>
    <n v="4"/>
    <n v="2024"/>
    <s v="Bắc Trung Bộ"/>
    <s v="Sở ban ngành"/>
    <x v="1"/>
    <s v="F"/>
    <n v="79.090908999999996"/>
  </r>
  <r>
    <s v="BTN"/>
    <s v="UBND XÃ SƠN MỸ"/>
    <s v="ICT"/>
    <n v="45181818"/>
    <d v="2024-04-01T00:00:00"/>
    <n v="4"/>
    <n v="2024"/>
    <s v="Duyên hải Nam Trung Bộ"/>
    <s v="Sở ban ngành"/>
    <x v="0"/>
    <s v="F"/>
    <n v="45.181818"/>
  </r>
  <r>
    <s v="BTN"/>
    <s v="UBND XÃ SÔNG PHAN"/>
    <s v="ICT"/>
    <n v="45181818"/>
    <d v="2024-04-01T00:00:00"/>
    <n v="4"/>
    <n v="2024"/>
    <s v="Duyên hải Nam Trung Bộ"/>
    <s v="Sở ban ngành"/>
    <x v="1"/>
    <s v="F"/>
    <n v="45.181818"/>
  </r>
  <r>
    <s v="BTN"/>
    <s v="UBND XÃ TÂN HÀ"/>
    <s v="ICT"/>
    <n v="45181818"/>
    <d v="2024-04-01T00:00:00"/>
    <n v="4"/>
    <n v="2024"/>
    <s v="Duyên hải Nam Trung Bộ"/>
    <s v="Sở ban ngành"/>
    <x v="0"/>
    <s v="F"/>
    <n v="45.181818"/>
  </r>
  <r>
    <s v="CBG"/>
    <s v="UBND XÃ THỊ HOA"/>
    <s v="NLMT"/>
    <n v="22727273"/>
    <d v="2024-04-01T00:00:00"/>
    <n v="4"/>
    <n v="2024"/>
    <s v="Đông Bắc Bộ"/>
    <s v="Sở ban ngành"/>
    <x v="1"/>
    <s v="K"/>
    <n v="22.727273"/>
  </r>
  <r>
    <s v="CBG"/>
    <s v="UBND XÃ THỐNG NHẤT"/>
    <s v="NLMT"/>
    <n v="22727273"/>
    <d v="2024-04-01T00:00:00"/>
    <n v="4"/>
    <n v="2024"/>
    <s v="Đông Bắc Bộ"/>
    <s v="Sở ban ngành"/>
    <x v="0"/>
    <s v="K"/>
    <n v="22.727273"/>
  </r>
  <r>
    <s v="NDH"/>
    <s v="UBND XÃ TRỰC CHÍNH"/>
    <s v="ICT"/>
    <n v="39263636"/>
    <d v="2024-04-01T00:00:00"/>
    <n v="4"/>
    <n v="2024"/>
    <s v="ĐB Sông Hồng"/>
    <s v="Sở ban ngành"/>
    <x v="1"/>
    <s v="T"/>
    <n v="39.263635999999998"/>
  </r>
  <r>
    <s v="CBG"/>
    <s v="UBND XÃ VINH QUÝ"/>
    <s v="NLMT"/>
    <n v="22727273"/>
    <d v="2024-04-01T00:00:00"/>
    <n v="4"/>
    <n v="2024"/>
    <s v="Đông Bắc Bộ"/>
    <s v="Sở ban ngành"/>
    <x v="0"/>
    <s v="K"/>
    <n v="22.727273"/>
  </r>
  <r>
    <s v="YBI"/>
    <s v="ủy BAN MẶT TRẬN TỔ QUỐC THỊ TRẤN NGỌC LẶC"/>
    <s v="DVKT"/>
    <n v="7908182"/>
    <d v="2024-04-01T00:00:00"/>
    <n v="4"/>
    <n v="2024"/>
    <s v="Tây Bắc Bộ"/>
    <s v="Sở ban ngành"/>
    <x v="1"/>
    <s v="B"/>
    <n v="7.908182"/>
  </r>
  <r>
    <s v="CBG"/>
    <s v="UỶ BAN NHÂN DÂN XÃ LÝ QUỐC"/>
    <s v="NLMT"/>
    <n v="22727273"/>
    <d v="2024-04-01T00:00:00"/>
    <n v="4"/>
    <n v="2024"/>
    <s v="Đông Bắc Bộ"/>
    <s v="Sở ban ngành"/>
    <x v="0"/>
    <s v="K"/>
    <n v="22.727273"/>
  </r>
  <r>
    <s v="AGG"/>
    <s v="Văn Phòng Đăng Ký Đất Đai Tỉnh An Giang"/>
    <s v="ME"/>
    <n v="14545455"/>
    <d v="2024-04-01T00:00:00"/>
    <n v="4"/>
    <n v="2024"/>
    <s v="ĐB Sông Cửu Long"/>
    <s v="Sở ban ngành"/>
    <x v="1"/>
    <s v="C"/>
    <n v="14.545455"/>
  </r>
  <r>
    <s v="HUE"/>
    <s v="VĂN PHÒNG HĐND VÀ UBND HUYỆN NAM ĐÔNG"/>
    <s v="DVKT"/>
    <n v="33058909"/>
    <d v="2024-04-01T00:00:00"/>
    <n v="4"/>
    <n v="2024"/>
    <s v="Bắc Trung Bộ"/>
    <s v="Sở ban ngành"/>
    <x v="0"/>
    <s v="B"/>
    <n v="33.058909"/>
  </r>
  <r>
    <s v="BTN"/>
    <s v="Văn Phòng Hđnd&amp;ubnd Huyện Hàm Tân"/>
    <s v="ICT"/>
    <n v="45181818"/>
    <d v="2024-04-01T00:00:00"/>
    <n v="4"/>
    <n v="2024"/>
    <s v="Duyên hải Nam Trung Bộ"/>
    <s v="Sở ban ngành"/>
    <x v="1"/>
    <s v="F"/>
    <n v="45.181818"/>
  </r>
  <r>
    <s v="YBI"/>
    <s v="Văn Phòng Hội Đồng Nhân Dân Và Uỷ Ban Nhân Dân Huyện Trạm Tấu"/>
    <s v="DVKT"/>
    <n v="14277727"/>
    <d v="2024-04-01T00:00:00"/>
    <n v="4"/>
    <n v="2024"/>
    <s v="Tây Bắc Bộ"/>
    <s v="Sở ban ngành"/>
    <x v="0"/>
    <s v="B"/>
    <n v="14.277727000000001"/>
  </r>
  <r>
    <s v="NAN"/>
    <s v="VĂN PHÒNG UBND HUYỆN QUỲ HỢP"/>
    <s v="ICT"/>
    <n v="56635455"/>
    <d v="2024-04-01T00:00:00"/>
    <n v="4"/>
    <n v="2024"/>
    <s v="Bắc Trung Bộ"/>
    <s v="Sở ban ngành"/>
    <x v="1"/>
    <s v="F"/>
    <n v="56.635455"/>
  </r>
  <r>
    <s v="HTH"/>
    <s v="CÔNG AN XÃ SƠN TRƯỜNG"/>
    <s v="ICT"/>
    <n v="36909091"/>
    <d v="2024-04-01T00:00:00"/>
    <n v="4"/>
    <n v="2024"/>
    <s v="Bắc Trung Bộ"/>
    <s v="Trường học"/>
    <x v="0"/>
    <s v="B"/>
    <n v="36.909090999999997"/>
  </r>
  <r>
    <s v="BGG"/>
    <s v="SỞ TÀI NGUYÊN VÀ MÔI TRƯỜNG"/>
    <s v="ICT"/>
    <n v="35800000"/>
    <d v="2024-04-01T00:00:00"/>
    <n v="4"/>
    <n v="2024"/>
    <s v="Đông Bắc Bộ"/>
    <s v="Trường học"/>
    <x v="1"/>
    <s v="A"/>
    <n v="35.799999999999997"/>
  </r>
  <r>
    <s v="BGG"/>
    <s v="Trường Mầm Non Bảo Đài"/>
    <s v="ICT"/>
    <n v="14300000"/>
    <d v="2024-04-01T00:00:00"/>
    <n v="4"/>
    <n v="2024"/>
    <s v="Đông Bắc Bộ"/>
    <s v="Trường học"/>
    <x v="0"/>
    <s v="A"/>
    <n v="14.3"/>
  </r>
  <r>
    <s v="DTP"/>
    <s v="TRƯỜNG MẦM NON PHÚ CƯỜNG"/>
    <s v="ME"/>
    <n v="39545455"/>
    <d v="2024-04-01T00:00:00"/>
    <n v="4"/>
    <n v="2024"/>
    <s v="ĐB Sông Cửu Long"/>
    <s v="Trường học"/>
    <x v="1"/>
    <s v="C"/>
    <n v="39.545454999999997"/>
  </r>
  <r>
    <s v="DTP"/>
    <s v="Trường Mầm Non Phú Hiệp"/>
    <s v="ME"/>
    <n v="26363636"/>
    <d v="2024-04-01T00:00:00"/>
    <n v="4"/>
    <n v="2024"/>
    <s v="ĐB Sông Cửu Long"/>
    <s v="Trường học"/>
    <x v="0"/>
    <s v="C"/>
    <n v="26.363636"/>
  </r>
  <r>
    <s v="CBG"/>
    <s v="TRƯỜNG THPT CÁCH LINH"/>
    <s v="ICT"/>
    <n v="37272727"/>
    <d v="2024-04-01T00:00:00"/>
    <n v="4"/>
    <n v="2024"/>
    <s v="Đông Bắc Bộ"/>
    <s v="Trường học"/>
    <x v="1"/>
    <s v="B"/>
    <n v="37.272727000000003"/>
  </r>
  <r>
    <s v="LSN"/>
    <s v="Trường Thpt Na Dương"/>
    <s v="ICT"/>
    <n v="61630000"/>
    <d v="2024-04-01T00:00:00"/>
    <n v="4"/>
    <n v="2024"/>
    <s v="Đông Bắc Bộ"/>
    <s v="Trường học"/>
    <x v="0"/>
    <s v="A"/>
    <n v="61.63"/>
  </r>
  <r>
    <s v="LSN"/>
    <s v="TRƯỜNG THPT NGÔ SỸ LIÊN"/>
    <s v="ICT"/>
    <n v="44848000"/>
    <d v="2024-04-01T00:00:00"/>
    <n v="4"/>
    <n v="2024"/>
    <s v="Đông Bắc Bộ"/>
    <s v="Trường học"/>
    <x v="1"/>
    <s v="A"/>
    <n v="44.847999999999999"/>
  </r>
  <r>
    <s v="VTU"/>
    <s v="Trường Thpt Nguyễn Bỉnh Khiêm"/>
    <s v="Smarthome"/>
    <n v="87200000"/>
    <d v="2024-04-01T00:00:00"/>
    <n v="4"/>
    <n v="2024"/>
    <s v="Đông Nam Bộ"/>
    <s v="Trường học"/>
    <x v="0"/>
    <s v="H"/>
    <n v="87.2"/>
  </r>
  <r>
    <s v="BKN"/>
    <s v="TRƯỜNG TIỂU HỌC BÀNH TRẠCH"/>
    <s v="ICT"/>
    <n v="14235000"/>
    <d v="2024-04-01T00:00:00"/>
    <n v="4"/>
    <n v="2024"/>
    <s v="Đông Bắc Bộ"/>
    <s v="Trường học"/>
    <x v="1"/>
    <s v="B"/>
    <n v="14.234999999999999"/>
  </r>
  <r>
    <s v="HNI"/>
    <s v="Trường Tiểu Học Đỗ Ngọc Du"/>
    <s v="ICT"/>
    <n v="43021320"/>
    <d v="2024-04-01T00:00:00"/>
    <n v="4"/>
    <n v="2024"/>
    <s v="ĐB Sông Hồng"/>
    <s v="Trường học"/>
    <x v="0"/>
    <s v="A"/>
    <n v="43.021320000000003"/>
  </r>
  <r>
    <s v="LDG"/>
    <s v="Trường Tiều Học Hoà Nam I"/>
    <s v="ICT"/>
    <n v="31772727"/>
    <d v="2024-04-01T00:00:00"/>
    <n v="4"/>
    <n v="2024"/>
    <s v="Tây Nguyên"/>
    <s v="Trường học"/>
    <x v="1"/>
    <s v="A"/>
    <n v="31.772727"/>
  </r>
  <r>
    <s v="PTO"/>
    <s v="Trường Trung Học Phổ Thông Minh Hòa"/>
    <s v="DVKT"/>
    <n v="88615455"/>
    <d v="2024-04-01T00:00:00"/>
    <n v="4"/>
    <n v="2024"/>
    <s v="Đông Bắc Bộ"/>
    <s v="Trường học"/>
    <x v="0"/>
    <s v="E"/>
    <n v="88.615454999999997"/>
  </r>
  <r>
    <s v="BTN"/>
    <s v="BỆNH VIỆN ĐA KHOA KHU VỰC BẮC BÌNH THUẬN"/>
    <s v="ICT"/>
    <n v="44070000"/>
    <d v="2024-05-01T00:00:00"/>
    <n v="5"/>
    <n v="2024"/>
    <s v="Duyên hải Nam Trung Bộ"/>
    <s v="Bệnh viện"/>
    <x v="1"/>
    <s v="F"/>
    <n v="44.07"/>
  </r>
  <r>
    <s v="YBI"/>
    <s v="Bệnh viện đa khoa tỉnh Yên Bái"/>
    <s v="ME"/>
    <n v="67618182"/>
    <d v="2024-05-01T00:00:00"/>
    <n v="5"/>
    <n v="2024"/>
    <s v="Tây Bắc Bộ"/>
    <s v="Bệnh viện"/>
    <x v="0"/>
    <s v="C"/>
    <n v="67.618182000000004"/>
  </r>
  <r>
    <s v="BGG"/>
    <s v="Bệnh viện Sản - Nhi Bắc Giang"/>
    <s v="ME"/>
    <n v="192739091"/>
    <d v="2024-05-01T00:00:00"/>
    <n v="5"/>
    <n v="2024"/>
    <s v="Đông Bắc Bộ"/>
    <s v="Bệnh viện"/>
    <x v="1"/>
    <s v="E"/>
    <n v="192.739091"/>
  </r>
  <r>
    <s v="HNM"/>
    <s v="Công ty 1"/>
    <s v="NLMT"/>
    <n v="1042347443"/>
    <d v="2024-05-01T00:00:00"/>
    <n v="5"/>
    <n v="2024"/>
    <s v="ĐB Sông Hồng"/>
    <s v="Doanh nghiệp"/>
    <x v="0"/>
    <s v="D"/>
    <n v="1042.3474430000001"/>
  </r>
  <r>
    <s v="PYN"/>
    <s v="Công ty 1"/>
    <s v="DVKT"/>
    <n v="55774364"/>
    <d v="2024-05-01T00:00:00"/>
    <n v="5"/>
    <n v="2024"/>
    <s v="Duyên hải Nam Trung Bộ"/>
    <s v="Doanh nghiệp"/>
    <x v="1"/>
    <s v="A"/>
    <n v="55.774363999999998"/>
  </r>
  <r>
    <s v="TQG"/>
    <s v="Công ty 1"/>
    <s v="ICT"/>
    <n v="24708636"/>
    <d v="2024-05-01T00:00:00"/>
    <n v="5"/>
    <n v="2024"/>
    <s v="Đông Bắc Bộ"/>
    <s v="Doanh nghiệp"/>
    <x v="0"/>
    <s v="B"/>
    <n v="24.708635999999998"/>
  </r>
  <r>
    <s v="TQG"/>
    <s v="Công ty 1"/>
    <s v="NLMT"/>
    <n v="90681818"/>
    <d v="2024-05-01T00:00:00"/>
    <n v="5"/>
    <n v="2024"/>
    <s v="Đông Bắc Bộ"/>
    <s v="Doanh nghiệp"/>
    <x v="1"/>
    <s v="K"/>
    <n v="90.681818000000007"/>
  </r>
  <r>
    <s v="HNI"/>
    <s v="Công ty 17"/>
    <s v="ME"/>
    <n v="336600008"/>
    <d v="2024-05-01T00:00:00"/>
    <n v="5"/>
    <n v="2024"/>
    <s v="ĐB Sông Hồng"/>
    <s v="Doanh nghiệp"/>
    <x v="0"/>
    <s v="C"/>
    <n v="336.600008"/>
  </r>
  <r>
    <s v="QBH"/>
    <s v="Công ty 34"/>
    <s v="NLMT"/>
    <n v="1294055000"/>
    <d v="2024-05-01T00:00:00"/>
    <n v="5"/>
    <n v="2024"/>
    <s v="Bắc Trung Bộ"/>
    <s v="Doanh nghiệp"/>
    <x v="1"/>
    <s v="D"/>
    <n v="1294.0550000000001"/>
  </r>
  <r>
    <s v="NAN"/>
    <s v="Công ty 34"/>
    <s v="DVKT"/>
    <n v="139520291"/>
    <d v="2024-05-01T00:00:00"/>
    <n v="5"/>
    <n v="2024"/>
    <s v="Bắc Trung Bộ"/>
    <s v="Doanh nghiệp"/>
    <x v="0"/>
    <s v="D"/>
    <n v="139.52029099999999"/>
  </r>
  <r>
    <s v="PYN"/>
    <s v="Công ty 37"/>
    <s v="ME"/>
    <n v="95922900"/>
    <d v="2024-05-01T00:00:00"/>
    <n v="5"/>
    <n v="2024"/>
    <s v="Duyên hải Nam Trung Bộ"/>
    <s v="Doanh nghiệp"/>
    <x v="1"/>
    <s v="L"/>
    <n v="95.922899999999998"/>
  </r>
  <r>
    <s v="DLK"/>
    <s v="Công ty 43"/>
    <s v="DVKT"/>
    <n v="73409091"/>
    <d v="2024-05-01T00:00:00"/>
    <n v="5"/>
    <n v="2024"/>
    <s v="Tây Nguyên"/>
    <s v="Doanh nghiệp"/>
    <x v="0"/>
    <s v="C"/>
    <n v="73.409091000000004"/>
  </r>
  <r>
    <s v="TGG"/>
    <s v="Công ty 49"/>
    <s v="ICT"/>
    <n v="399877500"/>
    <d v="2024-05-01T00:00:00"/>
    <n v="5"/>
    <n v="2024"/>
    <s v="ĐB Sông Cửu Long"/>
    <s v="Doanh nghiệp"/>
    <x v="1"/>
    <s v="F"/>
    <n v="399.8775"/>
  </r>
  <r>
    <s v="DNG"/>
    <s v="Công ty 61"/>
    <s v="ICT"/>
    <n v="92298764"/>
    <d v="2024-05-01T00:00:00"/>
    <n v="5"/>
    <n v="2024"/>
    <s v="Duyên hải Nam Trung Bộ"/>
    <s v="Doanh nghiệp"/>
    <x v="0"/>
    <s v="F"/>
    <n v="92.298764000000006"/>
  </r>
  <r>
    <s v="DNG"/>
    <s v="Công ty 62"/>
    <s v="ICT"/>
    <n v="445363636"/>
    <d v="2024-05-01T00:00:00"/>
    <n v="5"/>
    <n v="2024"/>
    <s v="Duyên hải Nam Trung Bộ"/>
    <s v="Doanh nghiệp"/>
    <x v="1"/>
    <s v="F"/>
    <n v="445.36363599999999"/>
  </r>
  <r>
    <s v="BPC"/>
    <s v="Công ty 70"/>
    <s v="ICT"/>
    <n v="69631337"/>
    <d v="2024-05-01T00:00:00"/>
    <n v="5"/>
    <n v="2024"/>
    <s v="Đông Nam Bộ"/>
    <s v="Doanh nghiệp"/>
    <x v="0"/>
    <s v="B"/>
    <n v="69.631337000000002"/>
  </r>
  <r>
    <s v="BTE"/>
    <s v="Công ty 77"/>
    <s v="ICT"/>
    <n v="4136364"/>
    <d v="2024-05-01T00:00:00"/>
    <n v="5"/>
    <n v="2024"/>
    <s v="ĐB Sông Cửu Long"/>
    <s v="Doanh nghiệp"/>
    <x v="1"/>
    <s v="B"/>
    <n v="4.1363640000000004"/>
  </r>
  <r>
    <s v="BTE"/>
    <s v="Công ty 78"/>
    <s v="ICT"/>
    <n v="4136364"/>
    <d v="2024-05-01T00:00:00"/>
    <n v="5"/>
    <n v="2024"/>
    <s v="ĐB Sông Cửu Long"/>
    <s v="Doanh nghiệp"/>
    <x v="0"/>
    <s v="B"/>
    <n v="4.1363640000000004"/>
  </r>
  <r>
    <s v="BTE"/>
    <s v="Công ty 84"/>
    <s v="ICT"/>
    <n v="5136364"/>
    <d v="2024-05-01T00:00:00"/>
    <n v="5"/>
    <n v="2024"/>
    <s v="ĐB Sông Cửu Long"/>
    <s v="Doanh nghiệp"/>
    <x v="1"/>
    <s v="F"/>
    <n v="5.1363640000000004"/>
  </r>
  <r>
    <s v="NAN"/>
    <s v="Công ty 5"/>
    <s v="ICT"/>
    <n v="400199091"/>
    <d v="2024-05-01T00:00:00"/>
    <n v="5"/>
    <n v="2024"/>
    <s v="Bắc Trung Bộ"/>
    <s v="Doanh nghiệp"/>
    <x v="0"/>
    <s v="A"/>
    <n v="400.19909100000001"/>
  </r>
  <r>
    <s v="DNG"/>
    <s v="Công ty 95"/>
    <s v="DVKT"/>
    <n v="4745455"/>
    <d v="2024-05-01T00:00:00"/>
    <n v="5"/>
    <n v="2024"/>
    <s v="Duyên hải Nam Trung Bộ"/>
    <s v="Doanh nghiệp"/>
    <x v="1"/>
    <s v="C"/>
    <n v="4.7454549999999998"/>
  </r>
  <r>
    <s v="DNI"/>
    <s v="Công ty 24"/>
    <s v="ICT"/>
    <n v="249330000"/>
    <d v="2024-05-01T00:00:00"/>
    <n v="5"/>
    <n v="2024"/>
    <s v="Đông Nam Bộ"/>
    <s v="Doanh nghiệp"/>
    <x v="0"/>
    <s v="B"/>
    <n v="249.33"/>
  </r>
  <r>
    <s v="NTN"/>
    <s v="Công ty 30"/>
    <s v="ICT"/>
    <n v="54031818"/>
    <d v="2024-05-01T00:00:00"/>
    <n v="5"/>
    <n v="2024"/>
    <s v="Duyên hải Nam Trung Bộ"/>
    <s v="Doanh nghiệp"/>
    <x v="1"/>
    <s v="B"/>
    <n v="54.031818000000001"/>
  </r>
  <r>
    <s v="VPC"/>
    <s v="Công ty 37"/>
    <s v="NLMT"/>
    <n v="47127273"/>
    <d v="2024-05-01T00:00:00"/>
    <n v="5"/>
    <n v="2024"/>
    <s v="ĐB Sông Hồng"/>
    <s v="Doanh nghiệp"/>
    <x v="0"/>
    <s v="D"/>
    <n v="47.127273000000002"/>
  </r>
  <r>
    <s v="NAN"/>
    <s v="Công ty 44"/>
    <s v="ICT"/>
    <n v="17968182"/>
    <d v="2024-05-01T00:00:00"/>
    <n v="5"/>
    <n v="2024"/>
    <s v="Bắc Trung Bộ"/>
    <s v="Doanh nghiệp"/>
    <x v="1"/>
    <s v="B"/>
    <n v="17.968181999999999"/>
  </r>
  <r>
    <s v="PTO"/>
    <s v="Công ty 55"/>
    <s v="DVKT"/>
    <n v="11511818"/>
    <d v="2024-05-01T00:00:00"/>
    <n v="5"/>
    <n v="2024"/>
    <s v="Đông Bắc Bộ"/>
    <s v="Doanh nghiệp"/>
    <x v="0"/>
    <s v="M"/>
    <n v="11.511818"/>
  </r>
  <r>
    <s v="TQG"/>
    <s v="Công ty 59"/>
    <s v="ICT"/>
    <n v="32583636"/>
    <d v="2024-05-01T00:00:00"/>
    <n v="5"/>
    <n v="2024"/>
    <s v="Đông Bắc Bộ"/>
    <s v="Doanh nghiệp"/>
    <x v="1"/>
    <s v="B"/>
    <n v="32.583635999999998"/>
  </r>
  <r>
    <s v="HNI"/>
    <s v="Công ty 63"/>
    <s v="DVKT"/>
    <n v="220000000"/>
    <d v="2024-05-01T00:00:00"/>
    <n v="5"/>
    <n v="2024"/>
    <s v="ĐB Sông Hồng"/>
    <s v="Doanh nghiệp"/>
    <x v="0"/>
    <s v="C"/>
    <n v="220"/>
  </r>
  <r>
    <s v="HDG"/>
    <s v="Công ty 71"/>
    <s v="ICT"/>
    <n v="47354545"/>
    <d v="2024-05-01T00:00:00"/>
    <n v="5"/>
    <n v="2024"/>
    <s v="ĐB Sông Hồng"/>
    <s v="Doanh nghiệp"/>
    <x v="1"/>
    <s v="P"/>
    <n v="47.354545000000002"/>
  </r>
  <r>
    <s v="PTO"/>
    <s v="Công ty 88"/>
    <s v="ME"/>
    <n v="87880000"/>
    <d v="2024-05-01T00:00:00"/>
    <n v="5"/>
    <n v="2024"/>
    <s v="Đông Bắc Bộ"/>
    <s v="Doanh nghiệp"/>
    <x v="0"/>
    <s v="E"/>
    <n v="87.88"/>
  </r>
  <r>
    <s v="PTO"/>
    <s v="Công ty 89"/>
    <s v="ICT"/>
    <n v="456900000"/>
    <d v="2024-05-01T00:00:00"/>
    <n v="5"/>
    <n v="2024"/>
    <s v="Đông Bắc Bộ"/>
    <s v="Doanh nghiệp"/>
    <x v="1"/>
    <s v="B"/>
    <n v="456.9"/>
  </r>
  <r>
    <s v="HUE"/>
    <s v="Công ty 13"/>
    <s v="ICT"/>
    <n v="24390000"/>
    <d v="2024-05-01T00:00:00"/>
    <n v="5"/>
    <n v="2024"/>
    <s v="Bắc Trung Bộ"/>
    <s v="Doanh nghiệp"/>
    <x v="0"/>
    <s v="A"/>
    <n v="24.39"/>
  </r>
  <r>
    <s v="LSN"/>
    <s v="Công ty 23"/>
    <s v="NLMT"/>
    <n v="9647295740"/>
    <d v="2024-05-01T00:00:00"/>
    <n v="5"/>
    <n v="2024"/>
    <s v="Đông Bắc Bộ"/>
    <s v="Doanh nghiệp"/>
    <x v="1"/>
    <s v="D"/>
    <n v="9647.2957399999996"/>
  </r>
  <r>
    <s v="NAN"/>
    <s v="Công ty 31"/>
    <s v="NLMT"/>
    <n v="77558188"/>
    <d v="2024-05-01T00:00:00"/>
    <n v="5"/>
    <n v="2024"/>
    <s v="Bắc Trung Bộ"/>
    <s v="Doanh nghiệp"/>
    <x v="0"/>
    <s v="D"/>
    <n v="77.558188000000001"/>
  </r>
  <r>
    <s v="QTI"/>
    <s v="Công ty 37"/>
    <s v="NLMT"/>
    <n v="607272727"/>
    <d v="2024-05-01T00:00:00"/>
    <n v="5"/>
    <n v="2024"/>
    <s v="Bắc Trung Bộ"/>
    <s v="Doanh nghiệp"/>
    <x v="1"/>
    <s v="D"/>
    <n v="607.27272700000003"/>
  </r>
  <r>
    <s v="CBG"/>
    <s v="Công ty 61"/>
    <s v="DVKT"/>
    <n v="225815433"/>
    <d v="2024-05-01T00:00:00"/>
    <n v="5"/>
    <n v="2024"/>
    <s v="Đông Bắc Bộ"/>
    <s v="Doanh nghiệp"/>
    <x v="0"/>
    <s v="B"/>
    <n v="225.81543300000001"/>
  </r>
  <r>
    <s v="CBG"/>
    <s v="Công ty 62"/>
    <s v="DVKT"/>
    <n v="35190909"/>
    <d v="2024-05-01T00:00:00"/>
    <n v="5"/>
    <n v="2024"/>
    <s v="Đông Bắc Bộ"/>
    <s v="Doanh nghiệp"/>
    <x v="1"/>
    <s v="B"/>
    <n v="35.190908999999998"/>
  </r>
  <r>
    <s v="HUG"/>
    <s v="Công ty 72"/>
    <s v="ME"/>
    <n v="554454545"/>
    <d v="2024-05-01T00:00:00"/>
    <n v="5"/>
    <n v="2024"/>
    <s v="ĐB Sông Cửu Long"/>
    <s v="Doanh nghiệp"/>
    <x v="0"/>
    <s v="O"/>
    <n v="554.45454500000005"/>
  </r>
  <r>
    <s v="PTO"/>
    <s v="Công ty 3"/>
    <s v="DVKT"/>
    <n v="415421767"/>
    <d v="2024-05-01T00:00:00"/>
    <n v="5"/>
    <n v="2024"/>
    <s v="Đông Bắc Bộ"/>
    <s v="Doanh nghiệp"/>
    <x v="1"/>
    <s v="A"/>
    <n v="415.42176699999999"/>
  </r>
  <r>
    <s v="HUE"/>
    <s v="Công ty 9"/>
    <s v="ICT"/>
    <n v="154004545"/>
    <d v="2024-05-01T00:00:00"/>
    <n v="5"/>
    <n v="2024"/>
    <s v="Bắc Trung Bộ"/>
    <s v="Doanh nghiệp"/>
    <x v="0"/>
    <s v="B"/>
    <n v="154.00454500000001"/>
  </r>
  <r>
    <s v="KGG"/>
    <s v="Công ty 15"/>
    <s v="ICT"/>
    <n v="222069150"/>
    <d v="2024-05-01T00:00:00"/>
    <n v="5"/>
    <n v="2024"/>
    <s v="ĐB Sông Cửu Long"/>
    <s v="Doanh nghiệp"/>
    <x v="1"/>
    <s v="B"/>
    <n v="222.06915000000001"/>
  </r>
  <r>
    <s v="LCI"/>
    <s v="Công ty 38"/>
    <s v="ME"/>
    <n v="24757000"/>
    <d v="2024-05-01T00:00:00"/>
    <n v="5"/>
    <n v="2024"/>
    <s v="Tây Bắc Bộ"/>
    <s v="Doanh nghiệp"/>
    <x v="0"/>
    <s v="C"/>
    <n v="24.757000000000001"/>
  </r>
  <r>
    <s v="LCI"/>
    <s v="Công ty 39"/>
    <s v="ME"/>
    <n v="27082000"/>
    <d v="2024-05-01T00:00:00"/>
    <n v="5"/>
    <n v="2024"/>
    <s v="Tây Bắc Bộ"/>
    <s v="Doanh nghiệp"/>
    <x v="1"/>
    <s v="C"/>
    <n v="27.082000000000001"/>
  </r>
  <r>
    <s v="TQG"/>
    <s v="Công ty 72"/>
    <s v="ME"/>
    <n v="53867362"/>
    <d v="2024-05-01T00:00:00"/>
    <n v="5"/>
    <n v="2024"/>
    <s v="Đông Bắc Bộ"/>
    <s v="Doanh nghiệp"/>
    <x v="0"/>
    <s v="C"/>
    <n v="53.867362"/>
  </r>
  <r>
    <s v="NAN"/>
    <s v="Công ty 24"/>
    <s v="ICT"/>
    <n v="1076400"/>
    <d v="2024-05-01T00:00:00"/>
    <n v="5"/>
    <n v="2024"/>
    <s v="Bắc Trung Bộ"/>
    <s v="Doanh nghiệp"/>
    <x v="1"/>
    <s v="L"/>
    <n v="1.0764"/>
  </r>
  <r>
    <s v="NAN"/>
    <s v="Công ty 25"/>
    <s v="ICT"/>
    <n v="1076400"/>
    <d v="2024-05-01T00:00:00"/>
    <n v="5"/>
    <n v="2024"/>
    <s v="Bắc Trung Bộ"/>
    <s v="Doanh nghiệp"/>
    <x v="0"/>
    <s v="L"/>
    <n v="1.0764"/>
  </r>
  <r>
    <s v="NAN"/>
    <s v="Công ty 26"/>
    <s v="ICT"/>
    <n v="1076400"/>
    <d v="2024-05-01T00:00:00"/>
    <n v="5"/>
    <n v="2024"/>
    <s v="Bắc Trung Bộ"/>
    <s v="Doanh nghiệp"/>
    <x v="1"/>
    <s v="L"/>
    <n v="1.0764"/>
  </r>
  <r>
    <s v="SLA"/>
    <s v="Công ty 28"/>
    <s v="ME"/>
    <n v="100033800"/>
    <d v="2024-05-01T00:00:00"/>
    <n v="5"/>
    <n v="2024"/>
    <s v="Tây Bắc Bộ"/>
    <s v="Doanh nghiệp"/>
    <x v="0"/>
    <s v="O"/>
    <n v="100.0338"/>
  </r>
  <r>
    <s v="DTP"/>
    <s v="Công ty 48"/>
    <s v="ME"/>
    <n v="20363636"/>
    <d v="2024-05-01T00:00:00"/>
    <n v="5"/>
    <n v="2024"/>
    <s v="ĐB Sông Cửu Long"/>
    <s v="Doanh nghiệp"/>
    <x v="1"/>
    <s v="Q"/>
    <n v="20.363636"/>
  </r>
  <r>
    <s v="HNM"/>
    <s v="Công ty 82"/>
    <s v="ME"/>
    <n v="148100000"/>
    <d v="2024-05-01T00:00:00"/>
    <n v="5"/>
    <n v="2024"/>
    <s v="ĐB Sông Hồng"/>
    <s v="Doanh nghiệp"/>
    <x v="0"/>
    <s v="E"/>
    <n v="148.1"/>
  </r>
  <r>
    <s v="DTP"/>
    <s v="Công ty 8"/>
    <s v="ME"/>
    <n v="20000000"/>
    <d v="2024-05-01T00:00:00"/>
    <n v="5"/>
    <n v="2024"/>
    <s v="ĐB Sông Cửu Long"/>
    <s v="Doanh nghiệp"/>
    <x v="1"/>
    <s v="Q"/>
    <n v="20"/>
  </r>
  <r>
    <s v="NAN"/>
    <s v="Công ty 18"/>
    <s v="ICT"/>
    <n v="44891687"/>
    <d v="2024-05-01T00:00:00"/>
    <n v="5"/>
    <n v="2024"/>
    <s v="Bắc Trung Bộ"/>
    <s v="Doanh nghiệp"/>
    <x v="0"/>
    <s v="B"/>
    <n v="44.891686999999997"/>
  </r>
  <r>
    <s v="SLA"/>
    <s v="Công ty 32"/>
    <s v="ME"/>
    <n v="154545455"/>
    <d v="2024-05-01T00:00:00"/>
    <n v="5"/>
    <n v="2024"/>
    <s v="Tây Bắc Bộ"/>
    <s v="Doanh nghiệp"/>
    <x v="1"/>
    <s v="C"/>
    <n v="154.545455"/>
  </r>
  <r>
    <s v="BPC"/>
    <s v="Công ty 38"/>
    <s v="ICT"/>
    <n v="27660000"/>
    <d v="2024-05-01T00:00:00"/>
    <n v="5"/>
    <n v="2024"/>
    <s v="Đông Nam Bộ"/>
    <s v="Doanh nghiệp"/>
    <x v="0"/>
    <s v="A"/>
    <n v="27.66"/>
  </r>
  <r>
    <s v="NBH"/>
    <s v="Công ty 58"/>
    <s v="ICT"/>
    <n v="116871109"/>
    <d v="2024-05-01T00:00:00"/>
    <n v="5"/>
    <n v="2024"/>
    <s v="ĐB Sông Hồng"/>
    <s v="Doanh nghiệp"/>
    <x v="1"/>
    <s v="B"/>
    <n v="116.871109"/>
  </r>
  <r>
    <s v="QNH"/>
    <s v="Công ty 65"/>
    <s v="ICT"/>
    <n v="19963000"/>
    <d v="2024-05-01T00:00:00"/>
    <n v="5"/>
    <n v="2024"/>
    <s v="Đông Bắc Bộ"/>
    <s v="Doanh nghiệp"/>
    <x v="0"/>
    <s v="B"/>
    <n v="19.963000000000001"/>
  </r>
  <r>
    <s v="QNH"/>
    <s v="Công ty 84"/>
    <s v="DVKT"/>
    <n v="124050000"/>
    <d v="2024-05-01T00:00:00"/>
    <n v="5"/>
    <n v="2024"/>
    <s v="Đông Bắc Bộ"/>
    <s v="Doanh nghiệp"/>
    <x v="1"/>
    <s v="C"/>
    <n v="124.05"/>
  </r>
  <r>
    <s v="HGG"/>
    <s v="Công ty 95"/>
    <s v="NLMT"/>
    <n v="333386513"/>
    <d v="2024-05-01T00:00:00"/>
    <n v="5"/>
    <n v="2024"/>
    <s v="Đông Bắc Bộ"/>
    <s v="Doanh nghiệp"/>
    <x v="0"/>
    <s v="K"/>
    <n v="333.38651299999998"/>
  </r>
  <r>
    <s v="LCI"/>
    <s v="Công ty 96"/>
    <s v="DVKT"/>
    <n v="499422000"/>
    <d v="2024-05-01T00:00:00"/>
    <n v="5"/>
    <n v="2024"/>
    <s v="Tây Bắc Bộ"/>
    <s v="Doanh nghiệp"/>
    <x v="1"/>
    <s v="G"/>
    <n v="499.42200000000003"/>
  </r>
  <r>
    <s v="AGG"/>
    <s v="Công ty 11"/>
    <s v="NLMT"/>
    <n v="20909091"/>
    <d v="2024-05-01T00:00:00"/>
    <n v="5"/>
    <n v="2024"/>
    <s v="ĐB Sông Cửu Long"/>
    <s v="Doanh nghiệp"/>
    <x v="0"/>
    <s v="K"/>
    <n v="20.909091"/>
  </r>
  <r>
    <s v="GLI"/>
    <s v="Công ty 14"/>
    <s v="NLMT"/>
    <n v="18000000"/>
    <d v="2024-05-01T00:00:00"/>
    <n v="5"/>
    <n v="2024"/>
    <s v="Tây Nguyên"/>
    <s v="Doanh nghiệp"/>
    <x v="1"/>
    <s v="K"/>
    <n v="18"/>
  </r>
  <r>
    <s v="NBH"/>
    <s v="Công ty 17"/>
    <s v="NLMT"/>
    <n v="718181818"/>
    <d v="2024-05-01T00:00:00"/>
    <n v="5"/>
    <n v="2024"/>
    <s v="ĐB Sông Hồng"/>
    <s v="Doanh nghiệp"/>
    <x v="0"/>
    <s v="D"/>
    <n v="718.18181800000002"/>
  </r>
  <r>
    <s v="VLG"/>
    <s v="Công ty 49"/>
    <s v="NLMT"/>
    <n v="90539906"/>
    <d v="2024-05-01T00:00:00"/>
    <n v="5"/>
    <n v="2024"/>
    <s v="ĐB Sông Cửu Long"/>
    <s v="Doanh nghiệp"/>
    <x v="1"/>
    <s v="D"/>
    <n v="90.539906000000002"/>
  </r>
  <r>
    <s v="BPC"/>
    <s v="Công ty 62"/>
    <s v="DVKT"/>
    <n v="8836364"/>
    <d v="2024-05-01T00:00:00"/>
    <n v="5"/>
    <n v="2024"/>
    <s v="Đông Nam Bộ"/>
    <s v="Doanh nghiệp"/>
    <x v="0"/>
    <s v="D"/>
    <n v="8.8363639999999997"/>
  </r>
  <r>
    <s v="HPG"/>
    <s v="Công ty 65"/>
    <s v="DVKT"/>
    <n v="1342887700"/>
    <d v="2024-05-01T00:00:00"/>
    <n v="5"/>
    <n v="2024"/>
    <s v="ĐB Sông Hồng"/>
    <s v="Doanh nghiệp"/>
    <x v="1"/>
    <s v="A"/>
    <n v="1342.8877"/>
  </r>
  <r>
    <s v="QNI"/>
    <s v="Công ty 67"/>
    <s v="ICT"/>
    <n v="117855000"/>
    <d v="2024-05-01T00:00:00"/>
    <n v="5"/>
    <n v="2024"/>
    <s v="Duyên hải Nam Trung Bộ"/>
    <s v="Doanh nghiệp"/>
    <x v="0"/>
    <s v="B"/>
    <n v="117.855"/>
  </r>
  <r>
    <s v="VLG"/>
    <s v="Công ty 84"/>
    <s v="ME"/>
    <n v="24681818"/>
    <d v="2024-05-01T00:00:00"/>
    <n v="5"/>
    <n v="2024"/>
    <s v="ĐB Sông Cửu Long"/>
    <s v="Doanh nghiệp"/>
    <x v="1"/>
    <s v="C"/>
    <n v="24.681818"/>
  </r>
  <r>
    <s v="BKN"/>
    <s v="Công ty 22"/>
    <s v="ICT"/>
    <n v="3818182"/>
    <d v="2024-05-01T00:00:00"/>
    <n v="5"/>
    <n v="2024"/>
    <s v="Đông Bắc Bộ"/>
    <s v="Doanh nghiệp"/>
    <x v="0"/>
    <s v="F"/>
    <n v="3.8181820000000002"/>
  </r>
  <r>
    <s v="SLA"/>
    <s v="Công ty 36"/>
    <s v="ME"/>
    <n v="61396727"/>
    <d v="2024-05-01T00:00:00"/>
    <n v="5"/>
    <n v="2024"/>
    <s v="Tây Bắc Bộ"/>
    <s v="Doanh nghiệp"/>
    <x v="1"/>
    <s v="O"/>
    <n v="61.396726999999998"/>
  </r>
  <r>
    <s v="PTO"/>
    <s v="Công ty 68"/>
    <s v="NLMT"/>
    <n v="91690909"/>
    <d v="2024-05-01T00:00:00"/>
    <n v="5"/>
    <n v="2024"/>
    <s v="Đông Bắc Bộ"/>
    <s v="Doanh nghiệp"/>
    <x v="0"/>
    <s v="D"/>
    <n v="91.690909000000005"/>
  </r>
  <r>
    <s v="QTI"/>
    <s v="Công ty 90"/>
    <s v="ME"/>
    <n v="103090000"/>
    <d v="2024-05-01T00:00:00"/>
    <n v="5"/>
    <n v="2024"/>
    <s v="Bắc Trung Bộ"/>
    <s v="Doanh nghiệp"/>
    <x v="1"/>
    <s v="O"/>
    <n v="103.09"/>
  </r>
  <r>
    <s v="NAN"/>
    <s v="Công ty 11"/>
    <s v="NLMT"/>
    <n v="297696050"/>
    <d v="2024-05-01T00:00:00"/>
    <n v="5"/>
    <n v="2024"/>
    <s v="Bắc Trung Bộ"/>
    <s v="Doanh nghiệp"/>
    <x v="0"/>
    <s v="D"/>
    <n v="297.69605000000001"/>
  </r>
  <r>
    <s v="CBG"/>
    <s v="Công ty 41"/>
    <s v="ME"/>
    <n v="77576364"/>
    <d v="2024-05-01T00:00:00"/>
    <n v="5"/>
    <n v="2024"/>
    <s v="Đông Bắc Bộ"/>
    <s v="Doanh nghiệp"/>
    <x v="1"/>
    <s v="C"/>
    <n v="77.576363999999998"/>
  </r>
  <r>
    <s v="HNI"/>
    <s v="Công ty 47"/>
    <s v="ICT"/>
    <n v="141218910"/>
    <d v="2024-05-01T00:00:00"/>
    <n v="5"/>
    <n v="2024"/>
    <s v="ĐB Sông Hồng"/>
    <s v="Doanh nghiệp"/>
    <x v="0"/>
    <s v="F"/>
    <n v="141.21890999999999"/>
  </r>
  <r>
    <s v="BTN"/>
    <s v="Công ty 53"/>
    <s v="DVKT"/>
    <n v="43800000"/>
    <d v="2024-05-01T00:00:00"/>
    <n v="5"/>
    <n v="2024"/>
    <s v="Duyên hải Nam Trung Bộ"/>
    <s v="Doanh nghiệp"/>
    <x v="1"/>
    <s v="A"/>
    <n v="43.8"/>
  </r>
  <r>
    <s v="PTO"/>
    <s v="Công ty 91"/>
    <s v="DVKT"/>
    <n v="372727273"/>
    <d v="2024-05-01T00:00:00"/>
    <n v="5"/>
    <n v="2024"/>
    <s v="Đông Bắc Bộ"/>
    <s v="Doanh nghiệp"/>
    <x v="0"/>
    <s v="E"/>
    <n v="372.72727300000003"/>
  </r>
  <r>
    <s v="AGG"/>
    <s v="Công ty 93"/>
    <s v="ICT"/>
    <n v="54756364"/>
    <d v="2024-05-01T00:00:00"/>
    <n v="5"/>
    <n v="2024"/>
    <s v="ĐB Sông Cửu Long"/>
    <s v="Doanh nghiệp"/>
    <x v="1"/>
    <s v="B"/>
    <n v="54.756363999999998"/>
  </r>
  <r>
    <s v="TNH"/>
    <s v="Công ty 96"/>
    <s v="ME"/>
    <n v="98712770"/>
    <d v="2024-05-01T00:00:00"/>
    <n v="5"/>
    <n v="2024"/>
    <s v="Đông Nam Bộ"/>
    <s v="Doanh nghiệp"/>
    <x v="0"/>
    <s v="L"/>
    <n v="98.712770000000006"/>
  </r>
  <r>
    <s v="CTO"/>
    <s v="Công ty 15"/>
    <s v="NLMT"/>
    <n v="165608265"/>
    <d v="2024-05-01T00:00:00"/>
    <n v="5"/>
    <n v="2024"/>
    <s v="ĐB Sông Cửu Long"/>
    <s v="Doanh nghiệp"/>
    <x v="1"/>
    <s v="D"/>
    <n v="165.60826499999999"/>
  </r>
  <r>
    <s v="DNI"/>
    <s v="Công ty 18"/>
    <s v="ICT"/>
    <n v="38476020"/>
    <d v="2024-05-01T00:00:00"/>
    <n v="5"/>
    <n v="2024"/>
    <s v="Đông Nam Bộ"/>
    <s v="Doanh nghiệp"/>
    <x v="0"/>
    <s v="A"/>
    <n v="38.476019999999998"/>
  </r>
  <r>
    <s v="NAN"/>
    <s v="Công ty 66"/>
    <s v="NLMT"/>
    <n v="61207273"/>
    <d v="2024-05-01T00:00:00"/>
    <n v="5"/>
    <n v="2024"/>
    <s v="Bắc Trung Bộ"/>
    <s v="Doanh nghiệp"/>
    <x v="1"/>
    <s v="D"/>
    <n v="61.207273000000001"/>
  </r>
  <r>
    <s v="LDG"/>
    <s v="Công ty 80"/>
    <s v="ICT"/>
    <n v="15526473"/>
    <d v="2024-05-01T00:00:00"/>
    <n v="5"/>
    <n v="2024"/>
    <s v="Tây Nguyên"/>
    <s v="Doanh nghiệp"/>
    <x v="0"/>
    <s v="A"/>
    <n v="15.526472999999999"/>
  </r>
  <r>
    <s v="DLK"/>
    <s v="Công ty 94"/>
    <s v="ICT"/>
    <n v="35068473"/>
    <d v="2024-05-01T00:00:00"/>
    <n v="5"/>
    <n v="2024"/>
    <s v="Tây Nguyên"/>
    <s v="Doanh nghiệp"/>
    <x v="1"/>
    <s v="B"/>
    <n v="35.068472999999997"/>
  </r>
  <r>
    <s v="TQG"/>
    <s v="Công ty 97"/>
    <s v="ME"/>
    <n v="62622909"/>
    <d v="2024-05-01T00:00:00"/>
    <n v="5"/>
    <n v="2024"/>
    <s v="Đông Bắc Bộ"/>
    <s v="Doanh nghiệp"/>
    <x v="0"/>
    <s v="C"/>
    <n v="62.622909"/>
  </r>
  <r>
    <s v="HNI"/>
    <s v="Công ty 90"/>
    <s v="ME"/>
    <n v="100111818"/>
    <d v="2024-05-01T00:00:00"/>
    <n v="5"/>
    <n v="2024"/>
    <s v="ĐB Sông Hồng"/>
    <s v="Doanh nghiệp"/>
    <x v="1"/>
    <s v="C"/>
    <n v="100.111818"/>
  </r>
  <r>
    <s v="BTN"/>
    <s v="Doanh nghiệp 2"/>
    <s v="ICT"/>
    <n v="188398500"/>
    <d v="2024-05-01T00:00:00"/>
    <n v="5"/>
    <n v="2024"/>
    <s v="Duyên hải Nam Trung Bộ"/>
    <s v="Doanh nghiệp"/>
    <x v="0"/>
    <s v="B"/>
    <n v="188.39850000000001"/>
  </r>
  <r>
    <s v="KHA"/>
    <s v="Doanh nghiệp 20"/>
    <s v="NLMT"/>
    <n v="100016364"/>
    <d v="2024-05-01T00:00:00"/>
    <n v="5"/>
    <n v="2024"/>
    <s v="Duyên hải Nam Trung Bộ"/>
    <s v="Doanh nghiệp"/>
    <x v="1"/>
    <s v="D"/>
    <n v="100.016364"/>
  </r>
  <r>
    <s v="DTP"/>
    <s v="Doanh nghiệp 22"/>
    <s v="ME"/>
    <n v="82272727"/>
    <d v="2024-05-01T00:00:00"/>
    <n v="5"/>
    <n v="2024"/>
    <s v="ĐB Sông Cửu Long"/>
    <s v="Doanh nghiệp"/>
    <x v="0"/>
    <s v="M"/>
    <n v="82.272727000000003"/>
  </r>
  <r>
    <s v="LSN"/>
    <s v="Doanh nghiệp 30"/>
    <s v="ICT"/>
    <n v="13026000"/>
    <d v="2024-05-01T00:00:00"/>
    <n v="5"/>
    <n v="2024"/>
    <s v="Đông Bắc Bộ"/>
    <s v="Doanh nghiệp"/>
    <x v="1"/>
    <s v="A"/>
    <n v="13.026"/>
  </r>
  <r>
    <s v="HTH"/>
    <s v="Doanh nghiệp 6"/>
    <s v="Smarthome"/>
    <n v="136363664"/>
    <d v="2024-05-01T00:00:00"/>
    <n v="5"/>
    <n v="2024"/>
    <s v="Bắc Trung Bộ"/>
    <s v="Doanh nghiệp"/>
    <x v="0"/>
    <s v="H"/>
    <n v="136.363664"/>
  </r>
  <r>
    <s v="HTH"/>
    <s v="Doanh nghiệp 23"/>
    <s v="ICT"/>
    <n v="72609091"/>
    <d v="2024-05-01T00:00:00"/>
    <n v="5"/>
    <n v="2024"/>
    <s v="Bắc Trung Bộ"/>
    <s v="Doanh nghiệp"/>
    <x v="1"/>
    <s v="B"/>
    <n v="72.609091000000006"/>
  </r>
  <r>
    <s v="NAN"/>
    <s v="Doanh nghiệp 30"/>
    <s v="NLMT"/>
    <n v="966662600"/>
    <d v="2024-05-01T00:00:00"/>
    <n v="5"/>
    <n v="2024"/>
    <s v="Bắc Trung Bộ"/>
    <s v="Doanh nghiệp"/>
    <x v="0"/>
    <s v="D"/>
    <n v="966.6626"/>
  </r>
  <r>
    <s v="CTO"/>
    <s v="Doanh nghiệp 14"/>
    <s v="ME"/>
    <n v="16181818"/>
    <d v="2024-05-01T00:00:00"/>
    <n v="5"/>
    <n v="2024"/>
    <s v="ĐB Sông Cửu Long"/>
    <s v="Doanh nghiệp"/>
    <x v="1"/>
    <s v="O"/>
    <n v="16.181818"/>
  </r>
  <r>
    <s v="GLI"/>
    <s v="Doanh nghiệp 25"/>
    <s v="ICT"/>
    <n v="28545000"/>
    <d v="2024-05-01T00:00:00"/>
    <n v="5"/>
    <n v="2024"/>
    <s v="Tây Nguyên"/>
    <s v="Doanh nghiệp"/>
    <x v="0"/>
    <s v="F"/>
    <n v="28.545000000000002"/>
  </r>
  <r>
    <s v="GLI"/>
    <s v="Doanh nghiệp 26"/>
    <s v="ICT"/>
    <n v="21818182"/>
    <d v="2024-05-01T00:00:00"/>
    <n v="5"/>
    <n v="2024"/>
    <s v="Tây Nguyên"/>
    <s v="Doanh nghiệp"/>
    <x v="1"/>
    <s v="F"/>
    <n v="21.818182"/>
  </r>
  <r>
    <s v="TVH"/>
    <s v="Doanh nghiệp 27"/>
    <s v="DVKT"/>
    <n v="18032269"/>
    <d v="2024-05-01T00:00:00"/>
    <n v="5"/>
    <n v="2024"/>
    <s v="ĐB Sông Cửu Long"/>
    <s v="Doanh nghiệp"/>
    <x v="0"/>
    <s v="F"/>
    <n v="18.032268999999999"/>
  </r>
  <r>
    <s v="THA"/>
    <s v="Doanh nghiệp 28"/>
    <s v="ICT"/>
    <n v="52663636"/>
    <d v="2024-05-01T00:00:00"/>
    <n v="5"/>
    <n v="2024"/>
    <s v="Bắc Trung Bộ"/>
    <s v="Doanh nghiệp"/>
    <x v="1"/>
    <s v="F"/>
    <n v="52.663635999999997"/>
  </r>
  <r>
    <s v="NDH"/>
    <s v="Doanh nghiệp 29"/>
    <s v="ME"/>
    <n v="173801818"/>
    <d v="2024-05-01T00:00:00"/>
    <n v="5"/>
    <n v="2024"/>
    <s v="ĐB Sông Hồng"/>
    <s v="Doanh nghiệp"/>
    <x v="0"/>
    <s v="C"/>
    <n v="173.801818"/>
  </r>
  <r>
    <s v="HYN"/>
    <s v="Doanh nghiệp 30"/>
    <s v="ME"/>
    <n v="103909091"/>
    <d v="2024-05-01T00:00:00"/>
    <n v="5"/>
    <n v="2024"/>
    <s v="ĐB Sông Hồng"/>
    <s v="Doanh nghiệp"/>
    <x v="1"/>
    <s v="C"/>
    <n v="103.909091"/>
  </r>
  <r>
    <s v="BDH"/>
    <s v="Doanh nghiệp 3"/>
    <s v="DVKT"/>
    <n v="379192111"/>
    <d v="2024-05-01T00:00:00"/>
    <n v="5"/>
    <n v="2024"/>
    <s v="Duyên hải Nam Trung Bộ"/>
    <s v="Doanh nghiệp"/>
    <x v="0"/>
    <s v="A"/>
    <n v="379.19211100000001"/>
  </r>
  <r>
    <s v="TNN"/>
    <s v="Doanh nghiệp 20"/>
    <s v="NLMT"/>
    <n v="341818182"/>
    <d v="2024-05-01T00:00:00"/>
    <n v="5"/>
    <n v="2024"/>
    <s v="Đông Bắc Bộ"/>
    <s v="Doanh nghiệp"/>
    <x v="1"/>
    <s v="D"/>
    <n v="341.81818199999998"/>
  </r>
  <r>
    <s v="BGG"/>
    <s v="Doanh nghiệp 4"/>
    <s v="DVKT"/>
    <n v="35320000"/>
    <d v="2024-05-01T00:00:00"/>
    <n v="5"/>
    <n v="2024"/>
    <s v="Đông Bắc Bộ"/>
    <s v="Doanh nghiệp"/>
    <x v="0"/>
    <s v="C"/>
    <n v="35.32"/>
  </r>
  <r>
    <s v="BGG"/>
    <s v="Doanh nghiệp 5"/>
    <s v="ME"/>
    <n v="78300000"/>
    <d v="2024-05-01T00:00:00"/>
    <n v="5"/>
    <n v="2024"/>
    <s v="Đông Bắc Bộ"/>
    <s v="Doanh nghiệp"/>
    <x v="1"/>
    <s v="C"/>
    <n v="78.3"/>
  </r>
  <r>
    <s v="BNH"/>
    <s v="Doanh nghiệp 11"/>
    <s v="ICT"/>
    <n v="1862108182"/>
    <d v="2024-05-01T00:00:00"/>
    <n v="5"/>
    <n v="2024"/>
    <s v="ĐB Sông Hồng"/>
    <s v="Doanh nghiệp"/>
    <x v="0"/>
    <s v="P"/>
    <n v="1862.1081819999999"/>
  </r>
  <r>
    <s v="BTN"/>
    <s v="Doanh nghiệp 15"/>
    <s v="DVKT"/>
    <n v="76778745"/>
    <d v="2024-05-01T00:00:00"/>
    <n v="5"/>
    <n v="2024"/>
    <s v="Duyên hải Nam Trung Bộ"/>
    <s v="Doanh nghiệp"/>
    <x v="1"/>
    <s v="A"/>
    <n v="76.778745000000001"/>
  </r>
  <r>
    <s v="CTO"/>
    <s v="Doanh nghiệp 22"/>
    <s v="ICT"/>
    <n v="163614227"/>
    <d v="2024-05-01T00:00:00"/>
    <n v="5"/>
    <n v="2024"/>
    <s v="ĐB Sông Cửu Long"/>
    <s v="Doanh nghiệp"/>
    <x v="0"/>
    <s v="B"/>
    <n v="163.614227"/>
  </r>
  <r>
    <s v="DLK"/>
    <s v="Doanh nghiệp 31"/>
    <s v="ICT"/>
    <n v="33100000"/>
    <d v="2024-05-01T00:00:00"/>
    <n v="5"/>
    <n v="2024"/>
    <s v="Tây Nguyên"/>
    <s v="Doanh nghiệp"/>
    <x v="1"/>
    <s v="F"/>
    <n v="33.1"/>
  </r>
  <r>
    <s v="DCN"/>
    <s v="Tập đoàn 2"/>
    <s v="ME"/>
    <n v="74424000"/>
    <d v="2024-05-01T00:00:00"/>
    <n v="5"/>
    <n v="2024"/>
    <s v="Tây Nguyên"/>
    <s v="Doanh nghiệp"/>
    <x v="0"/>
    <s v="C"/>
    <n v="74.424000000000007"/>
  </r>
  <r>
    <s v="NDH"/>
    <s v="Tập đoàn 42"/>
    <s v="ICT"/>
    <n v="67112500"/>
    <d v="2024-05-01T00:00:00"/>
    <n v="5"/>
    <n v="2024"/>
    <s v="ĐB Sông Hồng"/>
    <s v="Doanh nghiệp"/>
    <x v="1"/>
    <s v="B"/>
    <n v="67.112499999999997"/>
  </r>
  <r>
    <s v="NDH"/>
    <s v="Tập đoàn 43"/>
    <s v="Smarthome"/>
    <n v="77000000"/>
    <d v="2024-05-01T00:00:00"/>
    <n v="5"/>
    <n v="2024"/>
    <s v="ĐB Sông Hồng"/>
    <s v="Doanh nghiệp"/>
    <x v="0"/>
    <s v="H"/>
    <n v="77"/>
  </r>
  <r>
    <s v="NDH"/>
    <s v="Tập đoàn 44"/>
    <s v="ICT"/>
    <n v="25821818"/>
    <d v="2024-05-01T00:00:00"/>
    <n v="5"/>
    <n v="2024"/>
    <s v="ĐB Sông Hồng"/>
    <s v="Doanh nghiệp"/>
    <x v="1"/>
    <s v="B"/>
    <n v="25.821818"/>
  </r>
  <r>
    <s v="NAN"/>
    <s v="Tập đoàn 61"/>
    <s v="DVKT"/>
    <n v="19793455"/>
    <d v="2024-05-01T00:00:00"/>
    <n v="5"/>
    <n v="2024"/>
    <s v="Bắc Trung Bộ"/>
    <s v="Doanh nghiệp"/>
    <x v="0"/>
    <s v="O"/>
    <n v="19.793455000000002"/>
  </r>
  <r>
    <s v="HGG"/>
    <s v="Tập đoàn 92"/>
    <s v="NLMT"/>
    <n v="72000000"/>
    <d v="2024-05-01T00:00:00"/>
    <n v="5"/>
    <n v="2024"/>
    <s v="Đông Bắc Bộ"/>
    <s v="Doanh nghiệp"/>
    <x v="1"/>
    <s v="K"/>
    <n v="72"/>
  </r>
  <r>
    <s v="TQG"/>
    <s v="Tập đoàn 93"/>
    <s v="NLMT"/>
    <n v="63545455"/>
    <d v="2024-05-01T00:00:00"/>
    <n v="5"/>
    <n v="2024"/>
    <s v="Đông Bắc Bộ"/>
    <s v="Doanh nghiệp"/>
    <x v="0"/>
    <s v="K"/>
    <n v="63.545454999999997"/>
  </r>
  <r>
    <s v="YBI"/>
    <s v="Tập đoàn 94"/>
    <s v="NLMT"/>
    <n v="63636364"/>
    <d v="2024-05-01T00:00:00"/>
    <n v="5"/>
    <n v="2024"/>
    <s v="Tây Bắc Bộ"/>
    <s v="Doanh nghiệp"/>
    <x v="1"/>
    <s v="K"/>
    <n v="63.636364"/>
  </r>
  <r>
    <s v="BKN"/>
    <s v="Tập đoàn 93"/>
    <s v="NLMT"/>
    <n v="11345455"/>
    <d v="2024-05-01T00:00:00"/>
    <n v="5"/>
    <n v="2024"/>
    <s v="Đông Bắc Bộ"/>
    <s v="Doanh nghiệp"/>
    <x v="0"/>
    <s v="K"/>
    <n v="11.345454999999999"/>
  </r>
  <r>
    <s v="HUE"/>
    <s v="Tập đoàn 94"/>
    <s v="NLMT"/>
    <n v="40500000"/>
    <d v="2024-05-01T00:00:00"/>
    <n v="5"/>
    <n v="2024"/>
    <s v="Bắc Trung Bộ"/>
    <s v="Doanh nghiệp"/>
    <x v="1"/>
    <s v="K"/>
    <n v="40.5"/>
  </r>
  <r>
    <s v="HNI"/>
    <s v="Tập đoàn 92"/>
    <s v="ME"/>
    <n v="58200000"/>
    <d v="2024-05-01T00:00:00"/>
    <n v="5"/>
    <n v="2024"/>
    <s v="ĐB Sông Hồng"/>
    <s v="Doanh nghiệp"/>
    <x v="0"/>
    <s v="C"/>
    <n v="58.2"/>
  </r>
  <r>
    <s v="DCN"/>
    <s v="Công ty 36"/>
    <s v="ME"/>
    <n v="324800000"/>
    <d v="2024-05-01T00:00:00"/>
    <n v="5"/>
    <n v="2024"/>
    <s v="Tây Nguyên"/>
    <s v="Doanh nghiệp"/>
    <x v="1"/>
    <s v="C"/>
    <n v="324.8"/>
  </r>
  <r>
    <s v="DBN"/>
    <s v="Công ty 56"/>
    <s v="NLMT"/>
    <n v="25090909"/>
    <d v="2024-05-01T00:00:00"/>
    <n v="5"/>
    <n v="2024"/>
    <s v="Tây Bắc Bộ"/>
    <s v="Doanh nghiệp"/>
    <x v="0"/>
    <s v="K"/>
    <n v="25.090909"/>
  </r>
  <r>
    <s v="DBN"/>
    <s v="Công ty 57"/>
    <s v="NLMT"/>
    <n v="38547273"/>
    <d v="2024-05-01T00:00:00"/>
    <n v="5"/>
    <n v="2024"/>
    <s v="Tây Bắc Bộ"/>
    <s v="Doanh nghiệp"/>
    <x v="1"/>
    <s v="K"/>
    <n v="38.547272999999997"/>
  </r>
  <r>
    <s v="DBN"/>
    <s v="Công ty 58"/>
    <s v="NLMT"/>
    <n v="105054545"/>
    <d v="2024-05-01T00:00:00"/>
    <n v="5"/>
    <n v="2024"/>
    <s v="Tây Bắc Bộ"/>
    <s v="Doanh nghiệp"/>
    <x v="0"/>
    <s v="K"/>
    <n v="105.054545"/>
  </r>
  <r>
    <s v="DBN"/>
    <s v="Công ty 59"/>
    <s v="NLMT"/>
    <n v="27218182"/>
    <d v="2024-05-01T00:00:00"/>
    <n v="5"/>
    <n v="2024"/>
    <s v="Tây Bắc Bộ"/>
    <s v="Doanh nghiệp"/>
    <x v="1"/>
    <s v="K"/>
    <n v="27.218181999999999"/>
  </r>
  <r>
    <s v="DBN"/>
    <s v="Công ty 60"/>
    <s v="NLMT"/>
    <n v="96170909"/>
    <d v="2024-05-01T00:00:00"/>
    <n v="5"/>
    <n v="2024"/>
    <s v="Tây Bắc Bộ"/>
    <s v="Doanh nghiệp"/>
    <x v="0"/>
    <s v="K"/>
    <n v="96.170908999999995"/>
  </r>
  <r>
    <s v="YBI"/>
    <s v="Công An Xã Nà Hẩu"/>
    <s v="DVKT"/>
    <n v="17555455"/>
    <d v="2024-05-01T00:00:00"/>
    <n v="5"/>
    <n v="2024"/>
    <s v="Tây Bắc Bộ"/>
    <s v="Sở ban ngành"/>
    <x v="1"/>
    <s v="B"/>
    <n v="17.555454999999998"/>
  </r>
  <r>
    <s v="TQG"/>
    <s v="Công An Xã Tứ Quận-xã Tứ Quận-huyện Yên Sơn-tỉnh Tuyên Quang"/>
    <s v="ICT"/>
    <n v="54748182"/>
    <d v="2024-05-01T00:00:00"/>
    <n v="5"/>
    <n v="2024"/>
    <s v="Đông Bắc Bộ"/>
    <s v="Sở ban ngành"/>
    <x v="0"/>
    <s v="B"/>
    <n v="54.748182"/>
  </r>
  <r>
    <s v="DBN"/>
    <s v="Đoàn Tncs Hồ Chí Minh Tỉnh Điện Biên"/>
    <s v="NLMT"/>
    <n v="23636364"/>
    <d v="2024-05-01T00:00:00"/>
    <n v="5"/>
    <n v="2024"/>
    <s v="Tây Bắc Bộ"/>
    <s v="Sở ban ngành"/>
    <x v="1"/>
    <s v="K"/>
    <n v="23.636364"/>
  </r>
  <r>
    <s v="LCI"/>
    <s v="Ngân Hàng Thương Mạicổ Phần Đầu Tư Và Phát Triển - Chi Nhánh Lào Cai"/>
    <s v="NLMT"/>
    <n v="63636364"/>
    <d v="2024-05-01T00:00:00"/>
    <n v="5"/>
    <n v="2024"/>
    <s v="Tây Bắc Bộ"/>
    <s v="Ngân hàng"/>
    <x v="0"/>
    <s v="K"/>
    <n v="63.636364"/>
  </r>
  <r>
    <s v="BDH"/>
    <s v="QUỸ TÍN DỤNG NHÂN DÂN NGÔ MÂY"/>
    <s v="ICT"/>
    <n v="15206364"/>
    <d v="2024-05-01T00:00:00"/>
    <n v="5"/>
    <n v="2024"/>
    <s v="Duyên hải Nam Trung Bộ"/>
    <s v="Sở ban ngành"/>
    <x v="1"/>
    <s v="A"/>
    <n v="15.206364000000001"/>
  </r>
  <r>
    <s v="HNI"/>
    <s v="TẬP ĐOÀN CÔNG NGHIỆP - VIỄN THÔNG QUÂN ĐỘI"/>
    <s v="ME"/>
    <n v="831979600"/>
    <d v="2024-05-01T00:00:00"/>
    <n v="5"/>
    <n v="2024"/>
    <s v="ĐB Sông Hồng"/>
    <s v="Doanh nghiệp"/>
    <x v="0"/>
    <s v="O"/>
    <n v="831.9796"/>
  </r>
  <r>
    <s v="CTO"/>
    <s v="TRUNG TÂM GIÁO DỤC NGHỀ NGHIỆP ĐÀO TẠO VÀ SÁT HẠCH LÁI XE CHIẾN THẮNG"/>
    <s v="ICT"/>
    <n v="42409091"/>
    <d v="2024-05-01T00:00:00"/>
    <n v="5"/>
    <n v="2024"/>
    <s v="ĐB Sông Cửu Long"/>
    <s v="Sở ban ngành"/>
    <x v="1"/>
    <s v="A"/>
    <n v="42.409090999999997"/>
  </r>
  <r>
    <s v="BKN"/>
    <s v="TRUNG TÂM HOẠT ĐỘNG THANH THIẾU NHI TỈNH BẮC KẠN"/>
    <s v="DVKT"/>
    <n v="11562354"/>
    <d v="2024-05-01T00:00:00"/>
    <n v="5"/>
    <n v="2024"/>
    <s v="Đông Bắc Bộ"/>
    <s v="Sở ban ngành"/>
    <x v="0"/>
    <s v="C"/>
    <n v="11.562353999999999"/>
  </r>
  <r>
    <s v="BKN"/>
    <s v="Trung Tâm Hoạt Động Thanh Thiếu Nhi Tỉnh Bắc Kạn"/>
    <s v="ME"/>
    <n v="13000000"/>
    <d v="2024-05-01T00:00:00"/>
    <n v="5"/>
    <n v="2024"/>
    <s v="Đông Bắc Bộ"/>
    <s v="Sở ban ngành"/>
    <x v="1"/>
    <s v="C"/>
    <n v="13"/>
  </r>
  <r>
    <s v="GLI"/>
    <s v="TRUNG TÂM NHIỆT ĐỚI VIỆT NGA"/>
    <s v="ICT"/>
    <n v="28269091"/>
    <d v="2024-05-01T00:00:00"/>
    <n v="5"/>
    <n v="2024"/>
    <s v="Tây Nguyên"/>
    <s v="Sở ban ngành"/>
    <x v="0"/>
    <s v="F"/>
    <n v="28.269091"/>
  </r>
  <r>
    <s v="DCN"/>
    <s v="Trung Tâm Trợ Giúp Pháp Lý Nhà Nước Tỉnh Đắk Nông"/>
    <s v="ME"/>
    <n v="34700000"/>
    <d v="2024-05-01T00:00:00"/>
    <n v="5"/>
    <n v="2024"/>
    <s v="Tây Nguyên"/>
    <s v="Sở ban ngành"/>
    <x v="1"/>
    <s v="C"/>
    <n v="34.700000000000003"/>
  </r>
  <r>
    <s v="BNH"/>
    <s v="TRUNG TÂM Y TẾ THÀNH PHỐ TỪ SƠN"/>
    <s v="ICT"/>
    <n v="688474162"/>
    <d v="2024-05-01T00:00:00"/>
    <n v="5"/>
    <n v="2024"/>
    <s v="ĐB Sông Hồng"/>
    <s v="Sở ban ngành"/>
    <x v="0"/>
    <s v="F"/>
    <n v="688.47416199999998"/>
  </r>
  <r>
    <s v="LCU"/>
    <s v="Trường Thcs Thị Trấn Mường Tè"/>
    <s v="ICT"/>
    <n v="34119000"/>
    <d v="2024-05-01T00:00:00"/>
    <n v="5"/>
    <n v="2024"/>
    <s v="Tây Bắc Bộ"/>
    <s v="Trường học"/>
    <x v="1"/>
    <s v="B"/>
    <n v="34.119"/>
  </r>
  <r>
    <s v="HGG"/>
    <s v="UBND PHƯỜNG MINH KHAI"/>
    <s v="DVKT"/>
    <n v="48093636"/>
    <d v="2024-05-01T00:00:00"/>
    <n v="5"/>
    <n v="2024"/>
    <s v="Đông Bắc Bộ"/>
    <s v="Sở ban ngành"/>
    <x v="0"/>
    <s v="B"/>
    <n v="48.093635999999996"/>
  </r>
  <r>
    <s v="BKN"/>
    <s v="UBND THỊ TRẤN PHỦ THÔNG"/>
    <s v="DVKT"/>
    <n v="8181818"/>
    <d v="2024-05-01T00:00:00"/>
    <n v="5"/>
    <n v="2024"/>
    <s v="Đông Bắc Bộ"/>
    <s v="Sở ban ngành"/>
    <x v="1"/>
    <s v="O"/>
    <n v="8.1818179999999998"/>
  </r>
  <r>
    <s v="CBG"/>
    <s v="UBND XÃ ĐỒNG LOAN"/>
    <s v="NLMT"/>
    <n v="22727273"/>
    <d v="2024-05-01T00:00:00"/>
    <n v="5"/>
    <n v="2024"/>
    <s v="Đông Bắc Bộ"/>
    <s v="Sở ban ngành"/>
    <x v="0"/>
    <s v="K"/>
    <n v="22.727273"/>
  </r>
  <r>
    <s v="GLI"/>
    <s v="Ubnd Xã Hà Tây"/>
    <s v="ICT"/>
    <n v="14780000"/>
    <d v="2024-05-01T00:00:00"/>
    <n v="5"/>
    <n v="2024"/>
    <s v="Tây Nguyên"/>
    <s v="Sở ban ngành"/>
    <x v="1"/>
    <s v="A"/>
    <n v="14.78"/>
  </r>
  <r>
    <s v="NDH"/>
    <s v="Ubnd Xã Liêm Hải"/>
    <s v="ICT"/>
    <n v="25636364"/>
    <d v="2024-05-01T00:00:00"/>
    <n v="5"/>
    <n v="2024"/>
    <s v="ĐB Sông Hồng"/>
    <s v="Sở ban ngành"/>
    <x v="0"/>
    <s v="T"/>
    <n v="25.636364"/>
  </r>
  <r>
    <s v="CBG"/>
    <s v="Ubnd Xã Minh Long"/>
    <s v="NLMT"/>
    <n v="22727273"/>
    <d v="2024-05-01T00:00:00"/>
    <n v="5"/>
    <n v="2024"/>
    <s v="Đông Bắc Bộ"/>
    <s v="Sở ban ngành"/>
    <x v="1"/>
    <s v="K"/>
    <n v="22.727273"/>
  </r>
  <r>
    <s v="BKN"/>
    <s v="UBND XÃ MỸ THANH"/>
    <s v="DVKT"/>
    <n v="5454545"/>
    <d v="2024-05-01T00:00:00"/>
    <n v="5"/>
    <n v="2024"/>
    <s v="Đông Bắc Bộ"/>
    <s v="Sở ban ngành"/>
    <x v="0"/>
    <s v="O"/>
    <n v="5.4545450000000004"/>
  </r>
  <r>
    <s v="NAN"/>
    <s v="UBND XÃ NGHĨA XUÂN"/>
    <s v="ME"/>
    <n v="45454545"/>
    <d v="2024-05-01T00:00:00"/>
    <n v="5"/>
    <n v="2024"/>
    <s v="Bắc Trung Bộ"/>
    <s v="Sở ban ngành"/>
    <x v="1"/>
    <s v="O"/>
    <n v="45.454545000000003"/>
  </r>
  <r>
    <s v="BGG"/>
    <s v="Ubnd Xã Ngọc Vân"/>
    <s v="ME"/>
    <n v="21900000"/>
    <d v="2024-05-01T00:00:00"/>
    <n v="5"/>
    <n v="2024"/>
    <s v="Đông Bắc Bộ"/>
    <s v="Sở ban ngành"/>
    <x v="0"/>
    <s v="L"/>
    <n v="21.9"/>
  </r>
  <r>
    <s v="CBG"/>
    <s v="Ubnd Xã Quang Long"/>
    <s v="NLMT"/>
    <n v="22727273"/>
    <d v="2024-05-01T00:00:00"/>
    <n v="5"/>
    <n v="2024"/>
    <s v="Đông Bắc Bộ"/>
    <s v="Sở ban ngành"/>
    <x v="1"/>
    <s v="K"/>
    <n v="22.727273"/>
  </r>
  <r>
    <s v="BKN"/>
    <s v="UBND XÃ QUANG THUẬN"/>
    <s v="ME"/>
    <n v="19090909"/>
    <d v="2024-05-01T00:00:00"/>
    <n v="5"/>
    <n v="2024"/>
    <s v="Đông Bắc Bộ"/>
    <s v="Sở ban ngành"/>
    <x v="0"/>
    <s v="O"/>
    <n v="19.090909"/>
  </r>
  <r>
    <s v="PTO"/>
    <s v="UBND XÃ SÔNG LÔ"/>
    <s v="ICT"/>
    <n v="57987982"/>
    <d v="2024-05-01T00:00:00"/>
    <n v="5"/>
    <n v="2024"/>
    <s v="Đông Bắc Bộ"/>
    <s v="Sở ban ngành"/>
    <x v="1"/>
    <s v="B"/>
    <n v="57.987982000000002"/>
  </r>
  <r>
    <s v="BKN"/>
    <s v="Ubnd Xã Sỹ Bình"/>
    <s v="DVKT"/>
    <n v="5454545"/>
    <d v="2024-05-01T00:00:00"/>
    <n v="5"/>
    <n v="2024"/>
    <s v="Đông Bắc Bộ"/>
    <s v="Sở ban ngành"/>
    <x v="0"/>
    <s v="O"/>
    <n v="5.4545450000000004"/>
  </r>
  <r>
    <s v="BKN"/>
    <s v="Ubnd Xã Sỹ Bình"/>
    <s v="DVKT"/>
    <n v="8181818"/>
    <d v="2024-05-01T00:00:00"/>
    <n v="5"/>
    <n v="2024"/>
    <s v="Đông Bắc Bộ"/>
    <s v="Sở ban ngành"/>
    <x v="1"/>
    <s v="O"/>
    <n v="8.1818179999999998"/>
  </r>
  <r>
    <s v="CBG"/>
    <s v="Ubnd Xã Thắng Lợi"/>
    <s v="NLMT"/>
    <n v="22727273"/>
    <d v="2024-05-01T00:00:00"/>
    <n v="5"/>
    <n v="2024"/>
    <s v="Đông Bắc Bộ"/>
    <s v="Sở ban ngành"/>
    <x v="0"/>
    <s v="K"/>
    <n v="22.727273"/>
  </r>
  <r>
    <s v="HTH"/>
    <s v="UBND XÃ YÊN HỒ"/>
    <s v="Smarthome"/>
    <n v="85276800"/>
    <d v="2024-05-01T00:00:00"/>
    <n v="5"/>
    <n v="2024"/>
    <s v="Bắc Trung Bộ"/>
    <s v="Sở ban ngành"/>
    <x v="1"/>
    <s v="H"/>
    <n v="85.276799999999994"/>
  </r>
  <r>
    <s v="NAN"/>
    <s v="Ủy Ban Mặt Trận Tổ Quốc Xã Nghi Phong"/>
    <s v="ICT"/>
    <n v="45252000"/>
    <d v="2024-05-01T00:00:00"/>
    <n v="5"/>
    <n v="2024"/>
    <s v="Bắc Trung Bộ"/>
    <s v="Sở ban ngành"/>
    <x v="0"/>
    <s v="B"/>
    <n v="45.252000000000002"/>
  </r>
  <r>
    <s v="TVH"/>
    <s v="Ủy Ban Nhân Dân Thị Trấn Long Thành"/>
    <s v="DVKT"/>
    <n v="69975455"/>
    <d v="2024-05-01T00:00:00"/>
    <n v="5"/>
    <n v="2024"/>
    <s v="ĐB Sông Cửu Long"/>
    <s v="Sở ban ngành"/>
    <x v="1"/>
    <s v="B"/>
    <n v="69.975454999999997"/>
  </r>
  <r>
    <s v="PYN"/>
    <s v="ỦY BAN NHÂN DÂN XÃ AN LĨNH"/>
    <s v="NLMT"/>
    <n v="81812727"/>
    <d v="2024-05-01T00:00:00"/>
    <n v="5"/>
    <n v="2024"/>
    <s v="Duyên hải Nam Trung Bộ"/>
    <s v="Sở ban ngành"/>
    <x v="0"/>
    <s v="K"/>
    <n v="81.812726999999995"/>
  </r>
  <r>
    <s v="LSN"/>
    <s v="Uỷ Ban Nhân Dân Xã Hòa Bình"/>
    <s v="NLMT"/>
    <n v="72716000"/>
    <d v="2024-05-01T00:00:00"/>
    <n v="5"/>
    <n v="2024"/>
    <s v="Đông Bắc Bộ"/>
    <s v="Sở ban ngành"/>
    <x v="1"/>
    <s v="K"/>
    <n v="72.715999999999994"/>
  </r>
  <r>
    <s v="LSN"/>
    <s v="Uỷ Ban Nhân Dân Xã Hữu Liên"/>
    <s v="NLMT"/>
    <n v="36365000"/>
    <d v="2024-05-01T00:00:00"/>
    <n v="5"/>
    <n v="2024"/>
    <s v="Đông Bắc Bộ"/>
    <s v="Sở ban ngành"/>
    <x v="0"/>
    <s v="K"/>
    <n v="36.365000000000002"/>
  </r>
  <r>
    <s v="THA"/>
    <s v="Ủy Ban Nhân Dân Xã Phú Lộc"/>
    <s v="ICT"/>
    <n v="710297273"/>
    <d v="2024-05-01T00:00:00"/>
    <n v="5"/>
    <n v="2024"/>
    <s v="Bắc Trung Bộ"/>
    <s v="Sở ban ngành"/>
    <x v="1"/>
    <s v="B"/>
    <n v="710.29727300000002"/>
  </r>
  <r>
    <s v="LSN"/>
    <s v="Uỷ Ban Nhân Dân Xã Yên Thịnh"/>
    <s v="NLMT"/>
    <n v="109060000"/>
    <d v="2024-05-01T00:00:00"/>
    <n v="5"/>
    <n v="2024"/>
    <s v="Đông Bắc Bộ"/>
    <s v="Sở ban ngành"/>
    <x v="0"/>
    <s v="K"/>
    <n v="109.06"/>
  </r>
  <r>
    <s v="VPC"/>
    <s v="Xã Đồng Ích"/>
    <s v="ICT"/>
    <n v="142373775"/>
    <d v="2024-05-01T00:00:00"/>
    <n v="5"/>
    <n v="2024"/>
    <s v="ĐB Sông Hồng"/>
    <s v="Sở ban ngành"/>
    <x v="1"/>
    <s v="B"/>
    <n v="142.37377499999999"/>
  </r>
  <r>
    <s v="LDG"/>
    <s v="Trường Cao Đẳng Đà Lạt"/>
    <s v="ICT"/>
    <n v="6360000"/>
    <d v="2024-05-01T00:00:00"/>
    <n v="5"/>
    <n v="2024"/>
    <s v="Tây Nguyên"/>
    <s v="Trường học"/>
    <x v="0"/>
    <s v="A"/>
    <n v="6.36"/>
  </r>
  <r>
    <s v="LCI"/>
    <s v="Trường Mâm Non Hòa Mạc"/>
    <s v="ME"/>
    <n v="84645455"/>
    <d v="2024-05-01T00:00:00"/>
    <n v="5"/>
    <n v="2024"/>
    <s v="Tây Bắc Bộ"/>
    <s v="Trường học"/>
    <x v="1"/>
    <s v="L"/>
    <n v="84.645454999999998"/>
  </r>
  <r>
    <s v="LCI"/>
    <s v="TRƯỜNG MẦM NON NẬM MẢ"/>
    <s v="ME"/>
    <n v="85654545"/>
    <d v="2024-05-01T00:00:00"/>
    <n v="5"/>
    <n v="2024"/>
    <s v="Tây Bắc Bộ"/>
    <s v="Trường học"/>
    <x v="0"/>
    <s v="L"/>
    <n v="85.654544999999999"/>
  </r>
  <r>
    <s v="DTP"/>
    <s v="TRƯỜNG MẦM NON PHÚ CƯỜNG"/>
    <s v="DVKT"/>
    <n v="21454545"/>
    <d v="2024-05-01T00:00:00"/>
    <n v="5"/>
    <n v="2024"/>
    <s v="ĐB Sông Cửu Long"/>
    <s v="Trường học"/>
    <x v="1"/>
    <s v="M"/>
    <n v="21.454545"/>
  </r>
  <r>
    <s v="LCI"/>
    <s v="Trường Mầm Non Số 1 Khánh Yên Hạ"/>
    <s v="ICT"/>
    <n v="90766364"/>
    <d v="2024-05-01T00:00:00"/>
    <n v="5"/>
    <n v="2024"/>
    <s v="Tây Bắc Bộ"/>
    <s v="Trường học"/>
    <x v="0"/>
    <s v="F"/>
    <n v="90.766363999999996"/>
  </r>
  <r>
    <s v="LCI"/>
    <s v="TRƯỜNG MẦM NON VÀ TIỂU HỌC SỐ 2 NẬM XÂY"/>
    <s v="ME"/>
    <n v="78354545"/>
    <d v="2024-05-01T00:00:00"/>
    <n v="5"/>
    <n v="2024"/>
    <s v="Tây Bắc Bộ"/>
    <s v="Trường học"/>
    <x v="1"/>
    <s v="L"/>
    <n v="78.354545000000002"/>
  </r>
  <r>
    <s v="BGG"/>
    <s v="Trường Thcs Cao Xá"/>
    <s v="DVKT"/>
    <n v="44680000"/>
    <d v="2024-05-01T00:00:00"/>
    <n v="5"/>
    <n v="2024"/>
    <s v="Đông Bắc Bộ"/>
    <s v="Trường học"/>
    <x v="0"/>
    <s v="C"/>
    <n v="44.68"/>
  </r>
  <r>
    <s v="NAN"/>
    <s v="TRƯỜNG THCS ĐỘI CUNG"/>
    <s v="ICT"/>
    <n v="40306364"/>
    <d v="2024-05-01T00:00:00"/>
    <n v="5"/>
    <n v="2024"/>
    <s v="Bắc Trung Bộ"/>
    <s v="Trường học"/>
    <x v="1"/>
    <s v="A"/>
    <n v="40.306364000000002"/>
  </r>
  <r>
    <s v="LCI"/>
    <s v="TRƯỜNG THCS LIÊM PHÚ"/>
    <s v="ME"/>
    <n v="31545455"/>
    <d v="2024-05-01T00:00:00"/>
    <n v="5"/>
    <n v="2024"/>
    <s v="Tây Bắc Bộ"/>
    <s v="Trường học"/>
    <x v="0"/>
    <s v="L"/>
    <n v="31.545455"/>
  </r>
  <r>
    <s v="LSN"/>
    <s v="TRƯỜNG THPT NGÔ SỸ LIÊN"/>
    <s v="ICT"/>
    <n v="13003000"/>
    <d v="2024-05-01T00:00:00"/>
    <n v="5"/>
    <n v="2024"/>
    <s v="Đông Bắc Bộ"/>
    <s v="Trường học"/>
    <x v="1"/>
    <s v="A"/>
    <n v="13.003"/>
  </r>
  <r>
    <s v="NAN"/>
    <s v="TRƯỜNG THPT NGUYỄN DUY TRINH"/>
    <s v="ICT"/>
    <n v="87010000"/>
    <d v="2024-05-01T00:00:00"/>
    <n v="5"/>
    <n v="2024"/>
    <s v="Bắc Trung Bộ"/>
    <s v="Trường học"/>
    <x v="0"/>
    <s v="T"/>
    <n v="87.01"/>
  </r>
  <r>
    <s v="NAN"/>
    <s v="TRƯỜNG THPT NGUYỄN DUY TRINH"/>
    <s v="ICT"/>
    <n v="86690000"/>
    <d v="2024-05-01T00:00:00"/>
    <n v="5"/>
    <n v="2024"/>
    <s v="Bắc Trung Bộ"/>
    <s v="Trường học"/>
    <x v="1"/>
    <s v="T"/>
    <n v="86.69"/>
  </r>
  <r>
    <s v="NAN"/>
    <s v="Trường Tiểu Học Châu Thôn"/>
    <s v="ICT"/>
    <n v="45360000"/>
    <d v="2024-05-01T00:00:00"/>
    <n v="5"/>
    <n v="2024"/>
    <s v="Bắc Trung Bộ"/>
    <s v="Trường học"/>
    <x v="0"/>
    <s v="F"/>
    <n v="45.36"/>
  </r>
  <r>
    <s v="DNG"/>
    <s v="TRƯỜNG TIỂU HỌC HOÀNG VĂN THỤ"/>
    <s v="DVKT"/>
    <n v="9727273"/>
    <d v="2024-05-01T00:00:00"/>
    <n v="5"/>
    <n v="2024"/>
    <s v="Duyên hải Nam Trung Bộ"/>
    <s v="Trường học"/>
    <x v="1"/>
    <s v="C"/>
    <n v="9.7272730000000003"/>
  </r>
  <r>
    <s v="HNM"/>
    <s v="TRƯỜNG TIỂU HỌC LIÊM SƠN"/>
    <s v="ME"/>
    <n v="24545455"/>
    <d v="2024-05-01T00:00:00"/>
    <n v="5"/>
    <n v="2024"/>
    <s v="ĐB Sông Hồng"/>
    <s v="Trường học"/>
    <x v="0"/>
    <s v="C"/>
    <n v="24.545455"/>
  </r>
  <r>
    <s v="LCI"/>
    <s v="TRƯỜNG TIỂU HỌC SỐ 2 CHIỀNG KEN"/>
    <s v="ICT"/>
    <n v="75145455"/>
    <d v="2024-05-01T00:00:00"/>
    <n v="5"/>
    <n v="2024"/>
    <s v="Tây Bắc Bộ"/>
    <s v="Trường học"/>
    <x v="1"/>
    <s v="F"/>
    <n v="75.145454999999998"/>
  </r>
  <r>
    <s v="LCI"/>
    <s v="TRƯỜNG TIỂU HỌC THẲM DƯƠNG"/>
    <s v="ME"/>
    <n v="83054545"/>
    <d v="2024-05-01T00:00:00"/>
    <n v="5"/>
    <n v="2024"/>
    <s v="Tây Bắc Bộ"/>
    <s v="Trường học"/>
    <x v="0"/>
    <s v="L"/>
    <n v="83.054545000000005"/>
  </r>
  <r>
    <s v="NAN"/>
    <s v="Trường Trung Học Cơ Sở Quỳnh Giang"/>
    <s v="ICT"/>
    <n v="32018182"/>
    <d v="2024-05-01T00:00:00"/>
    <n v="5"/>
    <n v="2024"/>
    <s v="Bắc Trung Bộ"/>
    <s v="Trường học"/>
    <x v="1"/>
    <s v="A"/>
    <n v="32.018182000000003"/>
  </r>
  <r>
    <s v="AGG"/>
    <s v="Trường Trung Học Phổ Thông Nguyễn Bỉnh Khiêm"/>
    <s v="ICT"/>
    <n v="66888000"/>
    <d v="2024-05-01T00:00:00"/>
    <n v="5"/>
    <n v="2024"/>
    <s v="ĐB Sông Cửu Long"/>
    <s v="Trường học"/>
    <x v="0"/>
    <s v="B"/>
    <n v="66.888000000000005"/>
  </r>
  <r>
    <s v="CBG"/>
    <s v="Trường Trung Học Phổ Thông Thông Huề"/>
    <s v="ICT"/>
    <n v="24086364"/>
    <d v="2024-05-01T00:00:00"/>
    <n v="5"/>
    <n v="2024"/>
    <s v="Đông Bắc Bộ"/>
    <s v="Trường học"/>
    <x v="1"/>
    <s v="B"/>
    <n v="24.086364"/>
  </r>
  <r>
    <s v="LCI"/>
    <s v="TRƯỜNG TIỂU HỌC SỐ 1 VÕ LAO"/>
    <s v="ICT"/>
    <n v="72745455"/>
    <d v="2024-05-01T00:00:00"/>
    <n v="5"/>
    <n v="2024"/>
    <s v="Tây Bắc Bộ"/>
    <s v="Trường học"/>
    <x v="0"/>
    <s v="F"/>
    <n v="72.745455000000007"/>
  </r>
  <r>
    <s v="BTE"/>
    <s v="Bệnh Viện Đa Khoa Khu Vực Ba Tri"/>
    <s v="ICT"/>
    <n v="9409091"/>
    <d v="2024-06-01T00:00:00"/>
    <n v="6"/>
    <n v="2024"/>
    <s v="ĐB Sông Cửu Long"/>
    <s v="Bệnh viện"/>
    <x v="1"/>
    <s v="A"/>
    <n v="9.4090910000000001"/>
  </r>
  <r>
    <s v="LDG"/>
    <s v="Bệnh Viện Đa Khoa Lâm Đồng"/>
    <s v="ICT"/>
    <n v="163398182"/>
    <d v="2024-06-01T00:00:00"/>
    <n v="6"/>
    <n v="2024"/>
    <s v="Tây Nguyên"/>
    <s v="Bệnh viện"/>
    <x v="0"/>
    <s v="F"/>
    <n v="163.39818199999999"/>
  </r>
  <r>
    <s v="BDH"/>
    <s v="BỆNH VIỆN ĐA KHOA TỈNH BÌNH ĐỊNH"/>
    <s v="ICT"/>
    <n v="31385455"/>
    <d v="2024-06-01T00:00:00"/>
    <n v="6"/>
    <n v="2024"/>
    <s v="Duyên hải Nam Trung Bộ"/>
    <s v="Bệnh viện"/>
    <x v="1"/>
    <s v="B"/>
    <n v="31.385455"/>
  </r>
  <r>
    <s v="YBI"/>
    <s v="Bệnh viện đa khoa tỉnh Yên Bái"/>
    <s v="DVKT"/>
    <n v="75045455"/>
    <d v="2024-06-01T00:00:00"/>
    <n v="6"/>
    <n v="2024"/>
    <s v="Tây Bắc Bộ"/>
    <s v="Bệnh viện"/>
    <x v="0"/>
    <s v="C"/>
    <n v="75.045455000000004"/>
  </r>
  <r>
    <s v="AGG"/>
    <s v="Bệnh Viện Đa Khoa Trung Tâm An Giang"/>
    <s v="DVKT"/>
    <n v="45163636"/>
    <d v="2024-06-01T00:00:00"/>
    <n v="6"/>
    <n v="2024"/>
    <s v="ĐB Sông Cửu Long"/>
    <s v="Bệnh viện"/>
    <x v="1"/>
    <s v="L"/>
    <n v="45.163635999999997"/>
  </r>
  <r>
    <s v="TVH"/>
    <s v="Công ty 18"/>
    <s v="ICT"/>
    <n v="15854545"/>
    <d v="2024-06-01T00:00:00"/>
    <n v="6"/>
    <n v="2024"/>
    <s v="ĐB Sông Cửu Long"/>
    <s v="Doanh nghiệp"/>
    <x v="0"/>
    <s v="B"/>
    <n v="15.854545"/>
  </r>
  <r>
    <s v="BPC"/>
    <s v="Công ty 20"/>
    <s v="DVKT"/>
    <n v="35738182"/>
    <d v="2024-06-01T00:00:00"/>
    <n v="6"/>
    <n v="2024"/>
    <s v="Đông Nam Bộ"/>
    <s v="Doanh nghiệp"/>
    <x v="1"/>
    <s v="D"/>
    <n v="35.738182000000002"/>
  </r>
  <r>
    <s v="BPC"/>
    <s v="Công ty 23"/>
    <s v="DVKT"/>
    <n v="25920000"/>
    <d v="2024-06-01T00:00:00"/>
    <n v="6"/>
    <n v="2024"/>
    <s v="Đông Nam Bộ"/>
    <s v="Doanh nghiệp"/>
    <x v="0"/>
    <s v="D"/>
    <n v="25.92"/>
  </r>
  <r>
    <s v="BPC"/>
    <s v="Công ty 31"/>
    <s v="DVKT"/>
    <n v="35738182"/>
    <d v="2024-06-01T00:00:00"/>
    <n v="6"/>
    <n v="2024"/>
    <s v="Đông Nam Bộ"/>
    <s v="Doanh nghiệp"/>
    <x v="1"/>
    <s v="D"/>
    <n v="35.738182000000002"/>
  </r>
  <r>
    <s v="HDG"/>
    <s v="Công ty 47"/>
    <s v="NLMT"/>
    <n v="199589535"/>
    <d v="2024-06-01T00:00:00"/>
    <n v="6"/>
    <n v="2024"/>
    <s v="ĐB Sông Hồng"/>
    <s v="Doanh nghiệp"/>
    <x v="0"/>
    <s v="D"/>
    <n v="199.58953500000001"/>
  </r>
  <r>
    <s v="TNH"/>
    <s v="Công ty 45"/>
    <s v="ME"/>
    <n v="19890909"/>
    <d v="2024-06-01T00:00:00"/>
    <n v="6"/>
    <n v="2024"/>
    <s v="Đông Nam Bộ"/>
    <s v="Doanh nghiệp"/>
    <x v="1"/>
    <s v="C"/>
    <n v="19.890909000000001"/>
  </r>
  <r>
    <s v="HCM"/>
    <s v="Công ty 53"/>
    <s v="DVKT"/>
    <n v="14727273"/>
    <d v="2024-06-01T00:00:00"/>
    <n v="6"/>
    <n v="2024"/>
    <s v="Đông Nam Bộ"/>
    <s v="Doanh nghiệp"/>
    <x v="0"/>
    <s v="D"/>
    <n v="14.727273"/>
  </r>
  <r>
    <s v="HCM"/>
    <s v="Công ty 54"/>
    <s v="DVKT"/>
    <n v="20917244"/>
    <d v="2024-06-01T00:00:00"/>
    <n v="6"/>
    <n v="2024"/>
    <s v="Đông Nam Bộ"/>
    <s v="Doanh nghiệp"/>
    <x v="1"/>
    <s v="D"/>
    <n v="20.917244"/>
  </r>
  <r>
    <s v="HCM"/>
    <s v="Công ty 55"/>
    <s v="DVKT"/>
    <n v="241704432"/>
    <d v="2024-06-01T00:00:00"/>
    <n v="6"/>
    <n v="2024"/>
    <s v="Đông Nam Bộ"/>
    <s v="Doanh nghiệp"/>
    <x v="0"/>
    <s v="D"/>
    <n v="241.704432"/>
  </r>
  <r>
    <s v="DNG"/>
    <s v="Công ty 63"/>
    <s v="DVKT"/>
    <n v="75000000"/>
    <d v="2024-06-01T00:00:00"/>
    <n v="6"/>
    <n v="2024"/>
    <s v="Duyên hải Nam Trung Bộ"/>
    <s v="Doanh nghiệp"/>
    <x v="1"/>
    <s v="F"/>
    <n v="75"/>
  </r>
  <r>
    <s v="TGG"/>
    <s v="Công ty 71"/>
    <s v="DVKT"/>
    <n v="130000000"/>
    <d v="2024-06-01T00:00:00"/>
    <n v="6"/>
    <n v="2024"/>
    <s v="ĐB Sông Cửu Long"/>
    <s v="Doanh nghiệp"/>
    <x v="0"/>
    <s v="D"/>
    <n v="130"/>
  </r>
  <r>
    <s v="TGG"/>
    <s v="Công ty 72"/>
    <s v="DVKT"/>
    <n v="268036364"/>
    <d v="2024-06-01T00:00:00"/>
    <n v="6"/>
    <n v="2024"/>
    <s v="ĐB Sông Cửu Long"/>
    <s v="Doanh nghiệp"/>
    <x v="1"/>
    <s v="D"/>
    <n v="268.03636399999999"/>
  </r>
  <r>
    <s v="HUE"/>
    <s v="Công ty 80"/>
    <s v="ICT"/>
    <n v="277190909"/>
    <d v="2024-06-01T00:00:00"/>
    <n v="6"/>
    <n v="2024"/>
    <s v="Bắc Trung Bộ"/>
    <s v="Doanh nghiệp"/>
    <x v="0"/>
    <s v="B"/>
    <n v="277.19090899999998"/>
  </r>
  <r>
    <s v="QBH"/>
    <s v="Công ty 83"/>
    <s v="DVKT"/>
    <n v="88805455"/>
    <d v="2024-06-01T00:00:00"/>
    <n v="6"/>
    <n v="2024"/>
    <s v="Bắc Trung Bộ"/>
    <s v="Doanh nghiệp"/>
    <x v="1"/>
    <s v="L"/>
    <n v="88.805454999999995"/>
  </r>
  <r>
    <s v="LAN"/>
    <s v="Công ty 85"/>
    <s v="DVKT"/>
    <n v="656000000"/>
    <d v="2024-06-01T00:00:00"/>
    <n v="6"/>
    <n v="2024"/>
    <s v="ĐB Sông Cửu Long"/>
    <s v="Doanh nghiệp"/>
    <x v="0"/>
    <s v="D"/>
    <n v="656"/>
  </r>
  <r>
    <s v="QNM"/>
    <s v="Công ty 89"/>
    <s v="ME"/>
    <n v="2756263540"/>
    <d v="2024-06-01T00:00:00"/>
    <n v="6"/>
    <n v="2024"/>
    <s v="Duyên hải Nam Trung Bộ"/>
    <s v="Doanh nghiệp"/>
    <x v="1"/>
    <s v="E"/>
    <n v="2756.2635399999999"/>
  </r>
  <r>
    <s v="LAN"/>
    <s v="Công ty 98"/>
    <s v="DVKT"/>
    <n v="60872727"/>
    <d v="2024-06-01T00:00:00"/>
    <n v="6"/>
    <n v="2024"/>
    <s v="ĐB Sông Cửu Long"/>
    <s v="Doanh nghiệp"/>
    <x v="0"/>
    <s v="D"/>
    <n v="60.872726999999998"/>
  </r>
  <r>
    <s v="NAN"/>
    <s v="Công ty 39"/>
    <s v="ICT"/>
    <n v="14409091"/>
    <d v="2024-06-01T00:00:00"/>
    <n v="6"/>
    <n v="2024"/>
    <s v="Bắc Trung Bộ"/>
    <s v="Doanh nghiệp"/>
    <x v="1"/>
    <s v="A"/>
    <n v="14.409091"/>
  </r>
  <r>
    <s v="YBI"/>
    <s v="Công ty 54"/>
    <s v="DVKT"/>
    <n v="27343636"/>
    <d v="2024-06-01T00:00:00"/>
    <n v="6"/>
    <n v="2024"/>
    <s v="Tây Bắc Bộ"/>
    <s v="Doanh nghiệp"/>
    <x v="0"/>
    <s v="A"/>
    <n v="27.343636"/>
  </r>
  <r>
    <s v="AGG"/>
    <s v="Công ty 94"/>
    <s v="ME"/>
    <n v="29975455"/>
    <d v="2024-06-01T00:00:00"/>
    <n v="6"/>
    <n v="2024"/>
    <s v="ĐB Sông Cửu Long"/>
    <s v="Doanh nghiệp"/>
    <x v="1"/>
    <s v="Q"/>
    <n v="29.975455"/>
  </r>
  <r>
    <s v="DNG"/>
    <s v="Công ty 96"/>
    <s v="DVKT"/>
    <n v="4745455"/>
    <d v="2024-06-01T00:00:00"/>
    <n v="6"/>
    <n v="2024"/>
    <s v="Duyên hải Nam Trung Bộ"/>
    <s v="Doanh nghiệp"/>
    <x v="0"/>
    <s v="C"/>
    <n v="4.7454549999999998"/>
  </r>
  <r>
    <s v="DTP"/>
    <s v="Công ty 5"/>
    <s v="ICT"/>
    <n v="243050000"/>
    <d v="2024-06-01T00:00:00"/>
    <n v="6"/>
    <n v="2024"/>
    <s v="ĐB Sông Cửu Long"/>
    <s v="Doanh nghiệp"/>
    <x v="1"/>
    <s v="B"/>
    <n v="243.05"/>
  </r>
  <r>
    <s v="HTH"/>
    <s v="Công ty 9"/>
    <s v="ICT"/>
    <n v="222831673"/>
    <d v="2024-06-01T00:00:00"/>
    <n v="6"/>
    <n v="2024"/>
    <s v="Bắc Trung Bộ"/>
    <s v="Doanh nghiệp"/>
    <x v="0"/>
    <s v="A"/>
    <n v="222.83167299999999"/>
  </r>
  <r>
    <s v="BDG"/>
    <s v="Công ty 13"/>
    <s v="ICT"/>
    <n v="15525000"/>
    <d v="2024-06-01T00:00:00"/>
    <n v="6"/>
    <n v="2024"/>
    <s v="Đông Nam Bộ"/>
    <s v="Doanh nghiệp"/>
    <x v="1"/>
    <s v="B"/>
    <n v="15.525"/>
  </r>
  <r>
    <s v="LAN"/>
    <s v="Công ty 17"/>
    <s v="DVKT"/>
    <n v="60872727"/>
    <d v="2024-06-01T00:00:00"/>
    <n v="6"/>
    <n v="2024"/>
    <s v="ĐB Sông Cửu Long"/>
    <s v="Doanh nghiệp"/>
    <x v="0"/>
    <s v="D"/>
    <n v="60.872726999999998"/>
  </r>
  <r>
    <s v="LAN"/>
    <s v="Công ty 18"/>
    <s v="DVKT"/>
    <n v="60872727"/>
    <d v="2024-06-01T00:00:00"/>
    <n v="6"/>
    <n v="2024"/>
    <s v="ĐB Sông Cửu Long"/>
    <s v="Doanh nghiệp"/>
    <x v="1"/>
    <s v="D"/>
    <n v="60.872726999999998"/>
  </r>
  <r>
    <s v="LAN"/>
    <s v="Công ty 19"/>
    <s v="DVKT"/>
    <n v="60872727"/>
    <d v="2024-06-01T00:00:00"/>
    <n v="6"/>
    <n v="2024"/>
    <s v="ĐB Sông Cửu Long"/>
    <s v="Doanh nghiệp"/>
    <x v="0"/>
    <s v="D"/>
    <n v="60.872726999999998"/>
  </r>
  <r>
    <s v="LAN"/>
    <s v="Công ty 20"/>
    <s v="DVKT"/>
    <n v="60872727"/>
    <d v="2024-06-01T00:00:00"/>
    <n v="6"/>
    <n v="2024"/>
    <s v="ĐB Sông Cửu Long"/>
    <s v="Doanh nghiệp"/>
    <x v="1"/>
    <s v="D"/>
    <n v="60.872726999999998"/>
  </r>
  <r>
    <s v="NAN"/>
    <s v="Công ty 34"/>
    <s v="ICT"/>
    <n v="179311036"/>
    <d v="2024-06-01T00:00:00"/>
    <n v="6"/>
    <n v="2024"/>
    <s v="Bắc Trung Bộ"/>
    <s v="Doanh nghiệp"/>
    <x v="0"/>
    <s v="B"/>
    <n v="179.311036"/>
  </r>
  <r>
    <s v="NAN"/>
    <s v="Công ty 35"/>
    <s v="ME"/>
    <n v="44045455"/>
    <d v="2024-06-01T00:00:00"/>
    <n v="6"/>
    <n v="2024"/>
    <s v="Bắc Trung Bộ"/>
    <s v="Doanh nghiệp"/>
    <x v="1"/>
    <s v="C"/>
    <n v="44.045454999999997"/>
  </r>
  <r>
    <s v="TQG"/>
    <s v="Công ty 56"/>
    <s v="ICT"/>
    <n v="14317401"/>
    <d v="2024-06-01T00:00:00"/>
    <n v="6"/>
    <n v="2024"/>
    <s v="Đông Bắc Bộ"/>
    <s v="Doanh nghiệp"/>
    <x v="0"/>
    <s v="B"/>
    <n v="14.317401"/>
  </r>
  <r>
    <s v="NTN"/>
    <s v="Công ty 60"/>
    <s v="NLMT"/>
    <n v="312545455"/>
    <d v="2024-06-01T00:00:00"/>
    <n v="6"/>
    <n v="2024"/>
    <s v="Duyên hải Nam Trung Bộ"/>
    <s v="Doanh nghiệp"/>
    <x v="1"/>
    <s v="D"/>
    <n v="312.545455"/>
  </r>
  <r>
    <s v="HNI"/>
    <s v="Công ty 64"/>
    <s v="DVKT"/>
    <n v="198980000"/>
    <d v="2024-06-01T00:00:00"/>
    <n v="6"/>
    <n v="2024"/>
    <s v="ĐB Sông Hồng"/>
    <s v="Doanh nghiệp"/>
    <x v="0"/>
    <s v="C"/>
    <n v="198.98"/>
  </r>
  <r>
    <s v="HNI"/>
    <s v="Công ty 65"/>
    <s v="DVKT"/>
    <n v="58026400"/>
    <d v="2024-06-01T00:00:00"/>
    <n v="6"/>
    <n v="2024"/>
    <s v="ĐB Sông Hồng"/>
    <s v="Doanh nghiệp"/>
    <x v="1"/>
    <s v="C"/>
    <n v="58.026400000000002"/>
  </r>
  <r>
    <s v="HTH"/>
    <s v="Công ty 98"/>
    <s v="ICT"/>
    <n v="34964545"/>
    <d v="2024-06-01T00:00:00"/>
    <n v="6"/>
    <n v="2024"/>
    <s v="Bắc Trung Bộ"/>
    <s v="Doanh nghiệp"/>
    <x v="0"/>
    <s v="B"/>
    <n v="34.964545000000001"/>
  </r>
  <r>
    <s v="HNI"/>
    <s v="Công ty 8"/>
    <s v="ICT"/>
    <n v="70477000"/>
    <d v="2024-06-01T00:00:00"/>
    <n v="6"/>
    <n v="2024"/>
    <s v="ĐB Sông Hồng"/>
    <s v="Doanh nghiệp"/>
    <x v="1"/>
    <s v="B"/>
    <n v="70.477000000000004"/>
  </r>
  <r>
    <s v="SLA"/>
    <s v="Công ty 16"/>
    <s v="ICT"/>
    <n v="41809091"/>
    <d v="2024-06-01T00:00:00"/>
    <n v="6"/>
    <n v="2024"/>
    <s v="Tây Bắc Bộ"/>
    <s v="Doanh nghiệp"/>
    <x v="0"/>
    <s v="B"/>
    <n v="41.809091000000002"/>
  </r>
  <r>
    <s v="HCM"/>
    <s v="Công ty 33"/>
    <s v="DVKT"/>
    <n v="44025266"/>
    <d v="2024-06-01T00:00:00"/>
    <n v="6"/>
    <n v="2024"/>
    <s v="Đông Nam Bộ"/>
    <s v="Doanh nghiệp"/>
    <x v="1"/>
    <s v="L"/>
    <n v="44.025266000000002"/>
  </r>
  <r>
    <s v="PTO"/>
    <s v="Công ty 35"/>
    <s v="NLMT"/>
    <n v="209427273"/>
    <d v="2024-06-01T00:00:00"/>
    <n v="6"/>
    <n v="2024"/>
    <s v="Đông Bắc Bộ"/>
    <s v="Doanh nghiệp"/>
    <x v="0"/>
    <s v="D"/>
    <n v="209.42727300000001"/>
  </r>
  <r>
    <s v="QNI"/>
    <s v="Công ty 49"/>
    <s v="ME"/>
    <n v="57818182"/>
    <d v="2024-06-01T00:00:00"/>
    <n v="6"/>
    <n v="2024"/>
    <s v="Duyên hải Nam Trung Bộ"/>
    <s v="Doanh nghiệp"/>
    <x v="1"/>
    <s v="C"/>
    <n v="57.818182"/>
  </r>
  <r>
    <s v="PYN"/>
    <s v="Công ty 58"/>
    <s v="ICT"/>
    <n v="48305182"/>
    <d v="2024-06-01T00:00:00"/>
    <n v="6"/>
    <n v="2024"/>
    <s v="Duyên hải Nam Trung Bộ"/>
    <s v="Doanh nghiệp"/>
    <x v="0"/>
    <s v="A"/>
    <n v="48.305182000000002"/>
  </r>
  <r>
    <s v="TQG"/>
    <s v="Công ty 2"/>
    <s v="DVKT"/>
    <n v="200001233"/>
    <d v="2024-06-01T00:00:00"/>
    <n v="6"/>
    <n v="2024"/>
    <s v="Đông Bắc Bộ"/>
    <s v="Doanh nghiệp"/>
    <x v="1"/>
    <s v="B"/>
    <n v="200.00123300000001"/>
  </r>
  <r>
    <s v="QNH"/>
    <s v="Công ty 67"/>
    <s v="DVKT"/>
    <n v="24568159"/>
    <d v="2024-06-01T00:00:00"/>
    <n v="6"/>
    <n v="2024"/>
    <s v="Đông Bắc Bộ"/>
    <s v="Doanh nghiệp"/>
    <x v="0"/>
    <s v="C"/>
    <n v="24.568159000000001"/>
  </r>
  <r>
    <s v="LSN"/>
    <s v="Công ty 85"/>
    <s v="ICT"/>
    <n v="40952245"/>
    <d v="2024-06-01T00:00:00"/>
    <n v="6"/>
    <n v="2024"/>
    <s v="Đông Bắc Bộ"/>
    <s v="Doanh nghiệp"/>
    <x v="1"/>
    <s v="B"/>
    <n v="40.952244999999998"/>
  </r>
  <r>
    <s v="BPC"/>
    <s v="Công ty 89"/>
    <s v="ICT"/>
    <n v="69930000"/>
    <d v="2024-06-01T00:00:00"/>
    <n v="6"/>
    <n v="2024"/>
    <s v="Đông Nam Bộ"/>
    <s v="Doanh nghiệp"/>
    <x v="0"/>
    <s v="B"/>
    <n v="69.930000000000007"/>
  </r>
  <r>
    <s v="TGG"/>
    <s v="Công ty 38"/>
    <s v="ICT"/>
    <n v="26925000"/>
    <d v="2024-06-01T00:00:00"/>
    <n v="6"/>
    <n v="2024"/>
    <s v="ĐB Sông Cửu Long"/>
    <s v="Doanh nghiệp"/>
    <x v="1"/>
    <s v="F"/>
    <n v="26.925000000000001"/>
  </r>
  <r>
    <s v="BPC"/>
    <s v="Công ty 56"/>
    <s v="ICT"/>
    <n v="35895455"/>
    <d v="2024-06-01T00:00:00"/>
    <n v="6"/>
    <n v="2024"/>
    <s v="Đông Nam Bộ"/>
    <s v="Doanh nghiệp"/>
    <x v="0"/>
    <s v="A"/>
    <n v="35.895454999999998"/>
  </r>
  <r>
    <s v="LCI"/>
    <s v="Công ty 79"/>
    <s v="ICT"/>
    <n v="23708182"/>
    <d v="2024-06-01T00:00:00"/>
    <n v="6"/>
    <n v="2024"/>
    <s v="Tây Bắc Bộ"/>
    <s v="Doanh nghiệp"/>
    <x v="1"/>
    <s v="G"/>
    <n v="23.708182000000001"/>
  </r>
  <r>
    <s v="HTH"/>
    <s v="Công ty 88"/>
    <s v="ICT"/>
    <n v="16988422"/>
    <d v="2024-06-01T00:00:00"/>
    <n v="6"/>
    <n v="2024"/>
    <s v="Bắc Trung Bộ"/>
    <s v="Doanh nghiệp"/>
    <x v="0"/>
    <s v="B"/>
    <n v="16.988422"/>
  </r>
  <r>
    <s v="HTH"/>
    <s v="Công ty 1"/>
    <s v="ICT"/>
    <n v="31510909"/>
    <d v="2024-06-01T00:00:00"/>
    <n v="6"/>
    <n v="2024"/>
    <s v="Bắc Trung Bộ"/>
    <s v="Doanh nghiệp"/>
    <x v="1"/>
    <s v="B"/>
    <n v="31.510909000000002"/>
  </r>
  <r>
    <s v="GLI"/>
    <s v="Công ty 5"/>
    <s v="ICT"/>
    <n v="57070800"/>
    <d v="2024-06-01T00:00:00"/>
    <n v="6"/>
    <n v="2024"/>
    <s v="Tây Nguyên"/>
    <s v="Doanh nghiệp"/>
    <x v="0"/>
    <s v="A"/>
    <n v="57.070799999999998"/>
  </r>
  <r>
    <s v="TBH"/>
    <s v="Công ty 17"/>
    <s v="NLMT"/>
    <n v="287331818"/>
    <d v="2024-06-01T00:00:00"/>
    <n v="6"/>
    <n v="2024"/>
    <s v="ĐB Sông Hồng"/>
    <s v="Doanh nghiệp"/>
    <x v="1"/>
    <s v="D"/>
    <n v="287.331818"/>
  </r>
  <r>
    <s v="SLA"/>
    <s v="Công ty 23"/>
    <s v="ME"/>
    <n v="98181818"/>
    <d v="2024-06-01T00:00:00"/>
    <n v="6"/>
    <n v="2024"/>
    <s v="Tây Bắc Bộ"/>
    <s v="Doanh nghiệp"/>
    <x v="0"/>
    <s v="O"/>
    <n v="98.181818000000007"/>
  </r>
  <r>
    <s v="TBH"/>
    <s v="Công ty 34"/>
    <s v="ME"/>
    <n v="3271153091"/>
    <d v="2024-06-01T00:00:00"/>
    <n v="6"/>
    <n v="2024"/>
    <s v="ĐB Sông Hồng"/>
    <s v="Doanh nghiệp"/>
    <x v="1"/>
    <s v="E"/>
    <n v="3271.1530910000001"/>
  </r>
  <r>
    <s v="HDG"/>
    <s v="Công ty 35"/>
    <s v="ME"/>
    <n v="25398615"/>
    <d v="2024-06-01T00:00:00"/>
    <n v="6"/>
    <n v="2024"/>
    <s v="ĐB Sông Hồng"/>
    <s v="Doanh nghiệp"/>
    <x v="0"/>
    <s v="C"/>
    <n v="25.398614999999999"/>
  </r>
  <r>
    <s v="LDG"/>
    <s v="Công ty 46"/>
    <s v="ICT"/>
    <n v="23909091"/>
    <d v="2024-06-01T00:00:00"/>
    <n v="6"/>
    <n v="2024"/>
    <s v="Tây Nguyên"/>
    <s v="Doanh nghiệp"/>
    <x v="1"/>
    <s v="A"/>
    <n v="23.909091"/>
  </r>
  <r>
    <s v="NTN"/>
    <s v="Công ty 59"/>
    <s v="ME"/>
    <n v="327020000"/>
    <d v="2024-06-01T00:00:00"/>
    <n v="6"/>
    <n v="2024"/>
    <s v="Duyên hải Nam Trung Bộ"/>
    <s v="Doanh nghiệp"/>
    <x v="0"/>
    <s v="C"/>
    <n v="327.02"/>
  </r>
  <r>
    <s v="KHA"/>
    <s v="Công ty 82"/>
    <s v="ICT"/>
    <n v="99383385"/>
    <d v="2024-06-01T00:00:00"/>
    <n v="6"/>
    <n v="2024"/>
    <s v="Duyên hải Nam Trung Bộ"/>
    <s v="Doanh nghiệp"/>
    <x v="1"/>
    <s v="F"/>
    <n v="99.383385000000004"/>
  </r>
  <r>
    <s v="HNM"/>
    <s v="Công ty 88"/>
    <s v="ICT"/>
    <n v="624724215"/>
    <d v="2024-06-01T00:00:00"/>
    <n v="6"/>
    <n v="2024"/>
    <s v="ĐB Sông Hồng"/>
    <s v="Doanh nghiệp"/>
    <x v="0"/>
    <s v="B"/>
    <n v="624.72421499999996"/>
  </r>
  <r>
    <s v="TGG"/>
    <s v="Công ty 3"/>
    <s v="ICT"/>
    <n v="120477273"/>
    <d v="2024-06-01T00:00:00"/>
    <n v="6"/>
    <n v="2024"/>
    <s v="ĐB Sông Cửu Long"/>
    <s v="Doanh nghiệp"/>
    <x v="1"/>
    <s v="F"/>
    <n v="120.477273"/>
  </r>
  <r>
    <s v="HCM"/>
    <s v="Công ty 23"/>
    <s v="ICT"/>
    <n v="26367005"/>
    <d v="2024-06-01T00:00:00"/>
    <n v="6"/>
    <n v="2024"/>
    <s v="Đông Nam Bộ"/>
    <s v="Doanh nghiệp"/>
    <x v="0"/>
    <s v="B"/>
    <n v="26.367004999999999"/>
  </r>
  <r>
    <s v="STG"/>
    <s v="Công ty 41"/>
    <s v="NLMT"/>
    <n v="93415455"/>
    <d v="2024-06-01T00:00:00"/>
    <n v="6"/>
    <n v="2024"/>
    <s v="ĐB Sông Cửu Long"/>
    <s v="Doanh nghiệp"/>
    <x v="1"/>
    <s v="D"/>
    <n v="93.415454999999994"/>
  </r>
  <r>
    <s v="VLG"/>
    <s v="Công ty 44"/>
    <s v="ICT"/>
    <n v="82100295"/>
    <d v="2024-06-01T00:00:00"/>
    <n v="6"/>
    <n v="2024"/>
    <s v="ĐB Sông Cửu Long"/>
    <s v="Doanh nghiệp"/>
    <x v="0"/>
    <s v="P"/>
    <n v="82.100295000000003"/>
  </r>
  <r>
    <s v="TGG"/>
    <s v="Công ty 46"/>
    <s v="ME"/>
    <n v="853800020"/>
    <d v="2024-06-01T00:00:00"/>
    <n v="6"/>
    <n v="2024"/>
    <s v="ĐB Sông Cửu Long"/>
    <s v="Doanh nghiệp"/>
    <x v="1"/>
    <s v="O"/>
    <n v="853.80002000000002"/>
  </r>
  <r>
    <s v="VLG"/>
    <s v="Công ty 56"/>
    <s v="ICT"/>
    <n v="28152455"/>
    <d v="2024-06-01T00:00:00"/>
    <n v="6"/>
    <n v="2024"/>
    <s v="ĐB Sông Cửu Long"/>
    <s v="Doanh nghiệp"/>
    <x v="0"/>
    <s v="B"/>
    <n v="28.152455"/>
  </r>
  <r>
    <s v="TQG"/>
    <s v="Công ty 76"/>
    <s v="ME"/>
    <n v="338166589"/>
    <d v="2024-06-01T00:00:00"/>
    <n v="6"/>
    <n v="2024"/>
    <s v="Đông Bắc Bộ"/>
    <s v="Doanh nghiệp"/>
    <x v="1"/>
    <s v="C"/>
    <n v="338.16658899999999"/>
  </r>
  <r>
    <s v="LCU"/>
    <s v="Công ty 77"/>
    <s v="ME"/>
    <n v="80278364"/>
    <d v="2024-06-01T00:00:00"/>
    <n v="6"/>
    <n v="2024"/>
    <s v="Tây Bắc Bộ"/>
    <s v="Doanh nghiệp"/>
    <x v="0"/>
    <s v="M"/>
    <n v="80.278363999999996"/>
  </r>
  <r>
    <s v="KTM"/>
    <s v="Công ty 80"/>
    <s v="ME"/>
    <n v="85066000"/>
    <d v="2024-06-01T00:00:00"/>
    <n v="6"/>
    <n v="2024"/>
    <s v="Tây Nguyên"/>
    <s v="Doanh nghiệp"/>
    <x v="1"/>
    <s v="C"/>
    <n v="85.066000000000003"/>
  </r>
  <r>
    <s v="KTM"/>
    <s v="Công ty 88"/>
    <s v="ME"/>
    <n v="76702969"/>
    <d v="2024-06-01T00:00:00"/>
    <n v="6"/>
    <n v="2024"/>
    <s v="Tây Nguyên"/>
    <s v="Doanh nghiệp"/>
    <x v="0"/>
    <s v="C"/>
    <n v="76.702968999999996"/>
  </r>
  <r>
    <s v="BPC"/>
    <s v="Công ty 93"/>
    <s v="DVKT"/>
    <n v="7272727"/>
    <d v="2024-06-01T00:00:00"/>
    <n v="6"/>
    <n v="2024"/>
    <s v="Đông Nam Bộ"/>
    <s v="Doanh nghiệp"/>
    <x v="1"/>
    <s v="D"/>
    <n v="7.2727269999999997"/>
  </r>
  <r>
    <s v="BPC"/>
    <s v="Công ty 95"/>
    <s v="DVKT"/>
    <n v="7272727"/>
    <d v="2024-06-01T00:00:00"/>
    <n v="6"/>
    <n v="2024"/>
    <s v="Đông Nam Bộ"/>
    <s v="Doanh nghiệp"/>
    <x v="0"/>
    <s v="D"/>
    <n v="7.2727269999999997"/>
  </r>
  <r>
    <s v="BPC"/>
    <s v="Công ty 97"/>
    <s v="DVKT"/>
    <n v="7272727"/>
    <d v="2024-06-01T00:00:00"/>
    <n v="6"/>
    <n v="2024"/>
    <s v="Đông Nam Bộ"/>
    <s v="Doanh nghiệp"/>
    <x v="1"/>
    <s v="D"/>
    <n v="7.2727269999999997"/>
  </r>
  <r>
    <s v="QTI"/>
    <s v="Công ty 1"/>
    <s v="DVKT"/>
    <n v="41950000"/>
    <d v="2024-06-01T00:00:00"/>
    <n v="6"/>
    <n v="2024"/>
    <s v="Bắc Trung Bộ"/>
    <s v="Doanh nghiệp"/>
    <x v="0"/>
    <s v="A"/>
    <n v="41.95"/>
  </r>
  <r>
    <s v="SLA"/>
    <s v="Công ty 37"/>
    <s v="ME"/>
    <n v="39636364"/>
    <d v="2024-06-01T00:00:00"/>
    <n v="6"/>
    <n v="2024"/>
    <s v="Tây Bắc Bộ"/>
    <s v="Doanh nghiệp"/>
    <x v="1"/>
    <s v="O"/>
    <n v="39.636364"/>
  </r>
  <r>
    <s v="SLA"/>
    <s v="Công ty 38"/>
    <s v="ME"/>
    <n v="60900727"/>
    <d v="2024-06-01T00:00:00"/>
    <n v="6"/>
    <n v="2024"/>
    <s v="Tây Bắc Bộ"/>
    <s v="Doanh nghiệp"/>
    <x v="0"/>
    <s v="O"/>
    <n v="60.900727000000003"/>
  </r>
  <r>
    <s v="DNI"/>
    <s v="Công ty 49"/>
    <s v="ME"/>
    <n v="68100000"/>
    <d v="2024-06-01T00:00:00"/>
    <n v="6"/>
    <n v="2024"/>
    <s v="Đông Nam Bộ"/>
    <s v="Doanh nghiệp"/>
    <x v="1"/>
    <s v="L"/>
    <n v="68.099999999999994"/>
  </r>
  <r>
    <s v="HDG"/>
    <s v="Công ty 62"/>
    <s v="DVKT"/>
    <n v="39436364"/>
    <d v="2024-06-01T00:00:00"/>
    <n v="6"/>
    <n v="2024"/>
    <s v="ĐB Sông Hồng"/>
    <s v="Doanh nghiệp"/>
    <x v="0"/>
    <s v="C"/>
    <n v="39.436363999999998"/>
  </r>
  <r>
    <s v="BKN"/>
    <s v="Công ty 64"/>
    <s v="ICT"/>
    <n v="348748400"/>
    <d v="2024-06-01T00:00:00"/>
    <n v="6"/>
    <n v="2024"/>
    <s v="Đông Bắc Bộ"/>
    <s v="Doanh nghiệp"/>
    <x v="1"/>
    <s v="A"/>
    <n v="348.7484"/>
  </r>
  <r>
    <s v="HDG"/>
    <s v="Công ty 69"/>
    <s v="NLMT"/>
    <n v="178259555"/>
    <d v="2024-06-01T00:00:00"/>
    <n v="6"/>
    <n v="2024"/>
    <s v="ĐB Sông Hồng"/>
    <s v="Doanh nghiệp"/>
    <x v="0"/>
    <s v="D"/>
    <n v="178.25955500000001"/>
  </r>
  <r>
    <s v="BDH"/>
    <s v="Công ty 13"/>
    <s v="ME"/>
    <n v="28550700"/>
    <d v="2024-06-01T00:00:00"/>
    <n v="6"/>
    <n v="2024"/>
    <s v="Duyên hải Nam Trung Bộ"/>
    <s v="Doanh nghiệp"/>
    <x v="1"/>
    <s v="C"/>
    <n v="28.550699999999999"/>
  </r>
  <r>
    <s v="CBG"/>
    <s v="Công ty 42"/>
    <s v="ME"/>
    <n v="100654545"/>
    <d v="2024-06-01T00:00:00"/>
    <n v="6"/>
    <n v="2024"/>
    <s v="Đông Bắc Bộ"/>
    <s v="Doanh nghiệp"/>
    <x v="0"/>
    <s v="C"/>
    <n v="100.654545"/>
  </r>
  <r>
    <s v="CBG"/>
    <s v="Công ty 43"/>
    <s v="ICT"/>
    <n v="29461400"/>
    <d v="2024-06-01T00:00:00"/>
    <n v="6"/>
    <n v="2024"/>
    <s v="Đông Bắc Bộ"/>
    <s v="Doanh nghiệp"/>
    <x v="1"/>
    <s v="B"/>
    <n v="29.461400000000001"/>
  </r>
  <r>
    <s v="BDH"/>
    <s v="Công ty 54"/>
    <s v="ICT"/>
    <n v="12461339"/>
    <d v="2024-06-01T00:00:00"/>
    <n v="6"/>
    <n v="2024"/>
    <s v="Duyên hải Nam Trung Bộ"/>
    <s v="Doanh nghiệp"/>
    <x v="0"/>
    <s v="B"/>
    <n v="12.461339000000001"/>
  </r>
  <r>
    <s v="BGG"/>
    <s v="Công ty 62"/>
    <s v="NLMT"/>
    <n v="147652727"/>
    <d v="2024-06-01T00:00:00"/>
    <n v="6"/>
    <n v="2024"/>
    <s v="Đông Bắc Bộ"/>
    <s v="Doanh nghiệp"/>
    <x v="1"/>
    <s v="D"/>
    <n v="147.652727"/>
  </r>
  <r>
    <s v="HTH"/>
    <s v="Công ty 17"/>
    <s v="ICT"/>
    <n v="20688495"/>
    <d v="2024-06-01T00:00:00"/>
    <n v="6"/>
    <n v="2024"/>
    <s v="Bắc Trung Bộ"/>
    <s v="Doanh nghiệp"/>
    <x v="0"/>
    <s v="B"/>
    <n v="20.688495"/>
  </r>
  <r>
    <s v="TGG"/>
    <s v="Công ty 50"/>
    <s v="ICT"/>
    <n v="19327656"/>
    <d v="2024-06-01T00:00:00"/>
    <n v="6"/>
    <n v="2024"/>
    <s v="ĐB Sông Cửu Long"/>
    <s v="Doanh nghiệp"/>
    <x v="1"/>
    <s v="B"/>
    <n v="19.327656000000001"/>
  </r>
  <r>
    <s v="TGG"/>
    <s v="Công ty 51"/>
    <s v="ICT"/>
    <n v="22925673"/>
    <d v="2024-06-01T00:00:00"/>
    <n v="6"/>
    <n v="2024"/>
    <s v="ĐB Sông Cửu Long"/>
    <s v="Doanh nghiệp"/>
    <x v="0"/>
    <s v="B"/>
    <n v="22.925673"/>
  </r>
  <r>
    <s v="TGG"/>
    <s v="Công ty 52"/>
    <s v="ICT"/>
    <n v="54911253"/>
    <d v="2024-06-01T00:00:00"/>
    <n v="6"/>
    <n v="2024"/>
    <s v="ĐB Sông Cửu Long"/>
    <s v="Doanh nghiệp"/>
    <x v="1"/>
    <s v="B"/>
    <n v="54.911253000000002"/>
  </r>
  <r>
    <s v="NAN"/>
    <s v="Công ty 79"/>
    <s v="NLMT"/>
    <n v="155033557"/>
    <d v="2024-06-01T00:00:00"/>
    <n v="6"/>
    <n v="2024"/>
    <s v="Bắc Trung Bộ"/>
    <s v="Doanh nghiệp"/>
    <x v="0"/>
    <s v="D"/>
    <n v="155.033557"/>
  </r>
  <r>
    <s v="DNI"/>
    <s v="Công ty 90"/>
    <s v="DVKT"/>
    <n v="273000000"/>
    <d v="2024-06-01T00:00:00"/>
    <n v="6"/>
    <n v="2024"/>
    <s v="Đông Nam Bộ"/>
    <s v="Doanh nghiệp"/>
    <x v="1"/>
    <s v="A"/>
    <n v="273"/>
  </r>
  <r>
    <s v="DNG"/>
    <s v="Công ty 94"/>
    <s v="DVKT"/>
    <n v="28130471"/>
    <d v="2024-06-01T00:00:00"/>
    <n v="6"/>
    <n v="2024"/>
    <s v="Duyên hải Nam Trung Bộ"/>
    <s v="Doanh nghiệp"/>
    <x v="0"/>
    <s v="C"/>
    <n v="28.130471"/>
  </r>
  <r>
    <s v="QNI"/>
    <s v="Doanh nghiệp 1"/>
    <s v="ICT"/>
    <n v="41930509"/>
    <d v="2024-06-01T00:00:00"/>
    <n v="6"/>
    <n v="2024"/>
    <s v="Duyên hải Nam Trung Bộ"/>
    <s v="Doanh nghiệp"/>
    <x v="1"/>
    <s v="A"/>
    <n v="41.930509000000001"/>
  </r>
  <r>
    <s v="TGG"/>
    <s v="Doanh nghiệp 14"/>
    <s v="ICT"/>
    <n v="19467400"/>
    <d v="2024-06-01T00:00:00"/>
    <n v="6"/>
    <n v="2024"/>
    <s v="ĐB Sông Cửu Long"/>
    <s v="Doanh nghiệp"/>
    <x v="0"/>
    <s v="B"/>
    <n v="19.467400000000001"/>
  </r>
  <r>
    <s v="TVH"/>
    <s v="Doanh nghiệp 29"/>
    <s v="ME"/>
    <n v="77814000"/>
    <d v="2024-06-01T00:00:00"/>
    <n v="6"/>
    <n v="2024"/>
    <s v="ĐB Sông Cửu Long"/>
    <s v="Doanh nghiệp"/>
    <x v="1"/>
    <s v="Q"/>
    <n v="77.813999999999993"/>
  </r>
  <r>
    <s v="CTO"/>
    <s v="Doanh nghiệp 24"/>
    <s v="ICT"/>
    <n v="67907000"/>
    <d v="2024-06-01T00:00:00"/>
    <n v="6"/>
    <n v="2024"/>
    <s v="ĐB Sông Cửu Long"/>
    <s v="Doanh nghiệp"/>
    <x v="0"/>
    <s v="A"/>
    <n v="67.906999999999996"/>
  </r>
  <r>
    <s v="GLI"/>
    <s v="Doanh nghiệp 29"/>
    <s v="NLMT"/>
    <n v="134765455"/>
    <d v="2024-06-01T00:00:00"/>
    <n v="6"/>
    <n v="2024"/>
    <s v="Tây Nguyên"/>
    <s v="Doanh nghiệp"/>
    <x v="1"/>
    <s v="D"/>
    <n v="134.765455"/>
  </r>
  <r>
    <s v="LSN"/>
    <s v="Doanh nghiệp 31"/>
    <s v="ME"/>
    <n v="25700000"/>
    <d v="2024-06-01T00:00:00"/>
    <n v="6"/>
    <n v="2024"/>
    <s v="Đông Bắc Bộ"/>
    <s v="Doanh nghiệp"/>
    <x v="0"/>
    <s v="C"/>
    <n v="25.7"/>
  </r>
  <r>
    <s v="QBH"/>
    <s v="Doanh nghiệp 5"/>
    <s v="ICT"/>
    <n v="17100000"/>
    <d v="2024-06-01T00:00:00"/>
    <n v="6"/>
    <n v="2024"/>
    <s v="Bắc Trung Bộ"/>
    <s v="Doanh nghiệp"/>
    <x v="1"/>
    <s v="A"/>
    <n v="17.100000000000001"/>
  </r>
  <r>
    <s v="DTP"/>
    <s v="Doanh nghiệp 19"/>
    <s v="ME"/>
    <n v="17881818"/>
    <d v="2024-06-01T00:00:00"/>
    <n v="6"/>
    <n v="2024"/>
    <s v="ĐB Sông Cửu Long"/>
    <s v="Doanh nghiệp"/>
    <x v="0"/>
    <s v="C"/>
    <n v="17.881817999999999"/>
  </r>
  <r>
    <s v="TNN"/>
    <s v="Doanh nghiệp 21"/>
    <s v="NLMT"/>
    <n v="717900000"/>
    <d v="2024-06-01T00:00:00"/>
    <n v="6"/>
    <n v="2024"/>
    <s v="Đông Bắc Bộ"/>
    <s v="Doanh nghiệp"/>
    <x v="1"/>
    <s v="D"/>
    <n v="717.9"/>
  </r>
  <r>
    <s v="CTO"/>
    <s v="Doanh nghiệp 27"/>
    <s v="ICT"/>
    <n v="84518500"/>
    <d v="2024-06-01T00:00:00"/>
    <n v="6"/>
    <n v="2024"/>
    <s v="ĐB Sông Cửu Long"/>
    <s v="Doanh nghiệp"/>
    <x v="0"/>
    <s v="B"/>
    <n v="84.518500000000003"/>
  </r>
  <r>
    <s v="NDH"/>
    <s v="Doanh nghiệp 31"/>
    <s v="ME"/>
    <n v="120321818"/>
    <d v="2024-06-01T00:00:00"/>
    <n v="6"/>
    <n v="2024"/>
    <s v="ĐB Sông Hồng"/>
    <s v="Doanh nghiệp"/>
    <x v="1"/>
    <s v="C"/>
    <n v="120.32181799999999"/>
  </r>
  <r>
    <s v="TBH"/>
    <s v="Doanh nghiệp 1"/>
    <s v="ME"/>
    <n v="51840000"/>
    <d v="2024-06-01T00:00:00"/>
    <n v="6"/>
    <n v="2024"/>
    <s v="ĐB Sông Hồng"/>
    <s v="Doanh nghiệp"/>
    <x v="0"/>
    <s v="C"/>
    <n v="51.84"/>
  </r>
  <r>
    <s v="NAN"/>
    <s v="Doanh nghiệp 2"/>
    <s v="ME"/>
    <n v="29435455"/>
    <d v="2024-06-01T00:00:00"/>
    <n v="6"/>
    <n v="2024"/>
    <s v="Bắc Trung Bộ"/>
    <s v="Doanh nghiệp"/>
    <x v="1"/>
    <s v="C"/>
    <n v="29.435455000000001"/>
  </r>
  <r>
    <s v="DCN"/>
    <s v="Doanh nghiệp 3"/>
    <s v="ICT"/>
    <n v="20547820"/>
    <d v="2024-06-01T00:00:00"/>
    <n v="6"/>
    <n v="2024"/>
    <s v="Tây Nguyên"/>
    <s v="Doanh nghiệp"/>
    <x v="0"/>
    <s v="F"/>
    <n v="20.547820000000002"/>
  </r>
  <r>
    <s v="HNM"/>
    <s v="Doanh nghiệp 4"/>
    <s v="ME"/>
    <n v="22554545"/>
    <d v="2024-06-01T00:00:00"/>
    <n v="6"/>
    <n v="2024"/>
    <s v="ĐB Sông Hồng"/>
    <s v="Doanh nghiệp"/>
    <x v="1"/>
    <s v="C"/>
    <n v="22.554545000000001"/>
  </r>
  <r>
    <s v="HNM"/>
    <s v="Doanh nghiệp 5"/>
    <s v="ME"/>
    <n v="33831818"/>
    <d v="2024-06-01T00:00:00"/>
    <n v="6"/>
    <n v="2024"/>
    <s v="ĐB Sông Hồng"/>
    <s v="Doanh nghiệp"/>
    <x v="0"/>
    <s v="C"/>
    <n v="33.831817999999998"/>
  </r>
  <r>
    <s v="HYN"/>
    <s v="Doanh nghiệp 6"/>
    <s v="ME"/>
    <n v="103909091"/>
    <d v="2024-06-01T00:00:00"/>
    <n v="6"/>
    <n v="2024"/>
    <s v="ĐB Sông Hồng"/>
    <s v="Doanh nghiệp"/>
    <x v="1"/>
    <s v="C"/>
    <n v="103.909091"/>
  </r>
  <r>
    <s v="STG"/>
    <s v="Doanh nghiệp 7"/>
    <s v="ICT"/>
    <n v="24745000"/>
    <d v="2024-06-01T00:00:00"/>
    <n v="6"/>
    <n v="2024"/>
    <s v="ĐB Sông Cửu Long"/>
    <s v="Doanh nghiệp"/>
    <x v="0"/>
    <s v="F"/>
    <n v="24.745000000000001"/>
  </r>
  <r>
    <s v="BTE"/>
    <s v="Doanh nghiệp 17"/>
    <s v="DVKT"/>
    <n v="56500000"/>
    <d v="2024-06-01T00:00:00"/>
    <n v="6"/>
    <n v="2024"/>
    <s v="ĐB Sông Cửu Long"/>
    <s v="Doanh nghiệp"/>
    <x v="1"/>
    <s v="B"/>
    <n v="56.5"/>
  </r>
  <r>
    <s v="AGG"/>
    <s v="Doanh nghiệp 25"/>
    <s v="DVKT"/>
    <n v="66184364"/>
    <d v="2024-06-01T00:00:00"/>
    <n v="6"/>
    <n v="2024"/>
    <s v="ĐB Sông Cửu Long"/>
    <s v="Doanh nghiệp"/>
    <x v="0"/>
    <s v="B"/>
    <n v="66.184364000000002"/>
  </r>
  <r>
    <s v="AGG"/>
    <s v="Doanh nghiệp 26"/>
    <s v="DVKT"/>
    <n v="37246073"/>
    <d v="2024-06-01T00:00:00"/>
    <n v="6"/>
    <n v="2024"/>
    <s v="ĐB Sông Cửu Long"/>
    <s v="Doanh nghiệp"/>
    <x v="1"/>
    <s v="A"/>
    <n v="37.246073000000003"/>
  </r>
  <r>
    <s v="CMU"/>
    <s v="Doanh nghiệp 17"/>
    <s v="ME"/>
    <n v="38146873"/>
    <d v="2024-06-01T00:00:00"/>
    <n v="6"/>
    <n v="2024"/>
    <s v="ĐB Sông Cửu Long"/>
    <s v="Doanh nghiệp"/>
    <x v="0"/>
    <s v="C"/>
    <n v="38.146872999999999"/>
  </r>
  <r>
    <s v="LDG"/>
    <s v="Tập đoàn 25"/>
    <s v="ICT"/>
    <n v="33776364"/>
    <d v="2024-06-01T00:00:00"/>
    <n v="6"/>
    <n v="2024"/>
    <s v="Tây Nguyên"/>
    <s v="Doanh nghiệp"/>
    <x v="1"/>
    <s v="F"/>
    <n v="33.776364000000001"/>
  </r>
  <r>
    <s v="NDH"/>
    <s v="Tập đoàn 45"/>
    <s v="ICT"/>
    <n v="79800000"/>
    <d v="2024-06-01T00:00:00"/>
    <n v="6"/>
    <n v="2024"/>
    <s v="ĐB Sông Hồng"/>
    <s v="Doanh nghiệp"/>
    <x v="0"/>
    <s v="T"/>
    <n v="79.8"/>
  </r>
  <r>
    <s v="NAN"/>
    <s v="Tập đoàn 62"/>
    <s v="ICT"/>
    <n v="1390943636"/>
    <d v="2024-06-01T00:00:00"/>
    <n v="6"/>
    <n v="2024"/>
    <s v="Bắc Trung Bộ"/>
    <s v="Doanh nghiệp"/>
    <x v="1"/>
    <s v="P"/>
    <n v="1390.943636"/>
  </r>
  <r>
    <s v="NAN"/>
    <s v="Tập đoàn 63"/>
    <s v="ME"/>
    <n v="21207273"/>
    <d v="2024-06-01T00:00:00"/>
    <n v="6"/>
    <n v="2024"/>
    <s v="Bắc Trung Bộ"/>
    <s v="Doanh nghiệp"/>
    <x v="0"/>
    <s v="C"/>
    <n v="21.207273000000001"/>
  </r>
  <r>
    <s v="PTO"/>
    <s v="Tập đoàn 93"/>
    <s v="NLMT"/>
    <n v="72718182"/>
    <d v="2024-06-01T00:00:00"/>
    <n v="6"/>
    <n v="2024"/>
    <s v="Đông Bắc Bộ"/>
    <s v="Doanh nghiệp"/>
    <x v="1"/>
    <s v="K"/>
    <n v="72.718181999999999"/>
  </r>
  <r>
    <s v="DCN"/>
    <s v="Tập đoàn 94"/>
    <s v="NLMT"/>
    <n v="136363636"/>
    <d v="2024-06-01T00:00:00"/>
    <n v="6"/>
    <n v="2024"/>
    <s v="Tây Nguyên"/>
    <s v="Doanh nghiệp"/>
    <x v="0"/>
    <s v="K"/>
    <n v="136.36363600000001"/>
  </r>
  <r>
    <s v="PTO"/>
    <s v="Tập đoàn 94"/>
    <s v="ME"/>
    <n v="36772727"/>
    <d v="2024-06-01T00:00:00"/>
    <n v="6"/>
    <n v="2024"/>
    <s v="Đông Bắc Bộ"/>
    <s v="Doanh nghiệp"/>
    <x v="1"/>
    <s v="C"/>
    <n v="36.772727000000003"/>
  </r>
  <r>
    <s v="HNI"/>
    <s v="Tập đoàn 93"/>
    <s v="ME"/>
    <n v="63600000"/>
    <d v="2024-06-01T00:00:00"/>
    <n v="6"/>
    <n v="2024"/>
    <s v="ĐB Sông Hồng"/>
    <s v="Doanh nghiệp"/>
    <x v="0"/>
    <s v="E"/>
    <n v="63.6"/>
  </r>
  <r>
    <s v="CMU"/>
    <s v="BỘ CHỈ HUY QUÂN SỰ TỈNH CÀ MAU"/>
    <s v="ICT"/>
    <n v="33137273"/>
    <d v="2024-06-01T00:00:00"/>
    <n v="6"/>
    <n v="2024"/>
    <s v="ĐB Sông Cửu Long"/>
    <s v="Sở ban ngành"/>
    <x v="1"/>
    <s v="P"/>
    <n v="33.137273"/>
  </r>
  <r>
    <s v="QTI"/>
    <s v="CHI CỤC THỦY SẢN"/>
    <s v="DVKT"/>
    <n v="35030000"/>
    <d v="2024-06-01T00:00:00"/>
    <n v="6"/>
    <n v="2024"/>
    <s v="Bắc Trung Bộ"/>
    <s v="Sở ban ngành"/>
    <x v="0"/>
    <s v="L"/>
    <n v="35.03"/>
  </r>
  <r>
    <s v="THA"/>
    <s v="Công ty 43"/>
    <s v="ICT"/>
    <n v="1191280000"/>
    <d v="2024-06-01T00:00:00"/>
    <n v="6"/>
    <n v="2024"/>
    <s v="Bắc Trung Bộ"/>
    <s v="Doanh nghiệp"/>
    <x v="1"/>
    <s v="F"/>
    <n v="1191.28"/>
  </r>
  <r>
    <s v="DBN"/>
    <s v="Công ty 61"/>
    <s v="NLMT"/>
    <n v="108872727"/>
    <d v="2024-06-01T00:00:00"/>
    <n v="6"/>
    <n v="2024"/>
    <s v="Tây Bắc Bộ"/>
    <s v="Doanh nghiệp"/>
    <x v="0"/>
    <s v="K"/>
    <n v="108.872727"/>
  </r>
  <r>
    <s v="DBN"/>
    <s v="Công ty 62"/>
    <s v="NLMT"/>
    <n v="54436364"/>
    <d v="2024-06-01T00:00:00"/>
    <n v="6"/>
    <n v="2024"/>
    <s v="Tây Bắc Bộ"/>
    <s v="Doanh nghiệp"/>
    <x v="1"/>
    <s v="K"/>
    <n v="54.436363999999998"/>
  </r>
  <r>
    <s v="DBN"/>
    <s v="Công ty 63"/>
    <s v="NLMT"/>
    <n v="398863636"/>
    <d v="2024-06-01T00:00:00"/>
    <n v="6"/>
    <n v="2024"/>
    <s v="Tây Bắc Bộ"/>
    <s v="Doanh nghiệp"/>
    <x v="0"/>
    <s v="K"/>
    <n v="398.86363599999999"/>
  </r>
  <r>
    <s v="DBN"/>
    <s v="Công ty 64"/>
    <s v="NLMT"/>
    <n v="25403636"/>
    <d v="2024-06-01T00:00:00"/>
    <n v="6"/>
    <n v="2024"/>
    <s v="Tây Bắc Bộ"/>
    <s v="Doanh nghiệp"/>
    <x v="1"/>
    <s v="K"/>
    <n v="25.403635999999999"/>
  </r>
  <r>
    <s v="DBN"/>
    <s v="Công ty 65"/>
    <s v="NLMT"/>
    <n v="13543636"/>
    <d v="2024-06-01T00:00:00"/>
    <n v="6"/>
    <n v="2024"/>
    <s v="Tây Bắc Bộ"/>
    <s v="Doanh nghiệp"/>
    <x v="0"/>
    <s v="K"/>
    <n v="13.543635999999999"/>
  </r>
  <r>
    <s v="DBN"/>
    <s v="Công ty 66"/>
    <s v="NLMT"/>
    <n v="18752727"/>
    <d v="2024-06-01T00:00:00"/>
    <n v="6"/>
    <n v="2024"/>
    <s v="Tây Bắc Bộ"/>
    <s v="Doanh nghiệp"/>
    <x v="1"/>
    <s v="K"/>
    <n v="18.752727"/>
  </r>
  <r>
    <s v="BGG"/>
    <s v="CÔNG AN HUYỆN VIỆT YÊN"/>
    <s v="DVKT"/>
    <n v="842580000"/>
    <d v="2024-06-01T00:00:00"/>
    <n v="6"/>
    <n v="2024"/>
    <s v="Đông Bắc Bộ"/>
    <s v="Sở ban ngành"/>
    <x v="0"/>
    <s v="B"/>
    <n v="842.58"/>
  </r>
  <r>
    <s v="HBH"/>
    <s v="Công An Tỉnh Hòa Bình"/>
    <s v="ME"/>
    <n v="69426364"/>
    <d v="2024-06-01T00:00:00"/>
    <n v="6"/>
    <n v="2024"/>
    <s v="Tây Bắc Bộ"/>
    <s v="Sở ban ngành"/>
    <x v="1"/>
    <s v="O"/>
    <n v="69.426364000000007"/>
  </r>
  <r>
    <s v="LDG"/>
    <s v="Công An Tỉnh Lâm Đồng"/>
    <s v="ME"/>
    <n v="89926364"/>
    <d v="2024-06-01T00:00:00"/>
    <n v="6"/>
    <n v="2024"/>
    <s v="Tây Nguyên"/>
    <s v="Sở ban ngành"/>
    <x v="0"/>
    <s v="M"/>
    <n v="89.926364000000007"/>
  </r>
  <r>
    <s v="THA"/>
    <s v="CÔNG AN TỈNH THANH HOÁ"/>
    <s v="DVKT"/>
    <n v="488287273"/>
    <d v="2024-06-01T00:00:00"/>
    <n v="6"/>
    <n v="2024"/>
    <s v="Bắc Trung Bộ"/>
    <s v="Sở ban ngành"/>
    <x v="1"/>
    <s v="B"/>
    <n v="488.28727300000003"/>
  </r>
  <r>
    <s v="VLG"/>
    <s v="Công An Tỉnh Vĩnh Long"/>
    <s v="ICT"/>
    <n v="10318182"/>
    <d v="2024-06-01T00:00:00"/>
    <n v="6"/>
    <n v="2024"/>
    <s v="ĐB Sông Cửu Long"/>
    <s v="Sở ban ngành"/>
    <x v="0"/>
    <s v="B"/>
    <n v="10.318182"/>
  </r>
  <r>
    <s v="AGG"/>
    <s v="Đảng Ủy Xã Vĩnh Chánh"/>
    <s v="NLMT"/>
    <n v="23828655"/>
    <d v="2024-06-01T00:00:00"/>
    <n v="6"/>
    <n v="2024"/>
    <s v="ĐB Sông Cửu Long"/>
    <s v="Sở ban ngành"/>
    <x v="1"/>
    <s v="K"/>
    <n v="23.828655000000001"/>
  </r>
  <r>
    <s v="CMU"/>
    <s v="Đoàn Thanh Niên Xã Hòa Tân"/>
    <s v="ME"/>
    <n v="166272727"/>
    <d v="2024-06-01T00:00:00"/>
    <n v="6"/>
    <n v="2024"/>
    <s v="ĐB Sông Cửu Long"/>
    <s v="Sở ban ngành"/>
    <x v="0"/>
    <s v="E"/>
    <n v="166.272727"/>
  </r>
  <r>
    <s v="VPC"/>
    <s v="Đoàn Tncs Hồ Chí Minh Tỉnh Vĩnh Phúc"/>
    <s v="NLMT"/>
    <n v="31090909"/>
    <d v="2024-06-01T00:00:00"/>
    <n v="6"/>
    <n v="2024"/>
    <s v="ĐB Sông Hồng"/>
    <s v="Sở ban ngành"/>
    <x v="1"/>
    <s v="K"/>
    <n v="31.090909"/>
  </r>
  <r>
    <s v="DBN"/>
    <s v="TRƯỜNG TIỂU HỌC SỐ 1 VÕ LAO"/>
    <s v="NLMT"/>
    <n v="50000000"/>
    <d v="2024-06-01T00:00:00"/>
    <n v="6"/>
    <n v="2024"/>
    <s v="Tây Bắc Bộ"/>
    <s v="Trường học"/>
    <x v="0"/>
    <s v="K"/>
    <n v="50"/>
  </r>
  <r>
    <s v="BGG"/>
    <s v="Ngân Hàng Thương Mại Cổ Phần Đầu Tư Và Phát Triển Việt Nam - Chi Nhánh Bắc Giang"/>
    <s v="NLMT"/>
    <n v="63521818"/>
    <d v="2024-06-01T00:00:00"/>
    <n v="6"/>
    <n v="2024"/>
    <s v="Đông Bắc Bộ"/>
    <s v="Ngân hàng"/>
    <x v="1"/>
    <s v="K"/>
    <n v="63.521818000000003"/>
  </r>
  <r>
    <s v="TBH"/>
    <s v="Ngân hàng TMCP Sài Gòn- Hà Nội(SHB)"/>
    <s v="Smarthome"/>
    <n v="64431818"/>
    <d v="2024-06-01T00:00:00"/>
    <n v="6"/>
    <n v="2024"/>
    <s v="ĐB Sông Hồng"/>
    <s v="Ngân hàng"/>
    <x v="0"/>
    <s v="L"/>
    <n v="64.431818000000007"/>
  </r>
  <r>
    <s v="NBH"/>
    <s v="Ngân Hàng Tmcp Sài Gòn Thương Tín – Chi Nhánh Ninh Bình"/>
    <s v="DVKT"/>
    <n v="12681818"/>
    <d v="2024-06-01T00:00:00"/>
    <n v="6"/>
    <n v="2024"/>
    <s v="ĐB Sông Hồng"/>
    <s v="Ngân hàng"/>
    <x v="1"/>
    <s v="C"/>
    <n v="12.681818"/>
  </r>
  <r>
    <s v="PYN"/>
    <s v="Phòng Dân Tọc Huyện Sông Hinh"/>
    <s v="ICT"/>
    <n v="315947273"/>
    <d v="2024-06-01T00:00:00"/>
    <n v="6"/>
    <n v="2024"/>
    <s v="Duyên hải Nam Trung Bộ"/>
    <s v="Sở ban ngành"/>
    <x v="0"/>
    <s v="F"/>
    <n v="315.947273"/>
  </r>
  <r>
    <s v="DCN"/>
    <s v="Phòng Văn Hoá Thông Tin Huyện Đắk Mil"/>
    <s v="ICT"/>
    <n v="45011818"/>
    <d v="2024-06-01T00:00:00"/>
    <n v="6"/>
    <n v="2024"/>
    <s v="Tây Nguyên"/>
    <s v="Sở ban ngành"/>
    <x v="1"/>
    <s v="B"/>
    <n v="45.011817999999998"/>
  </r>
  <r>
    <s v="AGG"/>
    <s v="Phòngtài Chính - Kế Hoạch Huyện Châu Thành"/>
    <s v="ICT"/>
    <n v="8285091"/>
    <d v="2024-06-01T00:00:00"/>
    <n v="6"/>
    <n v="2024"/>
    <s v="ĐB Sông Cửu Long"/>
    <s v="Sở ban ngành"/>
    <x v="0"/>
    <s v="A"/>
    <n v="8.2850909999999995"/>
  </r>
  <r>
    <s v="AGG"/>
    <s v="Phòngtài Chính - Kế Hoạch Huyện Châu Thành"/>
    <s v="ME"/>
    <n v="18200000"/>
    <d v="2024-06-01T00:00:00"/>
    <n v="6"/>
    <n v="2024"/>
    <s v="ĐB Sông Cửu Long"/>
    <s v="Sở ban ngành"/>
    <x v="1"/>
    <s v="C"/>
    <n v="18.2"/>
  </r>
  <r>
    <s v="BDH"/>
    <s v="QUỸ TÍN DỤNG NHÂN DÂN NGÔ MÂY"/>
    <s v="DVKT"/>
    <n v="21660909"/>
    <d v="2024-06-01T00:00:00"/>
    <n v="6"/>
    <n v="2024"/>
    <s v="Duyên hải Nam Trung Bộ"/>
    <s v="Sở ban ngành"/>
    <x v="0"/>
    <s v="A"/>
    <n v="21.660909"/>
  </r>
  <r>
    <s v="HUE"/>
    <s v="Sở Giáo dục và Đào tạo Thừa Thiên Huế"/>
    <s v="ICT"/>
    <n v="1254018182"/>
    <d v="2024-06-01T00:00:00"/>
    <n v="6"/>
    <n v="2024"/>
    <s v="Bắc Trung Bộ"/>
    <s v="Sở ban ngành"/>
    <x v="1"/>
    <s v="F"/>
    <n v="1254.018182"/>
  </r>
  <r>
    <s v="HNI"/>
    <s v="TẬP ĐOÀN CÔNG NGHIỆP - VIỄN THÔNG QUÂN ĐỘI"/>
    <s v="DVKT"/>
    <n v="333689367"/>
    <d v="2024-06-01T00:00:00"/>
    <n v="6"/>
    <n v="2024"/>
    <s v="ĐB Sông Hồng"/>
    <s v="Doanh nghiệp"/>
    <x v="0"/>
    <s v="O"/>
    <n v="333.689367"/>
  </r>
  <r>
    <s v="DCN"/>
    <s v="THÔN BON CHOIH"/>
    <s v="NLMT"/>
    <n v="36363636"/>
    <d v="2024-06-01T00:00:00"/>
    <n v="6"/>
    <n v="2024"/>
    <s v="Tây Nguyên"/>
    <s v="Sở ban ngành"/>
    <x v="1"/>
    <s v="K"/>
    <n v="36.363636"/>
  </r>
  <r>
    <s v="DCN"/>
    <s v="THÔN BON RCẬP"/>
    <s v="NLMT"/>
    <n v="36363636"/>
    <d v="2024-06-01T00:00:00"/>
    <n v="6"/>
    <n v="2024"/>
    <s v="Tây Nguyên"/>
    <s v="Sở ban ngành"/>
    <x v="0"/>
    <s v="K"/>
    <n v="36.363636"/>
  </r>
  <r>
    <s v="DCN"/>
    <s v="THÔN BONRUNG"/>
    <s v="NLMT"/>
    <n v="36363636"/>
    <d v="2024-06-01T00:00:00"/>
    <n v="6"/>
    <n v="2024"/>
    <s v="Tây Nguyên"/>
    <s v="Sở ban ngành"/>
    <x v="1"/>
    <s v="K"/>
    <n v="36.363636"/>
  </r>
  <r>
    <s v="DCN"/>
    <s v="THÔN NAM TÂN"/>
    <s v="NLMT"/>
    <n v="36363636"/>
    <d v="2024-06-01T00:00:00"/>
    <n v="6"/>
    <n v="2024"/>
    <s v="Tây Nguyên"/>
    <s v="Sở ban ngành"/>
    <x v="0"/>
    <s v="K"/>
    <n v="36.363636"/>
  </r>
  <r>
    <s v="CBG"/>
    <s v="Trung Tâm Y Tế Huyện Quảng Hòa"/>
    <s v="NLMT"/>
    <n v="44643636"/>
    <d v="2024-06-01T00:00:00"/>
    <n v="6"/>
    <n v="2024"/>
    <s v="Đông Bắc Bộ"/>
    <s v="Sở ban ngành"/>
    <x v="1"/>
    <s v="K"/>
    <n v="44.643636000000001"/>
  </r>
  <r>
    <s v="NDH"/>
    <s v="Trung Tâm Y Tế Huyện Trực Ninh"/>
    <s v="DVKT"/>
    <n v="40109091"/>
    <d v="2024-06-01T00:00:00"/>
    <n v="6"/>
    <n v="2024"/>
    <s v="ĐB Sông Hồng"/>
    <s v="Sở ban ngành"/>
    <x v="0"/>
    <s v="C"/>
    <n v="40.109090999999999"/>
  </r>
  <r>
    <s v="BDH"/>
    <s v="UBND PHƯỜNG HOÀI HẢO"/>
    <s v="ICT"/>
    <n v="31215000"/>
    <d v="2024-06-01T00:00:00"/>
    <n v="6"/>
    <n v="2024"/>
    <s v="Duyên hải Nam Trung Bộ"/>
    <s v="Sở ban ngành"/>
    <x v="1"/>
    <s v="A"/>
    <n v="31.215"/>
  </r>
  <r>
    <s v="BDH"/>
    <s v="UBND PHƯỜNG HOÀI THANH TÂY"/>
    <s v="ICT"/>
    <n v="45337500"/>
    <d v="2024-06-01T00:00:00"/>
    <n v="6"/>
    <n v="2024"/>
    <s v="Duyên hải Nam Trung Bộ"/>
    <s v="Sở ban ngành"/>
    <x v="0"/>
    <s v="A"/>
    <n v="45.337499999999999"/>
  </r>
  <r>
    <s v="BKN"/>
    <s v="UBND THỊ TRẤN PHỦ THÔNG"/>
    <s v="DVKT"/>
    <n v="28000503"/>
    <d v="2024-06-01T00:00:00"/>
    <n v="6"/>
    <n v="2024"/>
    <s v="Đông Bắc Bộ"/>
    <s v="Sở ban ngành"/>
    <x v="1"/>
    <s v="E"/>
    <n v="28.000502999999998"/>
  </r>
  <r>
    <s v="LCI"/>
    <s v="UBND Xã Bản Phố"/>
    <s v="ME"/>
    <n v="61681818"/>
    <d v="2024-06-01T00:00:00"/>
    <n v="6"/>
    <n v="2024"/>
    <s v="Tây Bắc Bộ"/>
    <s v="Sở ban ngành"/>
    <x v="0"/>
    <s v="Q"/>
    <n v="61.681818"/>
  </r>
  <r>
    <s v="QNM"/>
    <s v="UBND XÃ BÌNH CHÁNH"/>
    <s v="NLMT"/>
    <n v="78902000"/>
    <d v="2024-06-01T00:00:00"/>
    <n v="6"/>
    <n v="2024"/>
    <s v="Duyên hải Nam Trung Bộ"/>
    <s v="Sở ban ngành"/>
    <x v="1"/>
    <s v="K"/>
    <n v="78.902000000000001"/>
  </r>
  <r>
    <s v="LCI"/>
    <s v="UBND XÃ CỐC LY"/>
    <s v="ME"/>
    <n v="214545455"/>
    <d v="2024-06-01T00:00:00"/>
    <n v="6"/>
    <n v="2024"/>
    <s v="Tây Bắc Bộ"/>
    <s v="Sở ban ngành"/>
    <x v="0"/>
    <s v="Q"/>
    <n v="214.545455"/>
  </r>
  <r>
    <s v="BKN"/>
    <s v="UBND XÃ CÔN MINH"/>
    <s v="DVKT"/>
    <n v="69681818"/>
    <d v="2024-06-01T00:00:00"/>
    <n v="6"/>
    <n v="2024"/>
    <s v="Đông Bắc Bộ"/>
    <s v="Sở ban ngành"/>
    <x v="1"/>
    <s v="O"/>
    <n v="69.681818000000007"/>
  </r>
  <r>
    <s v="QNM"/>
    <s v="Ubnd Xã Đắc Tôi"/>
    <s v="ICT"/>
    <n v="63636364"/>
    <d v="2024-06-01T00:00:00"/>
    <n v="6"/>
    <n v="2024"/>
    <s v="Duyên hải Nam Trung Bộ"/>
    <s v="Sở ban ngành"/>
    <x v="0"/>
    <s v="B"/>
    <n v="63.636364"/>
  </r>
  <r>
    <s v="DLK"/>
    <s v="Ubnd Xã Ea Kmút"/>
    <s v="ICT"/>
    <n v="67077255"/>
    <d v="2024-06-01T00:00:00"/>
    <n v="6"/>
    <n v="2024"/>
    <s v="Tây Nguyên"/>
    <s v="Sở ban ngành"/>
    <x v="1"/>
    <s v="B"/>
    <n v="67.077254999999994"/>
  </r>
  <r>
    <s v="DLK"/>
    <s v="Ubnd Xã Ea Kmút"/>
    <s v="ICT"/>
    <n v="31543091"/>
    <d v="2024-06-01T00:00:00"/>
    <n v="6"/>
    <n v="2024"/>
    <s v="Tây Nguyên"/>
    <s v="Sở ban ngành"/>
    <x v="0"/>
    <s v="B"/>
    <n v="31.543091"/>
  </r>
  <r>
    <s v="HGG"/>
    <s v="Ubnd Xã Nấm Dẩn"/>
    <s v="NLMT"/>
    <n v="183545455"/>
    <d v="2024-06-01T00:00:00"/>
    <n v="6"/>
    <n v="2024"/>
    <s v="Đông Bắc Bộ"/>
    <s v="Sở ban ngành"/>
    <x v="1"/>
    <s v="K"/>
    <n v="183.545455"/>
  </r>
  <r>
    <s v="BTN"/>
    <s v="UBND XÃ PHONG PHÚ"/>
    <s v="NLMT"/>
    <n v="28855455"/>
    <d v="2024-06-01T00:00:00"/>
    <n v="6"/>
    <n v="2024"/>
    <s v="Duyên hải Nam Trung Bộ"/>
    <s v="Sở ban ngành"/>
    <x v="0"/>
    <s v="K"/>
    <n v="28.855454999999999"/>
  </r>
  <r>
    <s v="BTN"/>
    <s v="UBND XÃ PHONG PHÚ"/>
    <s v="NLMT"/>
    <n v="24240909"/>
    <d v="2024-06-01T00:00:00"/>
    <n v="6"/>
    <n v="2024"/>
    <s v="Duyên hải Nam Trung Bộ"/>
    <s v="Sở ban ngành"/>
    <x v="1"/>
    <s v="K"/>
    <n v="24.240908999999998"/>
  </r>
  <r>
    <s v="NAN"/>
    <s v="Ubnd Xã Yên Hợp"/>
    <s v="ICT"/>
    <n v="57640909"/>
    <d v="2024-06-01T00:00:00"/>
    <n v="6"/>
    <n v="2024"/>
    <s v="Bắc Trung Bộ"/>
    <s v="Sở ban ngành"/>
    <x v="0"/>
    <s v="B"/>
    <n v="57.640909000000001"/>
  </r>
  <r>
    <s v="LCI"/>
    <s v="Ủy Ban Nhân Dân Xã Bản Phiệt"/>
    <s v="ICT"/>
    <n v="90735455"/>
    <d v="2024-06-01T00:00:00"/>
    <n v="6"/>
    <n v="2024"/>
    <s v="Tây Bắc Bộ"/>
    <s v="Sở ban ngành"/>
    <x v="1"/>
    <s v="B"/>
    <n v="90.735455000000002"/>
  </r>
  <r>
    <s v="YBI"/>
    <s v="Ủy Ban Nhân Dân Xã Liễu Đô"/>
    <s v="DVKT"/>
    <n v="36532727"/>
    <d v="2024-06-01T00:00:00"/>
    <n v="6"/>
    <n v="2024"/>
    <s v="Tây Bắc Bộ"/>
    <s v="Sở ban ngành"/>
    <x v="0"/>
    <s v="B"/>
    <n v="36.532727000000001"/>
  </r>
  <r>
    <s v="TNN"/>
    <s v="Uỷ Ban Nhân Dân Xã Minh Đức"/>
    <s v="ICT"/>
    <n v="67709091"/>
    <d v="2024-06-01T00:00:00"/>
    <n v="6"/>
    <n v="2024"/>
    <s v="Đông Bắc Bộ"/>
    <s v="Sở ban ngành"/>
    <x v="1"/>
    <s v="B"/>
    <n v="67.709091000000001"/>
  </r>
  <r>
    <s v="NAN"/>
    <s v="Uỷ Ban Nhân Dân Xã Mỹ Sơn"/>
    <s v="Smarthome"/>
    <n v="90774545"/>
    <d v="2024-06-01T00:00:00"/>
    <n v="6"/>
    <n v="2024"/>
    <s v="Bắc Trung Bộ"/>
    <s v="Sở ban ngành"/>
    <x v="0"/>
    <s v="H"/>
    <n v="90.774545000000003"/>
  </r>
  <r>
    <s v="TBH"/>
    <s v="Uỷ Ban Nhân Dân Xã Phương Công"/>
    <s v="ICT"/>
    <n v="51336364"/>
    <d v="2024-06-01T00:00:00"/>
    <n v="6"/>
    <n v="2024"/>
    <s v="ĐB Sông Hồng"/>
    <s v="Sở ban ngành"/>
    <x v="1"/>
    <s v="B"/>
    <n v="51.336364000000003"/>
  </r>
  <r>
    <s v="LCU"/>
    <s v="Văn Phòng Hội Đồng Nhân Dân - Ủy Ban Nhân Dân Huyện Mường Tè"/>
    <s v="ICT"/>
    <n v="42752727"/>
    <d v="2024-06-01T00:00:00"/>
    <n v="6"/>
    <n v="2024"/>
    <s v="Tây Bắc Bộ"/>
    <s v="Sở ban ngành"/>
    <x v="0"/>
    <s v="B"/>
    <n v="42.752727"/>
  </r>
  <r>
    <s v="NAN"/>
    <s v="VIỆN KIỂM SÁT NHÂN DÂN TỈNH NGHỆ AN"/>
    <s v="DVKT"/>
    <n v="86095455"/>
    <d v="2024-06-01T00:00:00"/>
    <n v="6"/>
    <n v="2024"/>
    <s v="Bắc Trung Bộ"/>
    <s v="Sở ban ngành"/>
    <x v="1"/>
    <s v="C"/>
    <n v="86.095455000000001"/>
  </r>
  <r>
    <s v="PTO"/>
    <s v="TRƯỜNG CAO ĐẲNG Y TẾ PHÚ THỌ"/>
    <s v="ICT"/>
    <n v="69875364"/>
    <d v="2024-06-01T00:00:00"/>
    <n v="6"/>
    <n v="2024"/>
    <s v="Đông Bắc Bộ"/>
    <s v="Trường học"/>
    <x v="0"/>
    <s v="A"/>
    <n v="69.875364000000005"/>
  </r>
  <r>
    <s v="DCN"/>
    <s v="Trường Mầm Non Hoa Phượng Vàng"/>
    <s v="NLMT"/>
    <n v="18727273"/>
    <d v="2024-06-01T00:00:00"/>
    <n v="6"/>
    <n v="2024"/>
    <s v="Tây Nguyên"/>
    <s v="Trường học"/>
    <x v="1"/>
    <s v="K"/>
    <n v="18.727273"/>
  </r>
  <r>
    <s v="TBH"/>
    <s v="trường mầm non nam hà"/>
    <s v="ME"/>
    <n v="226206000"/>
    <d v="2024-06-01T00:00:00"/>
    <n v="6"/>
    <n v="2024"/>
    <s v="ĐB Sông Hồng"/>
    <s v="Trường học"/>
    <x v="0"/>
    <s v="C"/>
    <n v="226.20599999999999"/>
  </r>
  <r>
    <s v="BTE"/>
    <s v="TRƯỜNG THCS THỚI LAI"/>
    <s v="DVKT"/>
    <n v="8363636"/>
    <d v="2024-06-01T00:00:00"/>
    <n v="6"/>
    <n v="2024"/>
    <s v="ĐB Sông Cửu Long"/>
    <s v="Trường học"/>
    <x v="1"/>
    <s v="A"/>
    <n v="8.3636359999999996"/>
  </r>
  <r>
    <s v="BKN"/>
    <s v="Trường Tiểu Học Mỹ Phương"/>
    <s v="DVKT"/>
    <n v="14504175"/>
    <d v="2024-06-01T00:00:00"/>
    <n v="6"/>
    <n v="2024"/>
    <s v="Đông Bắc Bộ"/>
    <s v="Trường học"/>
    <x v="0"/>
    <s v="A"/>
    <n v="14.504175"/>
  </r>
  <r>
    <s v="NDH"/>
    <s v="Trường Tiểu Học Mỹ Xá"/>
    <s v="ME"/>
    <n v="67700745"/>
    <d v="2024-06-01T00:00:00"/>
    <n v="6"/>
    <n v="2024"/>
    <s v="ĐB Sông Hồng"/>
    <s v="Trường học"/>
    <x v="1"/>
    <s v="E"/>
    <n v="67.700744999999998"/>
  </r>
  <r>
    <s v="BTE"/>
    <s v="TRƯỜNG TIỂU HỌC NGUYỄN ĐÌNH CHIỂU"/>
    <s v="DVKT"/>
    <n v="9000000"/>
    <d v="2024-06-01T00:00:00"/>
    <n v="6"/>
    <n v="2024"/>
    <s v="ĐB Sông Cửu Long"/>
    <s v="Trường học"/>
    <x v="0"/>
    <s v="A"/>
    <n v="9"/>
  </r>
  <r>
    <s v="VLG"/>
    <s v="Trường Tiểu Học Phan Văn Năm"/>
    <s v="ICT"/>
    <n v="9818182"/>
    <d v="2024-06-01T00:00:00"/>
    <n v="6"/>
    <n v="2024"/>
    <s v="ĐB Sông Cửu Long"/>
    <s v="Trường học"/>
    <x v="1"/>
    <s v="A"/>
    <n v="9.8181820000000002"/>
  </r>
  <r>
    <s v="SLA"/>
    <s v="TRƯỜNG TIỂU HỌC VÀ THCS CHIỀNG PHUNG"/>
    <s v="ME"/>
    <n v="43545455"/>
    <d v="2024-06-01T00:00:00"/>
    <n v="6"/>
    <n v="2024"/>
    <s v="Tây Bắc Bộ"/>
    <s v="Trường học"/>
    <x v="0"/>
    <s v="O"/>
    <n v="43.545454999999997"/>
  </r>
  <r>
    <s v="YBI"/>
    <s v="Trường Tiểu Học Và Thcs Hoàng Văn Thọ"/>
    <s v="ICT"/>
    <n v="11287636"/>
    <d v="2024-06-01T00:00:00"/>
    <n v="6"/>
    <n v="2024"/>
    <s v="Tây Bắc Bộ"/>
    <s v="Trường học"/>
    <x v="1"/>
    <s v="A"/>
    <n v="11.287635999999999"/>
  </r>
  <r>
    <s v="PTO"/>
    <s v="Trường Trung Học Phổ Thông Minh Hòa"/>
    <s v="DVKT"/>
    <n v="88763455"/>
    <d v="2024-06-01T00:00:00"/>
    <n v="6"/>
    <n v="2024"/>
    <s v="Đông Bắc Bộ"/>
    <s v="Trường học"/>
    <x v="0"/>
    <s v="E"/>
    <n v="88.763454999999993"/>
  </r>
  <r>
    <s v="YBI"/>
    <s v="Bệnh viện đa khoa tỉnh Yên Bái"/>
    <s v="DVKT"/>
    <n v="79104545"/>
    <d v="2024-07-01T00:00:00"/>
    <n v="7"/>
    <n v="2024"/>
    <s v="Tây Bắc Bộ"/>
    <s v="Bệnh viện"/>
    <x v="1"/>
    <s v="C"/>
    <n v="79.104545000000002"/>
  </r>
  <r>
    <s v="QNH"/>
    <s v="Công ty 1"/>
    <s v="ICT"/>
    <n v="116021000"/>
    <d v="2024-07-01T00:00:00"/>
    <n v="7"/>
    <n v="2024"/>
    <s v="Đông Bắc Bộ"/>
    <s v="Doanh nghiệp"/>
    <x v="0"/>
    <s v="A"/>
    <n v="116.021"/>
  </r>
  <r>
    <s v="NAN"/>
    <s v="Công ty 42"/>
    <s v="ICT"/>
    <n v="37806909"/>
    <d v="2024-07-01T00:00:00"/>
    <n v="7"/>
    <n v="2024"/>
    <s v="Bắc Trung Bộ"/>
    <s v="Doanh nghiệp"/>
    <x v="1"/>
    <s v="B"/>
    <n v="37.806908999999997"/>
  </r>
  <r>
    <s v="TGG"/>
    <s v="Công ty 46"/>
    <s v="ICT"/>
    <n v="531263573"/>
    <d v="2024-07-01T00:00:00"/>
    <n v="7"/>
    <n v="2024"/>
    <s v="ĐB Sông Cửu Long"/>
    <s v="Doanh nghiệp"/>
    <x v="0"/>
    <s v="F"/>
    <n v="531.26357299999995"/>
  </r>
  <r>
    <s v="BTN"/>
    <s v="Công ty 28"/>
    <s v="DVKT"/>
    <n v="95620000"/>
    <d v="2024-07-01T00:00:00"/>
    <n v="7"/>
    <n v="2024"/>
    <s v="Duyên hải Nam Trung Bộ"/>
    <s v="Doanh nghiệp"/>
    <x v="1"/>
    <s v="A"/>
    <n v="95.62"/>
  </r>
  <r>
    <s v="QBH"/>
    <s v="Công ty 32"/>
    <s v="ME"/>
    <n v="21060000"/>
    <d v="2024-07-01T00:00:00"/>
    <n v="7"/>
    <n v="2024"/>
    <s v="Bắc Trung Bộ"/>
    <s v="Doanh nghiệp"/>
    <x v="0"/>
    <s v="L"/>
    <n v="21.06"/>
  </r>
  <r>
    <s v="DTP"/>
    <s v="Công ty 33"/>
    <s v="ICT"/>
    <n v="13310000"/>
    <d v="2024-07-01T00:00:00"/>
    <n v="7"/>
    <n v="2024"/>
    <s v="ĐB Sông Cửu Long"/>
    <s v="Doanh nghiệp"/>
    <x v="1"/>
    <s v="B"/>
    <n v="13.31"/>
  </r>
  <r>
    <s v="BTE"/>
    <s v="Công ty 79"/>
    <s v="ICT"/>
    <n v="3240000"/>
    <d v="2024-07-01T00:00:00"/>
    <n v="7"/>
    <n v="2024"/>
    <s v="ĐB Sông Cửu Long"/>
    <s v="Doanh nghiệp"/>
    <x v="0"/>
    <s v="A"/>
    <n v="3.24"/>
  </r>
  <r>
    <s v="NAN"/>
    <s v="Công ty 25"/>
    <s v="DVKT"/>
    <n v="89934545"/>
    <d v="2024-07-01T00:00:00"/>
    <n v="7"/>
    <n v="2024"/>
    <s v="Bắc Trung Bộ"/>
    <s v="Doanh nghiệp"/>
    <x v="1"/>
    <s v="A"/>
    <n v="89.934545"/>
  </r>
  <r>
    <s v="DNG"/>
    <s v="Công ty 35"/>
    <s v="ICT"/>
    <n v="359928000"/>
    <d v="2024-07-01T00:00:00"/>
    <n v="7"/>
    <n v="2024"/>
    <s v="Duyên hải Nam Trung Bộ"/>
    <s v="Doanh nghiệp"/>
    <x v="0"/>
    <s v="F"/>
    <n v="359.928"/>
  </r>
  <r>
    <s v="BDG"/>
    <s v="Công ty 69"/>
    <s v="DVKT"/>
    <n v="562970000"/>
    <d v="2024-07-01T00:00:00"/>
    <n v="7"/>
    <n v="2024"/>
    <s v="Đông Nam Bộ"/>
    <s v="Doanh nghiệp"/>
    <x v="1"/>
    <s v="A"/>
    <n v="562.97"/>
  </r>
  <r>
    <s v="BDG"/>
    <s v="Công ty 70"/>
    <s v="DVKT"/>
    <n v="551430000"/>
    <d v="2024-07-01T00:00:00"/>
    <n v="7"/>
    <n v="2024"/>
    <s v="Đông Nam Bộ"/>
    <s v="Doanh nghiệp"/>
    <x v="0"/>
    <s v="A"/>
    <n v="551.42999999999995"/>
  </r>
  <r>
    <s v="QBH"/>
    <s v="Công ty 97"/>
    <s v="NLMT"/>
    <n v="443682027"/>
    <d v="2024-07-01T00:00:00"/>
    <n v="7"/>
    <n v="2024"/>
    <s v="Bắc Trung Bộ"/>
    <s v="Doanh nghiệp"/>
    <x v="1"/>
    <s v="D"/>
    <n v="443.68202700000001"/>
  </r>
  <r>
    <s v="HTH"/>
    <s v="Công ty 10"/>
    <s v="Smarthome"/>
    <n v="105944909"/>
    <d v="2024-07-01T00:00:00"/>
    <n v="7"/>
    <n v="2024"/>
    <s v="Bắc Trung Bộ"/>
    <s v="Doanh nghiệp"/>
    <x v="0"/>
    <s v="H"/>
    <n v="105.944909"/>
  </r>
  <r>
    <s v="QTI"/>
    <s v="Công ty 15"/>
    <s v="NLMT"/>
    <n v="1801818182"/>
    <d v="2024-07-01T00:00:00"/>
    <n v="7"/>
    <n v="2024"/>
    <s v="Bắc Trung Bộ"/>
    <s v="Doanh nghiệp"/>
    <x v="1"/>
    <s v="D"/>
    <n v="1801.818182"/>
  </r>
  <r>
    <s v="HCM"/>
    <s v="Công ty 22"/>
    <s v="DVKT"/>
    <n v="357564044"/>
    <d v="2024-07-01T00:00:00"/>
    <n v="7"/>
    <n v="2024"/>
    <s v="Đông Nam Bộ"/>
    <s v="Doanh nghiệp"/>
    <x v="0"/>
    <s v="D"/>
    <n v="357.56404400000002"/>
  </r>
  <r>
    <s v="NTN"/>
    <s v="Công ty 31"/>
    <s v="ICT"/>
    <n v="123640455"/>
    <d v="2024-07-01T00:00:00"/>
    <n v="7"/>
    <n v="2024"/>
    <s v="Duyên hải Nam Trung Bộ"/>
    <s v="Doanh nghiệp"/>
    <x v="1"/>
    <s v="B"/>
    <n v="123.640455"/>
  </r>
  <r>
    <s v="QTI"/>
    <s v="Công ty 39"/>
    <s v="NLMT"/>
    <n v="1737818182"/>
    <d v="2024-07-01T00:00:00"/>
    <n v="7"/>
    <n v="2024"/>
    <s v="Bắc Trung Bộ"/>
    <s v="Doanh nghiệp"/>
    <x v="0"/>
    <s v="D"/>
    <n v="1737.818182"/>
  </r>
  <r>
    <s v="HNI"/>
    <s v="Công ty 66"/>
    <s v="DVKT"/>
    <n v="152200000"/>
    <d v="2024-07-01T00:00:00"/>
    <n v="7"/>
    <n v="2024"/>
    <s v="ĐB Sông Hồng"/>
    <s v="Doanh nghiệp"/>
    <x v="1"/>
    <s v="C"/>
    <n v="152.19999999999999"/>
  </r>
  <r>
    <s v="HNI"/>
    <s v="Công ty 74"/>
    <s v="ICT"/>
    <n v="27127273"/>
    <d v="2024-07-01T00:00:00"/>
    <n v="7"/>
    <n v="2024"/>
    <s v="ĐB Sông Hồng"/>
    <s v="Doanh nghiệp"/>
    <x v="0"/>
    <s v="B"/>
    <n v="27.127272999999999"/>
  </r>
  <r>
    <s v="NAN"/>
    <s v="Công ty 75"/>
    <s v="ICT"/>
    <n v="357057586"/>
    <d v="2024-07-01T00:00:00"/>
    <n v="7"/>
    <n v="2024"/>
    <s v="Bắc Trung Bộ"/>
    <s v="Doanh nghiệp"/>
    <x v="1"/>
    <s v="B"/>
    <n v="357.05758600000001"/>
  </r>
  <r>
    <s v="PTO"/>
    <s v="Công ty 90"/>
    <s v="DVKT"/>
    <n v="41815072"/>
    <d v="2024-07-01T00:00:00"/>
    <n v="7"/>
    <n v="2024"/>
    <s v="Đông Bắc Bộ"/>
    <s v="Doanh nghiệp"/>
    <x v="0"/>
    <s v="T"/>
    <n v="41.815072000000001"/>
  </r>
  <r>
    <s v="PTO"/>
    <s v="Công ty 1"/>
    <s v="DVKT"/>
    <n v="19090909"/>
    <d v="2024-07-01T00:00:00"/>
    <n v="7"/>
    <n v="2024"/>
    <s v="Đông Bắc Bộ"/>
    <s v="Doanh nghiệp"/>
    <x v="1"/>
    <s v="B"/>
    <n v="19.090909"/>
  </r>
  <r>
    <s v="NBH"/>
    <s v="Công ty 5"/>
    <s v="ICT"/>
    <n v="55974282"/>
    <d v="2024-07-01T00:00:00"/>
    <n v="7"/>
    <n v="2024"/>
    <s v="ĐB Sông Hồng"/>
    <s v="Doanh nghiệp"/>
    <x v="0"/>
    <s v="B"/>
    <n v="55.974282000000002"/>
  </r>
  <r>
    <s v="GLI"/>
    <s v="Công ty 14"/>
    <s v="ICT"/>
    <n v="16270000"/>
    <d v="2024-07-01T00:00:00"/>
    <n v="7"/>
    <n v="2024"/>
    <s v="Tây Nguyên"/>
    <s v="Doanh nghiệp"/>
    <x v="1"/>
    <s v="B"/>
    <n v="16.27"/>
  </r>
  <r>
    <s v="TQG"/>
    <s v="Công ty 18"/>
    <s v="ICT"/>
    <n v="12970909"/>
    <d v="2024-07-01T00:00:00"/>
    <n v="7"/>
    <n v="2024"/>
    <s v="Đông Bắc Bộ"/>
    <s v="Doanh nghiệp"/>
    <x v="0"/>
    <s v="B"/>
    <n v="12.970909000000001"/>
  </r>
  <r>
    <s v="QTI"/>
    <s v="Công ty 57"/>
    <s v="ME"/>
    <n v="1666733345"/>
    <d v="2024-07-01T00:00:00"/>
    <n v="7"/>
    <n v="2024"/>
    <s v="Bắc Trung Bộ"/>
    <s v="Doanh nghiệp"/>
    <x v="1"/>
    <s v="L"/>
    <n v="1666.7333450000001"/>
  </r>
  <r>
    <s v="TQG"/>
    <s v="Công ty 65"/>
    <s v="ICT"/>
    <n v="232275600"/>
    <d v="2024-07-01T00:00:00"/>
    <n v="7"/>
    <n v="2024"/>
    <s v="Đông Bắc Bộ"/>
    <s v="Doanh nghiệp"/>
    <x v="0"/>
    <s v="B"/>
    <n v="232.2756"/>
  </r>
  <r>
    <s v="BPC"/>
    <s v="Công ty 68"/>
    <s v="ICT"/>
    <n v="21119455"/>
    <d v="2024-07-01T00:00:00"/>
    <n v="7"/>
    <n v="2024"/>
    <s v="Đông Nam Bộ"/>
    <s v="Doanh nghiệp"/>
    <x v="1"/>
    <s v="A"/>
    <n v="21.119454999999999"/>
  </r>
  <r>
    <s v="GLI"/>
    <s v="Công ty 77"/>
    <s v="ICT"/>
    <n v="142803636"/>
    <d v="2024-07-01T00:00:00"/>
    <n v="7"/>
    <n v="2024"/>
    <s v="Tây Nguyên"/>
    <s v="Doanh nghiệp"/>
    <x v="0"/>
    <s v="B"/>
    <n v="142.80363600000001"/>
  </r>
  <r>
    <s v="GLI"/>
    <s v="Công ty 78"/>
    <s v="ICT"/>
    <n v="103535500"/>
    <d v="2024-07-01T00:00:00"/>
    <n v="7"/>
    <n v="2024"/>
    <s v="Tây Nguyên"/>
    <s v="Doanh nghiệp"/>
    <x v="1"/>
    <s v="B"/>
    <n v="103.5355"/>
  </r>
  <r>
    <s v="GLI"/>
    <s v="Công ty 79"/>
    <s v="ICT"/>
    <n v="75947000"/>
    <d v="2024-07-01T00:00:00"/>
    <n v="7"/>
    <n v="2024"/>
    <s v="Tây Nguyên"/>
    <s v="Doanh nghiệp"/>
    <x v="0"/>
    <s v="B"/>
    <n v="75.947000000000003"/>
  </r>
  <r>
    <s v="GLI"/>
    <s v="Công ty 80"/>
    <s v="ICT"/>
    <n v="66971000"/>
    <d v="2024-07-01T00:00:00"/>
    <n v="7"/>
    <n v="2024"/>
    <s v="Tây Nguyên"/>
    <s v="Doanh nghiệp"/>
    <x v="1"/>
    <s v="B"/>
    <n v="66.971000000000004"/>
  </r>
  <r>
    <s v="GLI"/>
    <s v="Công ty 81"/>
    <s v="ICT"/>
    <n v="115341000"/>
    <d v="2024-07-01T00:00:00"/>
    <n v="7"/>
    <n v="2024"/>
    <s v="Tây Nguyên"/>
    <s v="Doanh nghiệp"/>
    <x v="0"/>
    <s v="B"/>
    <n v="115.34099999999999"/>
  </r>
  <r>
    <s v="NAN"/>
    <s v="Công ty 5"/>
    <s v="ICT"/>
    <n v="6772727"/>
    <d v="2024-07-01T00:00:00"/>
    <n v="7"/>
    <n v="2024"/>
    <s v="Bắc Trung Bộ"/>
    <s v="Doanh nghiệp"/>
    <x v="1"/>
    <s v="B"/>
    <n v="6.7727269999999997"/>
  </r>
  <r>
    <s v="PYN"/>
    <s v="Công ty 10"/>
    <s v="DVKT"/>
    <n v="37045909"/>
    <d v="2024-07-01T00:00:00"/>
    <n v="7"/>
    <n v="2024"/>
    <s v="Duyên hải Nam Trung Bộ"/>
    <s v="Doanh nghiệp"/>
    <x v="0"/>
    <s v="A"/>
    <n v="37.045909000000002"/>
  </r>
  <r>
    <s v="HNM"/>
    <s v="Công ty 16"/>
    <s v="ICT"/>
    <n v="273940641"/>
    <d v="2024-07-01T00:00:00"/>
    <n v="7"/>
    <n v="2024"/>
    <s v="ĐB Sông Hồng"/>
    <s v="Doanh nghiệp"/>
    <x v="1"/>
    <s v="B"/>
    <n v="273.94064100000003"/>
  </r>
  <r>
    <s v="NAN"/>
    <s v="Công ty 20"/>
    <s v="ICT"/>
    <n v="14580182"/>
    <d v="2024-07-01T00:00:00"/>
    <n v="7"/>
    <n v="2024"/>
    <s v="Bắc Trung Bộ"/>
    <s v="Doanh nghiệp"/>
    <x v="0"/>
    <s v="A"/>
    <n v="14.580182000000001"/>
  </r>
  <r>
    <s v="DBN"/>
    <s v="Công ty 21"/>
    <s v="ICT"/>
    <n v="12349818"/>
    <d v="2024-07-01T00:00:00"/>
    <n v="7"/>
    <n v="2024"/>
    <s v="Tây Bắc Bộ"/>
    <s v="Doanh nghiệp"/>
    <x v="1"/>
    <s v="A"/>
    <n v="12.349818000000001"/>
  </r>
  <r>
    <s v="NAN"/>
    <s v="Công ty 24"/>
    <s v="NLMT"/>
    <n v="72477040"/>
    <d v="2024-07-01T00:00:00"/>
    <n v="7"/>
    <n v="2024"/>
    <s v="Bắc Trung Bộ"/>
    <s v="Doanh nghiệp"/>
    <x v="0"/>
    <s v="D"/>
    <n v="72.477040000000002"/>
  </r>
  <r>
    <s v="BTN"/>
    <s v="Công ty 30"/>
    <s v="ICT"/>
    <n v="25763000"/>
    <d v="2024-07-01T00:00:00"/>
    <n v="7"/>
    <n v="2024"/>
    <s v="Duyên hải Nam Trung Bộ"/>
    <s v="Doanh nghiệp"/>
    <x v="1"/>
    <s v="A"/>
    <n v="25.763000000000002"/>
  </r>
  <r>
    <s v="TNN"/>
    <s v="Công ty 46"/>
    <s v="ME"/>
    <n v="29610236"/>
    <d v="2024-07-01T00:00:00"/>
    <n v="7"/>
    <n v="2024"/>
    <s v="Đông Bắc Bộ"/>
    <s v="Doanh nghiệp"/>
    <x v="0"/>
    <s v="C"/>
    <n v="29.610236"/>
  </r>
  <r>
    <s v="TVH"/>
    <s v="Công ty 48"/>
    <s v="ME"/>
    <n v="14641819"/>
    <d v="2024-07-01T00:00:00"/>
    <n v="7"/>
    <n v="2024"/>
    <s v="ĐB Sông Cửu Long"/>
    <s v="Doanh nghiệp"/>
    <x v="1"/>
    <s v="C"/>
    <n v="14.641819"/>
  </r>
  <r>
    <s v="LDG"/>
    <s v="Công ty 59"/>
    <s v="ME"/>
    <n v="28710000"/>
    <d v="2024-07-01T00:00:00"/>
    <n v="7"/>
    <n v="2024"/>
    <s v="Tây Nguyên"/>
    <s v="Doanh nghiệp"/>
    <x v="0"/>
    <s v="C"/>
    <n v="28.71"/>
  </r>
  <r>
    <s v="QNH"/>
    <s v="Công ty 70"/>
    <s v="ICT"/>
    <n v="504933000"/>
    <d v="2024-07-01T00:00:00"/>
    <n v="7"/>
    <n v="2024"/>
    <s v="Đông Bắc Bộ"/>
    <s v="Doanh nghiệp"/>
    <x v="1"/>
    <s v="T"/>
    <n v="504.93299999999999"/>
  </r>
  <r>
    <s v="QNH"/>
    <s v="Công ty 71"/>
    <s v="DVKT"/>
    <n v="105163527"/>
    <d v="2024-07-01T00:00:00"/>
    <n v="7"/>
    <n v="2024"/>
    <s v="Đông Bắc Bộ"/>
    <s v="Doanh nghiệp"/>
    <x v="0"/>
    <s v="B"/>
    <n v="105.163527"/>
  </r>
  <r>
    <s v="NAN"/>
    <s v="Công ty 81"/>
    <s v="DVKT"/>
    <n v="7721818"/>
    <d v="2024-07-01T00:00:00"/>
    <n v="7"/>
    <n v="2024"/>
    <s v="Bắc Trung Bộ"/>
    <s v="Doanh nghiệp"/>
    <x v="1"/>
    <s v="C"/>
    <n v="7.7218179999999998"/>
  </r>
  <r>
    <s v="NTN"/>
    <s v="Công ty 96"/>
    <s v="ICT"/>
    <n v="167680000"/>
    <d v="2024-07-01T00:00:00"/>
    <n v="7"/>
    <n v="2024"/>
    <s v="Duyên hải Nam Trung Bộ"/>
    <s v="Doanh nghiệp"/>
    <x v="0"/>
    <s v="F"/>
    <n v="167.68"/>
  </r>
  <r>
    <s v="NAN"/>
    <s v="Công ty 27"/>
    <s v="ME"/>
    <n v="248181818"/>
    <d v="2024-07-01T00:00:00"/>
    <n v="7"/>
    <n v="2024"/>
    <s v="Bắc Trung Bộ"/>
    <s v="Doanh nghiệp"/>
    <x v="1"/>
    <s v="Q"/>
    <n v="248.18181799999999"/>
  </r>
  <r>
    <s v="SLA"/>
    <s v="Công ty 29"/>
    <s v="ME"/>
    <n v="109090909"/>
    <d v="2024-07-01T00:00:00"/>
    <n v="7"/>
    <n v="2024"/>
    <s v="Tây Bắc Bộ"/>
    <s v="Doanh nghiệp"/>
    <x v="0"/>
    <s v="O"/>
    <n v="109.090909"/>
  </r>
  <r>
    <s v="BGG"/>
    <s v="Công ty 35"/>
    <s v="ICT"/>
    <n v="30045455"/>
    <d v="2024-07-01T00:00:00"/>
    <n v="7"/>
    <n v="2024"/>
    <s v="Đông Bắc Bộ"/>
    <s v="Doanh nghiệp"/>
    <x v="1"/>
    <s v="A"/>
    <n v="30.045455"/>
  </r>
  <r>
    <s v="TNH"/>
    <s v="Công ty 43"/>
    <s v="ICT"/>
    <n v="11700000"/>
    <d v="2024-07-01T00:00:00"/>
    <n v="7"/>
    <n v="2024"/>
    <s v="Đông Nam Bộ"/>
    <s v="Doanh nghiệp"/>
    <x v="0"/>
    <s v="B"/>
    <n v="11.7"/>
  </r>
  <r>
    <s v="HDG"/>
    <s v="Công ty 85"/>
    <s v="NLMT"/>
    <n v="124289091"/>
    <d v="2024-07-01T00:00:00"/>
    <n v="7"/>
    <n v="2024"/>
    <s v="ĐB Sông Hồng"/>
    <s v="Doanh nghiệp"/>
    <x v="1"/>
    <s v="D"/>
    <n v="124.289091"/>
  </r>
  <r>
    <s v="BDH"/>
    <s v="Công ty 97"/>
    <s v="ICT"/>
    <n v="9961636"/>
    <d v="2024-07-01T00:00:00"/>
    <n v="7"/>
    <n v="2024"/>
    <s v="Duyên hải Nam Trung Bộ"/>
    <s v="Doanh nghiệp"/>
    <x v="0"/>
    <s v="A"/>
    <n v="9.9616360000000004"/>
  </r>
  <r>
    <s v="VTU"/>
    <s v="Công ty 15"/>
    <s v="ICT"/>
    <n v="44318182"/>
    <d v="2024-07-01T00:00:00"/>
    <n v="7"/>
    <n v="2024"/>
    <s v="Đông Nam Bộ"/>
    <s v="Doanh nghiệp"/>
    <x v="1"/>
    <s v="F"/>
    <n v="44.318182"/>
  </r>
  <r>
    <s v="SLA"/>
    <s v="Công ty 24"/>
    <s v="ME"/>
    <n v="65454545"/>
    <d v="2024-07-01T00:00:00"/>
    <n v="7"/>
    <n v="2024"/>
    <s v="Tây Bắc Bộ"/>
    <s v="Doanh nghiệp"/>
    <x v="0"/>
    <s v="O"/>
    <n v="65.454544999999996"/>
  </r>
  <r>
    <s v="VTU"/>
    <s v="Công ty 55"/>
    <s v="ICT"/>
    <n v="99615273"/>
    <d v="2024-07-01T00:00:00"/>
    <n v="7"/>
    <n v="2024"/>
    <s v="Đông Nam Bộ"/>
    <s v="Doanh nghiệp"/>
    <x v="1"/>
    <s v="F"/>
    <n v="99.615273000000002"/>
  </r>
  <r>
    <s v="SLA"/>
    <s v="Công ty 57"/>
    <s v="ME"/>
    <n v="69363636"/>
    <d v="2024-07-01T00:00:00"/>
    <n v="7"/>
    <n v="2024"/>
    <s v="Tây Bắc Bộ"/>
    <s v="Doanh nghiệp"/>
    <x v="0"/>
    <s v="O"/>
    <n v="69.363636"/>
  </r>
  <r>
    <s v="GLI"/>
    <s v="Công ty 75"/>
    <s v="ME"/>
    <n v="498985000"/>
    <d v="2024-07-01T00:00:00"/>
    <n v="7"/>
    <n v="2024"/>
    <s v="Tây Nguyên"/>
    <s v="Doanh nghiệp"/>
    <x v="1"/>
    <s v="M"/>
    <n v="498.98500000000001"/>
  </r>
  <r>
    <s v="QTI"/>
    <s v="Công ty 76"/>
    <s v="DVKT"/>
    <n v="132011367"/>
    <d v="2024-07-01T00:00:00"/>
    <n v="7"/>
    <n v="2024"/>
    <s v="Bắc Trung Bộ"/>
    <s v="Doanh nghiệp"/>
    <x v="0"/>
    <s v="A"/>
    <n v="132.01136700000001"/>
  </r>
  <r>
    <s v="BGG"/>
    <s v="Công ty 81"/>
    <s v="NLMT"/>
    <n v="109090909"/>
    <d v="2024-07-01T00:00:00"/>
    <n v="7"/>
    <n v="2024"/>
    <s v="Đông Bắc Bộ"/>
    <s v="Doanh nghiệp"/>
    <x v="1"/>
    <s v="D"/>
    <n v="109.090909"/>
  </r>
  <r>
    <s v="GLI"/>
    <s v="Công ty 26"/>
    <s v="ME"/>
    <n v="50023752"/>
    <d v="2024-07-01T00:00:00"/>
    <n v="7"/>
    <n v="2024"/>
    <s v="Tây Nguyên"/>
    <s v="Doanh nghiệp"/>
    <x v="0"/>
    <s v="C"/>
    <n v="50.023752000000002"/>
  </r>
  <r>
    <s v="BPC"/>
    <s v="Công ty 27"/>
    <s v="ICT"/>
    <n v="95714250"/>
    <d v="2024-07-01T00:00:00"/>
    <n v="7"/>
    <n v="2024"/>
    <s v="Đông Nam Bộ"/>
    <s v="Doanh nghiệp"/>
    <x v="1"/>
    <s v="B"/>
    <n v="95.714250000000007"/>
  </r>
  <r>
    <s v="LDG"/>
    <s v="Công ty 51"/>
    <s v="ICT"/>
    <n v="1019243029"/>
    <d v="2024-07-01T00:00:00"/>
    <n v="7"/>
    <n v="2024"/>
    <s v="Tây Nguyên"/>
    <s v="Doanh nghiệp"/>
    <x v="0"/>
    <s v="A"/>
    <n v="1019.243029"/>
  </r>
  <r>
    <s v="GLI"/>
    <s v="Công ty 53"/>
    <s v="ICT"/>
    <n v="11532727"/>
    <d v="2024-07-01T00:00:00"/>
    <n v="7"/>
    <n v="2024"/>
    <s v="Tây Nguyên"/>
    <s v="Doanh nghiệp"/>
    <x v="1"/>
    <s v="A"/>
    <n v="11.532727"/>
  </r>
  <r>
    <s v="DNI"/>
    <s v="Công ty 8"/>
    <s v="NLMT"/>
    <n v="578099455"/>
    <d v="2024-07-01T00:00:00"/>
    <n v="7"/>
    <n v="2024"/>
    <s v="Đông Nam Bộ"/>
    <s v="Doanh nghiệp"/>
    <x v="0"/>
    <s v="D"/>
    <n v="578.09945500000003"/>
  </r>
  <r>
    <s v="SLA"/>
    <s v="Công ty 39"/>
    <s v="ME"/>
    <n v="38348182"/>
    <d v="2024-07-01T00:00:00"/>
    <n v="7"/>
    <n v="2024"/>
    <s v="Tây Bắc Bộ"/>
    <s v="Doanh nghiệp"/>
    <x v="1"/>
    <s v="O"/>
    <n v="38.348182000000001"/>
  </r>
  <r>
    <s v="SLA"/>
    <s v="Công ty 40"/>
    <s v="ME"/>
    <n v="52191182"/>
    <d v="2024-07-01T00:00:00"/>
    <n v="7"/>
    <n v="2024"/>
    <s v="Tây Bắc Bộ"/>
    <s v="Doanh nghiệp"/>
    <x v="0"/>
    <s v="O"/>
    <n v="52.191181999999998"/>
  </r>
  <r>
    <s v="BDH"/>
    <s v="Công ty 42"/>
    <s v="DVKT"/>
    <n v="25563647"/>
    <d v="2024-07-01T00:00:00"/>
    <n v="7"/>
    <n v="2024"/>
    <s v="Duyên hải Nam Trung Bộ"/>
    <s v="Doanh nghiệp"/>
    <x v="1"/>
    <s v="U"/>
    <n v="25.563647"/>
  </r>
  <r>
    <s v="PTO"/>
    <s v="Công ty 48"/>
    <s v="ME"/>
    <n v="43658180"/>
    <d v="2024-07-01T00:00:00"/>
    <n v="7"/>
    <n v="2024"/>
    <s v="Đông Bắc Bộ"/>
    <s v="Doanh nghiệp"/>
    <x v="0"/>
    <s v="C"/>
    <n v="43.658180000000002"/>
  </r>
  <r>
    <s v="NAN"/>
    <s v="Công ty 95"/>
    <s v="ICT"/>
    <n v="28522045"/>
    <d v="2024-07-01T00:00:00"/>
    <n v="7"/>
    <n v="2024"/>
    <s v="Bắc Trung Bộ"/>
    <s v="Doanh nghiệp"/>
    <x v="1"/>
    <s v="A"/>
    <n v="28.522044999999999"/>
  </r>
  <r>
    <s v="KGG"/>
    <s v="Công ty 96"/>
    <s v="ME"/>
    <n v="585773172"/>
    <d v="2024-07-01T00:00:00"/>
    <n v="7"/>
    <n v="2024"/>
    <s v="ĐB Sông Cửu Long"/>
    <s v="Doanh nghiệp"/>
    <x v="0"/>
    <s v="C"/>
    <n v="585.77317200000005"/>
  </r>
  <r>
    <s v="STG"/>
    <s v="Công ty 3"/>
    <s v="ICT"/>
    <n v="25474000"/>
    <d v="2024-07-01T00:00:00"/>
    <n v="7"/>
    <n v="2024"/>
    <s v="ĐB Sông Cửu Long"/>
    <s v="Doanh nghiệp"/>
    <x v="1"/>
    <s v="B"/>
    <n v="25.474"/>
  </r>
  <r>
    <s v="CBG"/>
    <s v="Công ty 44"/>
    <s v="ICT"/>
    <n v="25348800"/>
    <d v="2024-07-01T00:00:00"/>
    <n v="7"/>
    <n v="2024"/>
    <s v="Đông Bắc Bộ"/>
    <s v="Doanh nghiệp"/>
    <x v="0"/>
    <s v="B"/>
    <n v="25.348800000000001"/>
  </r>
  <r>
    <s v="STG"/>
    <s v="Công ty 44"/>
    <s v="ICT"/>
    <n v="10150000"/>
    <d v="2024-07-01T00:00:00"/>
    <n v="7"/>
    <n v="2024"/>
    <s v="ĐB Sông Cửu Long"/>
    <s v="Doanh nghiệp"/>
    <x v="1"/>
    <s v="B"/>
    <n v="10.15"/>
  </r>
  <r>
    <s v="HNM"/>
    <s v="Công ty 92"/>
    <s v="DVKT"/>
    <n v="43636364"/>
    <d v="2024-07-01T00:00:00"/>
    <n v="7"/>
    <n v="2024"/>
    <s v="ĐB Sông Hồng"/>
    <s v="Doanh nghiệp"/>
    <x v="0"/>
    <s v="C"/>
    <n v="43.636364"/>
  </r>
  <r>
    <s v="KGG"/>
    <s v="Công ty 84"/>
    <s v="ME"/>
    <n v="42979909"/>
    <d v="2024-07-01T00:00:00"/>
    <n v="7"/>
    <n v="2024"/>
    <s v="ĐB Sông Cửu Long"/>
    <s v="Doanh nghiệp"/>
    <x v="1"/>
    <s v="C"/>
    <n v="42.979908999999999"/>
  </r>
  <r>
    <s v="GLI"/>
    <s v="Công ty 85"/>
    <s v="NLMT"/>
    <n v="254376446"/>
    <d v="2024-07-01T00:00:00"/>
    <n v="7"/>
    <n v="2024"/>
    <s v="Tây Nguyên"/>
    <s v="Doanh nghiệp"/>
    <x v="0"/>
    <s v="K"/>
    <n v="254.37644599999999"/>
  </r>
  <r>
    <s v="KGG"/>
    <s v="Công ty 91"/>
    <s v="NLMT"/>
    <n v="108238600"/>
    <d v="2024-07-01T00:00:00"/>
    <n v="7"/>
    <n v="2024"/>
    <s v="ĐB Sông Cửu Long"/>
    <s v="Doanh nghiệp"/>
    <x v="1"/>
    <s v="D"/>
    <n v="108.23860000000001"/>
  </r>
  <r>
    <s v="TQG"/>
    <s v="Công ty 98"/>
    <s v="ICT"/>
    <n v="13009091"/>
    <d v="2024-07-01T00:00:00"/>
    <n v="7"/>
    <n v="2024"/>
    <s v="Đông Bắc Bộ"/>
    <s v="Doanh nghiệp"/>
    <x v="0"/>
    <s v="A"/>
    <n v="13.009091"/>
  </r>
  <r>
    <s v="DTP"/>
    <s v="Công ty 85"/>
    <s v="DVKT"/>
    <n v="71639091"/>
    <d v="2024-07-01T00:00:00"/>
    <n v="7"/>
    <n v="2024"/>
    <s v="ĐB Sông Cửu Long"/>
    <s v="Doanh nghiệp"/>
    <x v="1"/>
    <s v="A"/>
    <n v="71.639090999999993"/>
  </r>
  <r>
    <s v="BKN"/>
    <s v="Công ty 93"/>
    <s v="DVKT"/>
    <n v="209090909"/>
    <d v="2024-07-01T00:00:00"/>
    <n v="7"/>
    <n v="2024"/>
    <s v="Đông Bắc Bộ"/>
    <s v="Doanh nghiệp"/>
    <x v="0"/>
    <s v="F"/>
    <n v="209.09090900000001"/>
  </r>
  <r>
    <s v="GLI"/>
    <s v="Doanh nghiệp 28"/>
    <s v="ME"/>
    <n v="97048945"/>
    <d v="2024-07-01T00:00:00"/>
    <n v="7"/>
    <n v="2024"/>
    <s v="Tây Nguyên"/>
    <s v="Doanh nghiệp"/>
    <x v="1"/>
    <s v="Q"/>
    <n v="97.048945000000003"/>
  </r>
  <r>
    <s v="DTP"/>
    <s v="Doanh nghiệp 31"/>
    <s v="ICT"/>
    <n v="19680000"/>
    <d v="2024-07-01T00:00:00"/>
    <n v="7"/>
    <n v="2024"/>
    <s v="ĐB Sông Cửu Long"/>
    <s v="Doanh nghiệp"/>
    <x v="0"/>
    <s v="B"/>
    <n v="19.68"/>
  </r>
  <r>
    <s v="TQG"/>
    <s v="Doanh nghiệp 11"/>
    <s v="ICT"/>
    <n v="122196364"/>
    <d v="2024-07-01T00:00:00"/>
    <n v="7"/>
    <n v="2024"/>
    <s v="Đông Bắc Bộ"/>
    <s v="Doanh nghiệp"/>
    <x v="1"/>
    <s v="B"/>
    <n v="122.196364"/>
  </r>
  <r>
    <s v="NAN"/>
    <s v="Doanh nghiệp 8"/>
    <s v="ME"/>
    <n v="44441818"/>
    <d v="2024-07-01T00:00:00"/>
    <n v="7"/>
    <n v="2024"/>
    <s v="Bắc Trung Bộ"/>
    <s v="Doanh nghiệp"/>
    <x v="0"/>
    <s v="C"/>
    <n v="44.441817999999998"/>
  </r>
  <r>
    <s v="PTO"/>
    <s v="Doanh nghiệp 9"/>
    <s v="ME"/>
    <n v="52181818"/>
    <d v="2024-07-01T00:00:00"/>
    <n v="7"/>
    <n v="2024"/>
    <s v="Đông Bắc Bộ"/>
    <s v="Doanh nghiệp"/>
    <x v="1"/>
    <s v="C"/>
    <n v="52.181818"/>
  </r>
  <r>
    <s v="PTO"/>
    <s v="Doanh nghiệp 10"/>
    <s v="DVKT"/>
    <n v="136686509"/>
    <d v="2024-07-01T00:00:00"/>
    <n v="7"/>
    <n v="2024"/>
    <s v="Đông Bắc Bộ"/>
    <s v="Doanh nghiệp"/>
    <x v="0"/>
    <s v="C"/>
    <n v="136.686509"/>
  </r>
  <r>
    <s v="PYN"/>
    <s v="Doanh nghiệp 11"/>
    <s v="ME"/>
    <n v="24960000"/>
    <d v="2024-07-01T00:00:00"/>
    <n v="7"/>
    <n v="2024"/>
    <s v="Duyên hải Nam Trung Bộ"/>
    <s v="Doanh nghiệp"/>
    <x v="1"/>
    <s v="C"/>
    <n v="24.96"/>
  </r>
  <r>
    <s v="TNN"/>
    <s v="Doanh nghiệp 10"/>
    <s v="ICT"/>
    <n v="532148725"/>
    <d v="2024-07-01T00:00:00"/>
    <n v="7"/>
    <n v="2024"/>
    <s v="Đông Bắc Bộ"/>
    <s v="Doanh nghiệp"/>
    <x v="0"/>
    <s v="P"/>
    <n v="532.14872500000001"/>
  </r>
  <r>
    <s v="AGG"/>
    <s v="Doanh nghiệp 27"/>
    <s v="ME"/>
    <n v="90650000"/>
    <d v="2024-07-01T00:00:00"/>
    <n v="7"/>
    <n v="2024"/>
    <s v="ĐB Sông Cửu Long"/>
    <s v="Doanh nghiệp"/>
    <x v="1"/>
    <s v="C"/>
    <n v="90.65"/>
  </r>
  <r>
    <s v="BKN"/>
    <s v="Doanh nghiệp 6"/>
    <s v="ICT"/>
    <n v="55034545"/>
    <d v="2024-07-01T00:00:00"/>
    <n v="7"/>
    <n v="2024"/>
    <s v="Đông Bắc Bộ"/>
    <s v="Doanh nghiệp"/>
    <x v="0"/>
    <s v="T"/>
    <n v="55.034545000000001"/>
  </r>
  <r>
    <s v="HGG"/>
    <s v="Tập đoàn 10"/>
    <s v="ICT"/>
    <n v="109545176"/>
    <d v="2024-07-01T00:00:00"/>
    <n v="7"/>
    <n v="2024"/>
    <s v="Đông Bắc Bộ"/>
    <s v="Doanh nghiệp"/>
    <x v="1"/>
    <s v="A"/>
    <n v="109.545176"/>
  </r>
  <r>
    <s v="HTH"/>
    <s v="Tập đoàn 14"/>
    <s v="ICT"/>
    <n v="110036493"/>
    <d v="2024-07-01T00:00:00"/>
    <n v="7"/>
    <n v="2024"/>
    <s v="Bắc Trung Bộ"/>
    <s v="Doanh nghiệp"/>
    <x v="0"/>
    <s v="A"/>
    <n v="110.03649299999999"/>
  </r>
  <r>
    <s v="NDH"/>
    <s v="Tập đoàn 46"/>
    <s v="Smarthome"/>
    <n v="78590000"/>
    <d v="2024-07-01T00:00:00"/>
    <n v="7"/>
    <n v="2024"/>
    <s v="ĐB Sông Hồng"/>
    <s v="Doanh nghiệp"/>
    <x v="1"/>
    <s v="U"/>
    <n v="78.59"/>
  </r>
  <r>
    <s v="NDH"/>
    <s v="Tập đoàn 47"/>
    <s v="Smarthome"/>
    <n v="77288273"/>
    <d v="2024-07-01T00:00:00"/>
    <n v="7"/>
    <n v="2024"/>
    <s v="ĐB Sông Hồng"/>
    <s v="Doanh nghiệp"/>
    <x v="0"/>
    <s v="H"/>
    <n v="77.288273000000004"/>
  </r>
  <r>
    <s v="NAN"/>
    <s v="Tập đoàn 64"/>
    <s v="ICT"/>
    <n v="7625000"/>
    <d v="2024-07-01T00:00:00"/>
    <n v="7"/>
    <n v="2024"/>
    <s v="Bắc Trung Bộ"/>
    <s v="Doanh nghiệp"/>
    <x v="1"/>
    <s v="A"/>
    <n v="7.625"/>
  </r>
  <r>
    <s v="NAN"/>
    <s v="Tập đoàn 65"/>
    <s v="DVKT"/>
    <n v="18733091"/>
    <d v="2024-07-01T00:00:00"/>
    <n v="7"/>
    <n v="2024"/>
    <s v="Bắc Trung Bộ"/>
    <s v="Doanh nghiệp"/>
    <x v="0"/>
    <s v="O"/>
    <n v="18.733091000000002"/>
  </r>
  <r>
    <s v="PTO"/>
    <s v="Tập đoàn 84"/>
    <s v="ICT"/>
    <n v="88292909"/>
    <d v="2024-07-01T00:00:00"/>
    <n v="7"/>
    <n v="2024"/>
    <s v="Đông Bắc Bộ"/>
    <s v="Doanh nghiệp"/>
    <x v="1"/>
    <s v="T"/>
    <n v="88.292908999999995"/>
  </r>
  <r>
    <s v="HUE"/>
    <s v="Tập đoàn 84"/>
    <s v="DVKT"/>
    <n v="65727056"/>
    <d v="2024-07-01T00:00:00"/>
    <n v="7"/>
    <n v="2024"/>
    <s v="Bắc Trung Bộ"/>
    <s v="Doanh nghiệp"/>
    <x v="0"/>
    <s v="B"/>
    <n v="65.727056000000005"/>
  </r>
  <r>
    <s v="QTI"/>
    <s v="Tập đoàn 94"/>
    <s v="ME"/>
    <n v="151977545"/>
    <d v="2024-07-01T00:00:00"/>
    <n v="7"/>
    <n v="2024"/>
    <s v="Bắc Trung Bộ"/>
    <s v="Doanh nghiệp"/>
    <x v="1"/>
    <s v="C"/>
    <n v="151.97754499999999"/>
  </r>
  <r>
    <s v="TVH"/>
    <s v="Tập đoàn 93"/>
    <s v="NLMT"/>
    <n v="33150000"/>
    <d v="2024-07-01T00:00:00"/>
    <n v="7"/>
    <n v="2024"/>
    <s v="ĐB Sông Cửu Long"/>
    <s v="Doanh nghiệp"/>
    <x v="0"/>
    <s v="D"/>
    <n v="33.15"/>
  </r>
  <r>
    <s v="HPG"/>
    <s v="Tập đoàn 94"/>
    <s v="ICT"/>
    <n v="11544636"/>
    <d v="2024-07-01T00:00:00"/>
    <n v="7"/>
    <n v="2024"/>
    <s v="ĐB Sông Hồng"/>
    <s v="Doanh nghiệp"/>
    <x v="1"/>
    <s v="B"/>
    <n v="11.544636000000001"/>
  </r>
  <r>
    <s v="BGG"/>
    <s v="Tập đoàn 91"/>
    <s v="ME"/>
    <n v="45050000"/>
    <d v="2024-07-01T00:00:00"/>
    <n v="7"/>
    <n v="2024"/>
    <s v="Đông Bắc Bộ"/>
    <s v="Doanh nghiệp"/>
    <x v="0"/>
    <s v="O"/>
    <n v="45.05"/>
  </r>
  <r>
    <s v="VTU"/>
    <s v="Tập đoàn 92"/>
    <s v="ICT"/>
    <n v="77277273"/>
    <d v="2024-07-01T00:00:00"/>
    <n v="7"/>
    <n v="2024"/>
    <s v="Đông Nam Bộ"/>
    <s v="Doanh nghiệp"/>
    <x v="1"/>
    <s v="B"/>
    <n v="77.277272999999994"/>
  </r>
  <r>
    <s v="BGG"/>
    <s v="Tập đoàn 93"/>
    <s v="ME"/>
    <n v="12363636"/>
    <d v="2024-07-01T00:00:00"/>
    <n v="7"/>
    <n v="2024"/>
    <s v="Đông Bắc Bộ"/>
    <s v="Doanh nghiệp"/>
    <x v="0"/>
    <s v="O"/>
    <n v="12.363636"/>
  </r>
  <r>
    <s v="VLG"/>
    <s v="Tập đoàn 92"/>
    <s v="NLMT"/>
    <n v="18070000"/>
    <d v="2024-07-01T00:00:00"/>
    <n v="7"/>
    <n v="2024"/>
    <s v="ĐB Sông Cửu Long"/>
    <s v="Doanh nghiệp"/>
    <x v="1"/>
    <s v="K"/>
    <n v="18.07"/>
  </r>
  <r>
    <s v="LAN"/>
    <s v="BỘ CHỈ HUY BỘ ĐỘI BIÊN PHÒNG TỈNH LONG AN"/>
    <s v="ICT"/>
    <n v="35865000"/>
    <d v="2024-07-01T00:00:00"/>
    <n v="7"/>
    <n v="2024"/>
    <s v="ĐB Sông Cửu Long"/>
    <s v="Sở ban ngành"/>
    <x v="0"/>
    <s v="A"/>
    <n v="35.865000000000002"/>
  </r>
  <r>
    <s v="CBG"/>
    <s v="BỘ CHỈ HUY QUÂN SỰ TỈNH CAO BẰNG"/>
    <s v="ME"/>
    <n v="436200000"/>
    <d v="2024-07-01T00:00:00"/>
    <n v="7"/>
    <n v="2024"/>
    <s v="Đông Bắc Bộ"/>
    <s v="Sở ban ngành"/>
    <x v="1"/>
    <s v="L"/>
    <n v="436.2"/>
  </r>
  <r>
    <s v="DCN"/>
    <s v="Công ty 37"/>
    <s v="Smarthome"/>
    <n v="162145455"/>
    <d v="2024-07-01T00:00:00"/>
    <n v="7"/>
    <n v="2024"/>
    <s v="Tây Nguyên"/>
    <s v="Doanh nghiệp"/>
    <x v="0"/>
    <s v="H"/>
    <n v="162.145455"/>
  </r>
  <r>
    <s v="DBN"/>
    <s v="Công ty 67"/>
    <s v="NLMT"/>
    <n v="107058182"/>
    <d v="2024-07-01T00:00:00"/>
    <n v="7"/>
    <n v="2024"/>
    <s v="Tây Bắc Bộ"/>
    <s v="Doanh nghiệp"/>
    <x v="1"/>
    <s v="K"/>
    <n v="107.058182"/>
  </r>
  <r>
    <s v="DBN"/>
    <s v="Công ty 68"/>
    <s v="NLMT"/>
    <n v="400909091"/>
    <d v="2024-07-01T00:00:00"/>
    <n v="7"/>
    <n v="2024"/>
    <s v="Tây Bắc Bộ"/>
    <s v="Doanh nghiệp"/>
    <x v="0"/>
    <s v="K"/>
    <n v="400.90909099999999"/>
  </r>
  <r>
    <s v="DBN"/>
    <s v="Công ty 69"/>
    <s v="NLMT"/>
    <n v="57127273"/>
    <d v="2024-07-01T00:00:00"/>
    <n v="7"/>
    <n v="2024"/>
    <s v="Tây Bắc Bộ"/>
    <s v="Doanh nghiệp"/>
    <x v="1"/>
    <s v="K"/>
    <n v="57.127273000000002"/>
  </r>
  <r>
    <s v="DBN"/>
    <s v="Công ty 70"/>
    <s v="NLMT"/>
    <n v="381054545"/>
    <d v="2024-07-01T00:00:00"/>
    <n v="7"/>
    <n v="2024"/>
    <s v="Tây Bắc Bộ"/>
    <s v="Doanh nghiệp"/>
    <x v="0"/>
    <s v="K"/>
    <n v="381.05454500000002"/>
  </r>
  <r>
    <s v="PTO"/>
    <s v="Công An Huyện Hạ Hoà"/>
    <s v="ICT"/>
    <n v="45310000"/>
    <d v="2024-07-01T00:00:00"/>
    <n v="7"/>
    <n v="2024"/>
    <s v="Đông Bắc Bộ"/>
    <s v="Sở ban ngành"/>
    <x v="1"/>
    <s v="B"/>
    <n v="45.31"/>
  </r>
  <r>
    <s v="YBI"/>
    <s v="Công An Xã Bảo Ái"/>
    <s v="DVKT"/>
    <n v="8959091"/>
    <d v="2024-07-01T00:00:00"/>
    <n v="7"/>
    <n v="2024"/>
    <s v="Tây Bắc Bộ"/>
    <s v="Sở ban ngành"/>
    <x v="0"/>
    <s v="B"/>
    <n v="8.9590910000000008"/>
  </r>
  <r>
    <s v="BTE"/>
    <s v="Công An Xã Long Mỹ"/>
    <s v="DVKT"/>
    <n v="21027273"/>
    <d v="2024-07-01T00:00:00"/>
    <n v="7"/>
    <n v="2024"/>
    <s v="ĐB Sông Cửu Long"/>
    <s v="Sở ban ngành"/>
    <x v="1"/>
    <s v="B"/>
    <n v="21.027273000000001"/>
  </r>
  <r>
    <s v="BKN"/>
    <s v="TRƯỜNG TIỂU HỌC SỐ 1 VÕ LAO"/>
    <s v="ICT"/>
    <n v="10000000"/>
    <d v="2024-07-01T00:00:00"/>
    <n v="7"/>
    <n v="2024"/>
    <s v="Đông Bắc Bộ"/>
    <s v="Trường học"/>
    <x v="0"/>
    <s v="L"/>
    <n v="10"/>
  </r>
  <r>
    <s v="LSN"/>
    <s v="Đoàn Tncs Hồ Chí Minh Huyện Hữu Lũng"/>
    <s v="NLMT"/>
    <n v="53238000"/>
    <d v="2024-07-01T00:00:00"/>
    <n v="7"/>
    <n v="2024"/>
    <s v="Đông Bắc Bộ"/>
    <s v="Sở ban ngành"/>
    <x v="1"/>
    <s v="K"/>
    <n v="53.238"/>
  </r>
  <r>
    <s v="VPC"/>
    <s v="Đoàn Tncs Hồ Chí Minh Tỉnh Vĩnh Phúc"/>
    <s v="DVKT"/>
    <n v="27909091"/>
    <d v="2024-07-01T00:00:00"/>
    <n v="7"/>
    <n v="2024"/>
    <s v="ĐB Sông Hồng"/>
    <s v="Sở ban ngành"/>
    <x v="0"/>
    <s v="K"/>
    <n v="27.909091"/>
  </r>
  <r>
    <s v="TVH"/>
    <s v="NGÂN HÀNG NÔNG NGHIỆP VÀ PHÁT TRIỂN NÔNG THÔN VIỆT NAM - CHI NHÁNH TỈNH TRÀ VINH"/>
    <s v="ME"/>
    <n v="221469843"/>
    <d v="2024-07-01T00:00:00"/>
    <n v="7"/>
    <n v="2024"/>
    <s v="ĐB Sông Cửu Long"/>
    <s v="Ngân hàng"/>
    <x v="1"/>
    <s v="C"/>
    <n v="221.469843"/>
  </r>
  <r>
    <s v="YBI"/>
    <s v="Ngân Hàng Nông Nghiệp Và Ptnn Việt Nam Chi Nhánh Huyện Văn Chấn Yên Bái"/>
    <s v="ME"/>
    <n v="13636364"/>
    <d v="2024-07-01T00:00:00"/>
    <n v="7"/>
    <n v="2024"/>
    <s v="Tây Bắc Bộ"/>
    <s v="Ngân hàng"/>
    <x v="0"/>
    <s v="C"/>
    <n v="13.636364"/>
  </r>
  <r>
    <s v="TGG"/>
    <s v="NGÂN HÀNG THƯƠNG MẠI CỔ PHẦN ĐÔNG NAM Á-CHI NHÁNH TIỀN GIANG"/>
    <s v="ME"/>
    <n v="20110909"/>
    <d v="2024-07-01T00:00:00"/>
    <n v="7"/>
    <n v="2024"/>
    <s v="ĐB Sông Cửu Long"/>
    <s v="Ngân hàng"/>
    <x v="1"/>
    <s v="C"/>
    <n v="20.110908999999999"/>
  </r>
  <r>
    <s v="LCI"/>
    <s v="PHÒNG NÔNG NGHIỆP VÀ PHÁT TRIỂN NÔNG THÔN HUYỆN BẢO THẮNG"/>
    <s v="ICT"/>
    <n v="371268182"/>
    <d v="2024-07-01T00:00:00"/>
    <n v="7"/>
    <n v="2024"/>
    <s v="Tây Bắc Bộ"/>
    <s v="Sở ban ngành"/>
    <x v="0"/>
    <s v="B"/>
    <n v="371.26818200000002"/>
  </r>
  <r>
    <s v="VTU"/>
    <s v="Quân Khu 7"/>
    <s v="ICT"/>
    <n v="11161818182"/>
    <d v="2024-07-01T00:00:00"/>
    <n v="7"/>
    <n v="2024"/>
    <s v="Đông Nam Bộ"/>
    <s v="Sở ban ngành"/>
    <x v="1"/>
    <s v="F"/>
    <n v="11161.818182000001"/>
  </r>
  <r>
    <s v="PTO"/>
    <s v="Sở Tài Chính Tỉnh Phú Thọ"/>
    <s v="ICT"/>
    <n v="167090909"/>
    <d v="2024-07-01T00:00:00"/>
    <n v="7"/>
    <n v="2024"/>
    <s v="Đông Bắc Bộ"/>
    <s v="Sở ban ngành"/>
    <x v="0"/>
    <s v="B"/>
    <n v="167.09090900000001"/>
  </r>
  <r>
    <s v="PTO"/>
    <s v="TRUNG TÂM Y TẾ HUYỆN HẠ HOÀ"/>
    <s v="DVKT"/>
    <n v="75308000"/>
    <d v="2024-07-01T00:00:00"/>
    <n v="7"/>
    <n v="2024"/>
    <s v="Đông Bắc Bộ"/>
    <s v="Sở ban ngành"/>
    <x v="1"/>
    <s v="C"/>
    <n v="75.308000000000007"/>
  </r>
  <r>
    <s v="DTP"/>
    <s v="Trung Tâm Y Tế Huyện Tân Hồng"/>
    <s v="DVKT"/>
    <n v="31349091"/>
    <d v="2024-07-01T00:00:00"/>
    <n v="7"/>
    <n v="2024"/>
    <s v="ĐB Sông Cửu Long"/>
    <s v="Sở ban ngành"/>
    <x v="0"/>
    <s v="C"/>
    <n v="31.349091000000001"/>
  </r>
  <r>
    <s v="TBH"/>
    <s v="TRUNG TÂM Y TẾ HUYỆN THÁI THỤY"/>
    <s v="ME"/>
    <n v="82150000"/>
    <d v="2024-07-01T00:00:00"/>
    <n v="7"/>
    <n v="2024"/>
    <s v="ĐB Sông Hồng"/>
    <s v="Sở ban ngành"/>
    <x v="1"/>
    <s v="C"/>
    <n v="82.15"/>
  </r>
  <r>
    <s v="AGG"/>
    <s v="TRUNG TÂM Y TẾ HUYỆN THOẠI SƠN"/>
    <s v="ICT"/>
    <n v="19080000"/>
    <d v="2024-07-01T00:00:00"/>
    <n v="7"/>
    <n v="2024"/>
    <s v="ĐB Sông Cửu Long"/>
    <s v="Sở ban ngành"/>
    <x v="0"/>
    <s v="A"/>
    <n v="19.079999999999998"/>
  </r>
  <r>
    <s v="NAN"/>
    <s v="Ubnd Huyện Nghi Lộc"/>
    <s v="ME"/>
    <n v="41400000"/>
    <d v="2024-07-01T00:00:00"/>
    <n v="7"/>
    <n v="2024"/>
    <s v="Bắc Trung Bộ"/>
    <s v="Sở ban ngành"/>
    <x v="1"/>
    <s v="O"/>
    <n v="41.4"/>
  </r>
  <r>
    <s v="NAN"/>
    <s v="Ubnd Phường Mai Hùng"/>
    <s v="ICT"/>
    <n v="45307273"/>
    <d v="2024-07-01T00:00:00"/>
    <n v="7"/>
    <n v="2024"/>
    <s v="Bắc Trung Bộ"/>
    <s v="Sở ban ngành"/>
    <x v="0"/>
    <s v="A"/>
    <n v="45.307273000000002"/>
  </r>
  <r>
    <s v="NAN"/>
    <s v="Ubnd Phường Mai Hùng"/>
    <s v="ICT"/>
    <n v="44115455"/>
    <d v="2024-07-01T00:00:00"/>
    <n v="7"/>
    <n v="2024"/>
    <s v="Bắc Trung Bộ"/>
    <s v="Sở ban ngành"/>
    <x v="1"/>
    <s v="A"/>
    <n v="44.115454999999997"/>
  </r>
  <r>
    <s v="NAN"/>
    <s v="Ubnd Phường Mai Hùng"/>
    <s v="ICT"/>
    <n v="7450000"/>
    <d v="2024-07-01T00:00:00"/>
    <n v="7"/>
    <n v="2024"/>
    <s v="Bắc Trung Bộ"/>
    <s v="Sở ban ngành"/>
    <x v="0"/>
    <s v="A"/>
    <n v="7.45"/>
  </r>
  <r>
    <s v="CBG"/>
    <s v="UBND THỊ TRẤN THANH NHẬT"/>
    <s v="NLMT"/>
    <n v="84090909"/>
    <d v="2024-07-01T00:00:00"/>
    <n v="7"/>
    <n v="2024"/>
    <s v="Đông Bắc Bộ"/>
    <s v="Sở ban ngành"/>
    <x v="1"/>
    <s v="K"/>
    <n v="84.090908999999996"/>
  </r>
  <r>
    <s v="STG"/>
    <s v="UBND XÃ ĐẠI ÂN 2"/>
    <s v="ICT"/>
    <n v="45309091"/>
    <d v="2024-07-01T00:00:00"/>
    <n v="7"/>
    <n v="2024"/>
    <s v="ĐB Sông Cửu Long"/>
    <s v="Sở ban ngành"/>
    <x v="0"/>
    <s v="B"/>
    <n v="45.309091000000002"/>
  </r>
  <r>
    <s v="TGG"/>
    <s v="Ubnd Xã Hiệp Đức"/>
    <s v="ICT"/>
    <n v="90477273"/>
    <d v="2024-07-01T00:00:00"/>
    <n v="7"/>
    <n v="2024"/>
    <s v="ĐB Sông Cửu Long"/>
    <s v="Sở ban ngành"/>
    <x v="1"/>
    <s v="B"/>
    <n v="90.477272999999997"/>
  </r>
  <r>
    <s v="DCN"/>
    <s v="Ubnd Xã Kiến Thành"/>
    <s v="NLMT"/>
    <n v="29818182"/>
    <d v="2024-07-01T00:00:00"/>
    <n v="7"/>
    <n v="2024"/>
    <s v="Tây Nguyên"/>
    <s v="Sở ban ngành"/>
    <x v="0"/>
    <s v="K"/>
    <n v="29.818182"/>
  </r>
  <r>
    <s v="BGG"/>
    <s v="Ubnd Xã Việt Ngọc"/>
    <s v="ICT"/>
    <n v="21900000"/>
    <d v="2024-07-01T00:00:00"/>
    <n v="7"/>
    <n v="2024"/>
    <s v="Đông Bắc Bộ"/>
    <s v="Sở ban ngành"/>
    <x v="1"/>
    <s v="F"/>
    <n v="21.9"/>
  </r>
  <r>
    <s v="TNH"/>
    <s v="ủy BAN MẶT TRẬN TỔ QUỐC THỊ TRẤN NGỌC LẶC"/>
    <s v="ICT"/>
    <n v="13590000"/>
    <d v="2024-07-01T00:00:00"/>
    <n v="7"/>
    <n v="2024"/>
    <s v="Đông Nam Bộ"/>
    <s v="Sở ban ngành"/>
    <x v="0"/>
    <s v="B"/>
    <n v="13.59"/>
  </r>
  <r>
    <s v="TVH"/>
    <s v="UỶ BAN NHÂN DÂN XÃ ĐỊNH AN"/>
    <s v="DVKT"/>
    <n v="3960000"/>
    <d v="2024-07-01T00:00:00"/>
    <n v="7"/>
    <n v="2024"/>
    <s v="ĐB Sông Cửu Long"/>
    <s v="Sở ban ngành"/>
    <x v="1"/>
    <s v="C"/>
    <n v="3.96"/>
  </r>
  <r>
    <s v="LSN"/>
    <s v="Uỷ Ban Nhân Dân Xã Đội Cấn"/>
    <s v="NLMT"/>
    <n v="36360000"/>
    <d v="2024-07-01T00:00:00"/>
    <n v="7"/>
    <n v="2024"/>
    <s v="Đông Bắc Bộ"/>
    <s v="Sở ban ngành"/>
    <x v="0"/>
    <s v="K"/>
    <n v="36.36"/>
  </r>
  <r>
    <s v="TBH"/>
    <s v="UỶ BAN NHÂN DÂN XÃ ĐÔNG MỸ"/>
    <s v="ICT"/>
    <n v="87563636"/>
    <d v="2024-07-01T00:00:00"/>
    <n v="7"/>
    <n v="2024"/>
    <s v="ĐB Sông Hồng"/>
    <s v="Sở ban ngành"/>
    <x v="1"/>
    <s v="B"/>
    <n v="87.563636000000002"/>
  </r>
  <r>
    <s v="VLG"/>
    <s v="Uỷ Ban Nhân Dân Xã Đông Thành"/>
    <s v="ICT"/>
    <n v="86058000"/>
    <d v="2024-07-01T00:00:00"/>
    <n v="7"/>
    <n v="2024"/>
    <s v="ĐB Sông Cửu Long"/>
    <s v="Sở ban ngành"/>
    <x v="0"/>
    <s v="B"/>
    <n v="86.058000000000007"/>
  </r>
  <r>
    <s v="BTN"/>
    <s v="UỶ BAN NHÂN DÂN XÃ HÀM MỸ"/>
    <s v="NLMT"/>
    <n v="180381347"/>
    <d v="2024-07-01T00:00:00"/>
    <n v="7"/>
    <n v="2024"/>
    <s v="Duyên hải Nam Trung Bộ"/>
    <s v="Sở ban ngành"/>
    <x v="1"/>
    <s v="K"/>
    <n v="180.38134700000001"/>
  </r>
  <r>
    <s v="CBG"/>
    <s v="Ủy Ban Nhân Dân Xã Lê Lợi"/>
    <s v="ICT"/>
    <n v="63636364"/>
    <d v="2024-07-01T00:00:00"/>
    <n v="7"/>
    <n v="2024"/>
    <s v="Đông Bắc Bộ"/>
    <s v="Sở ban ngành"/>
    <x v="0"/>
    <s v="F"/>
    <n v="63.636364"/>
  </r>
  <r>
    <s v="PTO"/>
    <s v="ỦY BAN NHÂN DÂN XÃ PHÚ LỘC"/>
    <s v="ICT"/>
    <n v="13767273"/>
    <d v="2024-07-01T00:00:00"/>
    <n v="7"/>
    <n v="2024"/>
    <s v="Đông Bắc Bộ"/>
    <s v="Sở ban ngành"/>
    <x v="1"/>
    <s v="B"/>
    <n v="13.767272999999999"/>
  </r>
  <r>
    <s v="BKN"/>
    <s v="ỦY BAN NHÂN DÂN XÃ QUẢNG BẠCH"/>
    <s v="ICT"/>
    <n v="54954545"/>
    <d v="2024-07-01T00:00:00"/>
    <n v="7"/>
    <n v="2024"/>
    <s v="Đông Bắc Bộ"/>
    <s v="Sở ban ngành"/>
    <x v="0"/>
    <s v="B"/>
    <n v="54.954545000000003"/>
  </r>
  <r>
    <s v="CMU"/>
    <s v="Ủy Ban Nhân Dân Xã Tam Giang Tây"/>
    <s v="NLMT"/>
    <n v="269890909"/>
    <d v="2024-07-01T00:00:00"/>
    <n v="7"/>
    <n v="2024"/>
    <s v="ĐB Sông Cửu Long"/>
    <s v="Sở ban ngành"/>
    <x v="1"/>
    <s v="D"/>
    <n v="269.89090900000002"/>
  </r>
  <r>
    <s v="PTO"/>
    <s v="ỦY BAN NHÂN DÂN XÃ TIÊN LƯƠNG"/>
    <s v="NLMT"/>
    <n v="175531818"/>
    <d v="2024-07-01T00:00:00"/>
    <n v="7"/>
    <n v="2024"/>
    <s v="Đông Bắc Bộ"/>
    <s v="Sở ban ngành"/>
    <x v="0"/>
    <s v="K"/>
    <n v="175.53181799999999"/>
  </r>
  <r>
    <s v="BKN"/>
    <s v="VĂN PHÒNG HĐND VÀ UBND HUYỆN CHỢ ĐỒN"/>
    <s v="DVKT"/>
    <n v="15404545"/>
    <d v="2024-07-01T00:00:00"/>
    <n v="7"/>
    <n v="2024"/>
    <s v="Đông Bắc Bộ"/>
    <s v="Sở ban ngành"/>
    <x v="1"/>
    <s v="A"/>
    <n v="15.404545000000001"/>
  </r>
  <r>
    <s v="HUE"/>
    <s v="VĂN PHÒNG HĐND VÀ UBND HUYỆN NAM ĐÔNG"/>
    <s v="ICT"/>
    <n v="167727273"/>
    <d v="2024-07-01T00:00:00"/>
    <n v="7"/>
    <n v="2024"/>
    <s v="Bắc Trung Bộ"/>
    <s v="Sở ban ngành"/>
    <x v="0"/>
    <s v="B"/>
    <n v="167.727273"/>
  </r>
  <r>
    <s v="DLK"/>
    <s v="Văn Phòng Uỷ Ban Nhân Dân Tỉnh Đắk Lắk"/>
    <s v="ICT"/>
    <n v="81387636"/>
    <d v="2024-07-01T00:00:00"/>
    <n v="7"/>
    <n v="2024"/>
    <s v="Tây Nguyên"/>
    <s v="Sở ban ngành"/>
    <x v="1"/>
    <s v="P"/>
    <n v="81.387636000000001"/>
  </r>
  <r>
    <s v="TVH"/>
    <s v="Viện Kiểm Sát Nhân Dân Tỉnh Trà Vinh"/>
    <s v="DVKT"/>
    <n v="26363636"/>
    <d v="2024-07-01T00:00:00"/>
    <n v="7"/>
    <n v="2024"/>
    <s v="ĐB Sông Cửu Long"/>
    <s v="Sở ban ngành"/>
    <x v="0"/>
    <s v="C"/>
    <n v="26.363636"/>
  </r>
  <r>
    <s v="HNM"/>
    <s v="trường TIỂU HỌC ĐẠO LÝ"/>
    <s v="ICT"/>
    <n v="26909091"/>
    <d v="2024-07-01T00:00:00"/>
    <n v="7"/>
    <n v="2024"/>
    <s v="ĐB Sông Hồng"/>
    <s v="Trường học"/>
    <x v="1"/>
    <s v="F"/>
    <n v="26.909091"/>
  </r>
  <r>
    <s v="HNM"/>
    <s v="Tiểu học xã Xuân Khê"/>
    <s v="ICT"/>
    <n v="13454545"/>
    <d v="2024-07-01T00:00:00"/>
    <n v="7"/>
    <n v="2024"/>
    <s v="ĐB Sông Hồng"/>
    <s v="Sở ban ngành"/>
    <x v="0"/>
    <s v="F"/>
    <n v="13.454545"/>
  </r>
  <r>
    <s v="PTO"/>
    <s v="TRƯỜNG CAO ĐẲNG Y TẾ PHÚ THỌ"/>
    <s v="DVKT"/>
    <n v="18114545"/>
    <d v="2024-07-01T00:00:00"/>
    <n v="7"/>
    <n v="2024"/>
    <s v="Đông Bắc Bộ"/>
    <s v="Trường học"/>
    <x v="1"/>
    <s v="H"/>
    <n v="18.114545"/>
  </r>
  <r>
    <s v="KHA"/>
    <s v="Trường Đại học Nha Trang"/>
    <s v="ICT"/>
    <n v="586745455"/>
    <d v="2024-07-01T00:00:00"/>
    <n v="7"/>
    <n v="2024"/>
    <s v="Duyên hải Nam Trung Bộ"/>
    <s v="Trường học"/>
    <x v="0"/>
    <s v="F"/>
    <n v="586.74545499999999"/>
  </r>
  <r>
    <s v="NAN"/>
    <s v="TRƯỜNG ĐẠI HỌC Y KHOA VINH"/>
    <s v="ME"/>
    <n v="87981818"/>
    <d v="2024-07-01T00:00:00"/>
    <n v="7"/>
    <n v="2024"/>
    <s v="Bắc Trung Bộ"/>
    <s v="Trường học"/>
    <x v="1"/>
    <s v="O"/>
    <n v="87.981818000000004"/>
  </r>
  <r>
    <s v="HNM"/>
    <s v="Trường Mầm Non Xã Chân Lý"/>
    <s v="ICT"/>
    <n v="26909091"/>
    <d v="2024-07-01T00:00:00"/>
    <n v="7"/>
    <n v="2024"/>
    <s v="ĐB Sông Hồng"/>
    <s v="Trường học"/>
    <x v="0"/>
    <s v="F"/>
    <n v="26.909091"/>
  </r>
  <r>
    <s v="HNM"/>
    <s v="Trường Mầm Non Xã Đạo Lý"/>
    <s v="ICT"/>
    <n v="13454545"/>
    <d v="2024-07-01T00:00:00"/>
    <n v="7"/>
    <n v="2024"/>
    <s v="ĐB Sông Hồng"/>
    <s v="Trường học"/>
    <x v="1"/>
    <s v="F"/>
    <n v="13.454545"/>
  </r>
  <r>
    <s v="HNM"/>
    <s v="Trường Mầm Non Xã Hợp Lý"/>
    <s v="ICT"/>
    <n v="26909091"/>
    <d v="2024-07-01T00:00:00"/>
    <n v="7"/>
    <n v="2024"/>
    <s v="ĐB Sông Hồng"/>
    <s v="Trường học"/>
    <x v="0"/>
    <s v="F"/>
    <n v="26.909091"/>
  </r>
  <r>
    <s v="HNM"/>
    <s v="Trường Mầm Non Xã Nhân Bình"/>
    <s v="ICT"/>
    <n v="26909091"/>
    <d v="2024-07-01T00:00:00"/>
    <n v="7"/>
    <n v="2024"/>
    <s v="ĐB Sông Hồng"/>
    <s v="Trường học"/>
    <x v="1"/>
    <s v="F"/>
    <n v="26.909091"/>
  </r>
  <r>
    <s v="HNM"/>
    <s v="Trường Mầm Non Xã Nhân Nghĩa"/>
    <s v="ICT"/>
    <n v="13454545"/>
    <d v="2024-07-01T00:00:00"/>
    <n v="7"/>
    <n v="2024"/>
    <s v="ĐB Sông Hồng"/>
    <s v="Trường học"/>
    <x v="0"/>
    <s v="F"/>
    <n v="13.454545"/>
  </r>
  <r>
    <s v="HNM"/>
    <s v="TRƯỜNG MẦM NON XÃ TIẾN THẮNG"/>
    <s v="ICT"/>
    <n v="26909091"/>
    <d v="2024-07-01T00:00:00"/>
    <n v="7"/>
    <n v="2024"/>
    <s v="ĐB Sông Hồng"/>
    <s v="Trường học"/>
    <x v="1"/>
    <s v="F"/>
    <n v="26.909091"/>
  </r>
  <r>
    <s v="BNH"/>
    <s v="Trường Thcs Đại Phúc"/>
    <s v="ICT"/>
    <n v="33461818"/>
    <d v="2024-07-01T00:00:00"/>
    <n v="7"/>
    <n v="2024"/>
    <s v="ĐB Sông Hồng"/>
    <s v="Trường học"/>
    <x v="0"/>
    <s v="A"/>
    <n v="33.461818000000001"/>
  </r>
  <r>
    <s v="DNI"/>
    <s v="TRƯỜNG THCS TRẢNG DÀI"/>
    <s v="ICT"/>
    <n v="45100000"/>
    <d v="2024-07-01T00:00:00"/>
    <n v="7"/>
    <n v="2024"/>
    <s v="Đông Nam Bộ"/>
    <s v="Trường học"/>
    <x v="1"/>
    <s v="A"/>
    <n v="45.1"/>
  </r>
  <r>
    <s v="PTO"/>
    <s v="Trường Tiểu Học Cổ Tiết"/>
    <s v="ICT"/>
    <n v="29818182"/>
    <d v="2024-07-01T00:00:00"/>
    <n v="7"/>
    <n v="2024"/>
    <s v="Đông Bắc Bộ"/>
    <s v="Trường học"/>
    <x v="0"/>
    <s v="A"/>
    <n v="29.818182"/>
  </r>
  <r>
    <s v="HNM"/>
    <s v="Trường Tiểu học Nhân Hậu"/>
    <s v="ICT"/>
    <n v="13454545"/>
    <d v="2024-07-01T00:00:00"/>
    <n v="7"/>
    <n v="2024"/>
    <s v="ĐB Sông Hồng"/>
    <s v="Trường học"/>
    <x v="1"/>
    <s v="F"/>
    <n v="13.454545"/>
  </r>
  <r>
    <s v="HNM"/>
    <s v="Trường tiểu học Nhân Hòa"/>
    <s v="ICT"/>
    <n v="13454545"/>
    <d v="2024-07-01T00:00:00"/>
    <n v="7"/>
    <n v="2024"/>
    <s v="ĐB Sông Hồng"/>
    <s v="Trường học"/>
    <x v="0"/>
    <s v="F"/>
    <n v="13.454545"/>
  </r>
  <r>
    <s v="HNM"/>
    <s v="Trường Tiểu Học Thanh Hải"/>
    <s v="ICT"/>
    <n v="446242727"/>
    <d v="2024-07-01T00:00:00"/>
    <n v="7"/>
    <n v="2024"/>
    <s v="ĐB Sông Hồng"/>
    <s v="Trường học"/>
    <x v="1"/>
    <s v="F"/>
    <n v="446.242727"/>
  </r>
  <r>
    <s v="QTI"/>
    <s v="Trường Tiểu Học Và Thcs Gio Hải Số"/>
    <s v="ICT"/>
    <n v="168132500"/>
    <d v="2024-07-01T00:00:00"/>
    <n v="7"/>
    <n v="2024"/>
    <s v="Bắc Trung Bộ"/>
    <s v="Trường học"/>
    <x v="0"/>
    <s v="P"/>
    <n v="168.13249999999999"/>
  </r>
  <r>
    <s v="HNM"/>
    <s v="TRƯỜNG TIỂU HỌC XÃ CHÂN LÝ"/>
    <s v="ICT"/>
    <n v="13454545"/>
    <d v="2024-07-01T00:00:00"/>
    <n v="7"/>
    <n v="2024"/>
    <s v="ĐB Sông Hồng"/>
    <s v="Trường học"/>
    <x v="1"/>
    <s v="F"/>
    <n v="13.454545"/>
  </r>
  <r>
    <s v="HNM"/>
    <s v="TRƯỜNG TIỂU HỌC XÃ HỢP LÝ"/>
    <s v="ICT"/>
    <n v="13454545"/>
    <d v="2024-07-01T00:00:00"/>
    <n v="7"/>
    <n v="2024"/>
    <s v="ĐB Sông Hồng"/>
    <s v="Trường học"/>
    <x v="0"/>
    <s v="F"/>
    <n v="13.454545"/>
  </r>
  <r>
    <s v="HNM"/>
    <s v="TRƯỜNG TIỀU HỌC XÃ NGUYÊN LÝ"/>
    <s v="ICT"/>
    <n v="13454545"/>
    <d v="2024-07-01T00:00:00"/>
    <n v="7"/>
    <n v="2024"/>
    <s v="ĐB Sông Hồng"/>
    <s v="Trường học"/>
    <x v="1"/>
    <s v="F"/>
    <n v="13.454545"/>
  </r>
  <r>
    <s v="HNM"/>
    <s v="TRƯỜNG TIỂU HỌC XÃ NHÂN THỊNH"/>
    <s v="ICT"/>
    <n v="13454545"/>
    <d v="2024-07-01T00:00:00"/>
    <n v="7"/>
    <n v="2024"/>
    <s v="ĐB Sông Hồng"/>
    <s v="Trường học"/>
    <x v="0"/>
    <s v="F"/>
    <n v="13.454545"/>
  </r>
  <r>
    <s v="HNM"/>
    <s v="TRƯỜNG TIỂU HỌC XÃ PHÚ PHÚC"/>
    <s v="ICT"/>
    <n v="13454545"/>
    <d v="2024-07-01T00:00:00"/>
    <n v="7"/>
    <n v="2024"/>
    <s v="ĐB Sông Hồng"/>
    <s v="Trường học"/>
    <x v="1"/>
    <s v="F"/>
    <n v="13.454545"/>
  </r>
  <r>
    <s v="HNM"/>
    <s v="TRƯỜNG TIỂU HỌC XÃ TIẾN THẮNG"/>
    <s v="ICT"/>
    <n v="13454545"/>
    <d v="2024-07-01T00:00:00"/>
    <n v="7"/>
    <n v="2024"/>
    <s v="ĐB Sông Hồng"/>
    <s v="Trường học"/>
    <x v="0"/>
    <s v="F"/>
    <n v="13.454545"/>
  </r>
  <r>
    <s v="HNM"/>
    <s v="Trường Tiểu Học Xã Trần Hưng Đạo"/>
    <s v="ICT"/>
    <n v="13454545"/>
    <d v="2024-07-01T00:00:00"/>
    <n v="7"/>
    <n v="2024"/>
    <s v="ĐB Sông Hồng"/>
    <s v="Trường học"/>
    <x v="1"/>
    <s v="F"/>
    <n v="13.454545"/>
  </r>
  <r>
    <s v="HNM"/>
    <s v="Trường Tiểu Học Xã Văn Lý"/>
    <s v="ICT"/>
    <n v="13454545"/>
    <d v="2024-07-01T00:00:00"/>
    <n v="7"/>
    <n v="2024"/>
    <s v="ĐB Sông Hồng"/>
    <s v="Trường học"/>
    <x v="0"/>
    <s v="F"/>
    <n v="13.454545"/>
  </r>
  <r>
    <s v="YBI"/>
    <s v="Bệnh viện đa khoa tỉnh Yên Bái"/>
    <s v="DVKT"/>
    <n v="77536364"/>
    <d v="2024-08-01T00:00:00"/>
    <n v="8"/>
    <n v="2024"/>
    <s v="Tây Bắc Bộ"/>
    <s v="Bệnh viện"/>
    <x v="1"/>
    <s v="C"/>
    <n v="77.536364000000006"/>
  </r>
  <r>
    <s v="HNI"/>
    <s v="Công ty 1"/>
    <s v="ICT"/>
    <n v="510000000"/>
    <d v="2024-08-01T00:00:00"/>
    <n v="8"/>
    <n v="2024"/>
    <s v="ĐB Sông Hồng"/>
    <s v="Doanh nghiệp"/>
    <x v="0"/>
    <s v="F"/>
    <n v="510"/>
  </r>
  <r>
    <s v="NTN"/>
    <s v="Công ty 1"/>
    <s v="NLMT"/>
    <n v="240909091"/>
    <d v="2024-08-01T00:00:00"/>
    <n v="8"/>
    <n v="2024"/>
    <s v="Duyên hải Nam Trung Bộ"/>
    <s v="Doanh nghiệp"/>
    <x v="1"/>
    <s v="D"/>
    <n v="240.90909099999999"/>
  </r>
  <r>
    <s v="BPC"/>
    <s v="Công ty 10"/>
    <s v="ICT"/>
    <n v="197786219"/>
    <d v="2024-08-01T00:00:00"/>
    <n v="8"/>
    <n v="2024"/>
    <s v="Đông Nam Bộ"/>
    <s v="Doanh nghiệp"/>
    <x v="0"/>
    <s v="A"/>
    <n v="197.78621899999999"/>
  </r>
  <r>
    <s v="DBN"/>
    <s v="Công ty 75"/>
    <s v="NLMT"/>
    <n v="79545455"/>
    <d v="2024-08-01T00:00:00"/>
    <n v="8"/>
    <n v="2024"/>
    <s v="Tây Bắc Bộ"/>
    <s v="Doanh nghiệp"/>
    <x v="1"/>
    <s v="K"/>
    <n v="79.545455000000004"/>
  </r>
  <r>
    <s v="DBN"/>
    <s v="Công ty 76"/>
    <s v="NLMT"/>
    <n v="164772727"/>
    <d v="2024-08-01T00:00:00"/>
    <n v="8"/>
    <n v="2024"/>
    <s v="Tây Bắc Bộ"/>
    <s v="Doanh nghiệp"/>
    <x v="0"/>
    <s v="K"/>
    <n v="164.772727"/>
  </r>
  <r>
    <s v="CBG"/>
    <s v="Công ty 41"/>
    <s v="ICT"/>
    <n v="84737273"/>
    <d v="2024-08-01T00:00:00"/>
    <n v="8"/>
    <n v="2024"/>
    <s v="Đông Bắc Bộ"/>
    <s v="Doanh nghiệp"/>
    <x v="1"/>
    <s v="F"/>
    <n v="84.737273000000002"/>
  </r>
  <r>
    <s v="DNG"/>
    <s v="Công ty 64"/>
    <s v="ICT"/>
    <n v="507272727"/>
    <d v="2024-08-01T00:00:00"/>
    <n v="8"/>
    <n v="2024"/>
    <s v="Duyên hải Nam Trung Bộ"/>
    <s v="Doanh nghiệp"/>
    <x v="0"/>
    <s v="F"/>
    <n v="507.27272699999997"/>
  </r>
  <r>
    <s v="CBG"/>
    <s v="Công ty 69"/>
    <s v="NLMT"/>
    <n v="808363636"/>
    <d v="2024-08-01T00:00:00"/>
    <n v="8"/>
    <n v="2024"/>
    <s v="Đông Bắc Bộ"/>
    <s v="Doanh nghiệp"/>
    <x v="1"/>
    <s v="K"/>
    <n v="808.36363600000004"/>
  </r>
  <r>
    <s v="QNH"/>
    <s v="Công ty 73"/>
    <s v="ICT"/>
    <n v="2454496727"/>
    <d v="2024-08-01T00:00:00"/>
    <n v="8"/>
    <n v="2024"/>
    <s v="Đông Bắc Bộ"/>
    <s v="Doanh nghiệp"/>
    <x v="0"/>
    <s v="B"/>
    <n v="2454.4967270000002"/>
  </r>
  <r>
    <s v="BPC"/>
    <s v="Công ty 75"/>
    <s v="ICT"/>
    <n v="16378182"/>
    <d v="2024-08-01T00:00:00"/>
    <n v="8"/>
    <n v="2024"/>
    <s v="Đông Nam Bộ"/>
    <s v="Doanh nghiệp"/>
    <x v="1"/>
    <s v="B"/>
    <n v="16.378181999999999"/>
  </r>
  <r>
    <s v="TBH"/>
    <s v="Công ty 8"/>
    <s v="ICT"/>
    <n v="861700000"/>
    <d v="2024-08-01T00:00:00"/>
    <n v="8"/>
    <n v="2024"/>
    <s v="ĐB Sông Hồng"/>
    <s v="Doanh nghiệp"/>
    <x v="0"/>
    <s v="F"/>
    <n v="861.7"/>
  </r>
  <r>
    <s v="DBN"/>
    <s v="Công ty 33"/>
    <s v="ICT"/>
    <n v="20540000"/>
    <d v="2024-08-01T00:00:00"/>
    <n v="8"/>
    <n v="2024"/>
    <s v="Tây Bắc Bộ"/>
    <s v="Doanh nghiệp"/>
    <x v="1"/>
    <s v="B"/>
    <n v="20.54"/>
  </r>
  <r>
    <s v="DNG"/>
    <s v="Công ty 68"/>
    <s v="DVKT"/>
    <n v="15065455"/>
    <d v="2024-08-01T00:00:00"/>
    <n v="8"/>
    <n v="2024"/>
    <s v="Duyên hải Nam Trung Bộ"/>
    <s v="Doanh nghiệp"/>
    <x v="0"/>
    <s v="E"/>
    <n v="15.065455"/>
  </r>
  <r>
    <s v="LSN"/>
    <s v="Công ty 80"/>
    <s v="ME"/>
    <n v="22574000"/>
    <d v="2024-08-01T00:00:00"/>
    <n v="8"/>
    <n v="2024"/>
    <s v="Đông Bắc Bộ"/>
    <s v="Doanh nghiệp"/>
    <x v="1"/>
    <s v="C"/>
    <n v="22.574000000000002"/>
  </r>
  <r>
    <s v="BGG"/>
    <s v="Công ty 81"/>
    <s v="ME"/>
    <n v="43150000"/>
    <d v="2024-08-01T00:00:00"/>
    <n v="8"/>
    <n v="2024"/>
    <s v="Đông Bắc Bộ"/>
    <s v="Doanh nghiệp"/>
    <x v="0"/>
    <s v="C"/>
    <n v="43.15"/>
  </r>
  <r>
    <s v="DNI"/>
    <s v="Công ty 85"/>
    <s v="ME"/>
    <n v="16763236015"/>
    <d v="2024-08-01T00:00:00"/>
    <n v="8"/>
    <n v="2024"/>
    <s v="Đông Nam Bộ"/>
    <s v="Doanh nghiệp"/>
    <x v="1"/>
    <s v="M"/>
    <n v="16763.236014999999"/>
  </r>
  <r>
    <s v="QBH"/>
    <s v="Công ty 98"/>
    <s v="NLMT"/>
    <n v="483563636"/>
    <d v="2024-08-01T00:00:00"/>
    <n v="8"/>
    <n v="2024"/>
    <s v="Bắc Trung Bộ"/>
    <s v="Doanh nghiệp"/>
    <x v="0"/>
    <s v="D"/>
    <n v="483.56363599999997"/>
  </r>
  <r>
    <s v="BDH"/>
    <s v="Công ty 25"/>
    <s v="ICT"/>
    <n v="19090909"/>
    <d v="2024-08-01T00:00:00"/>
    <n v="8"/>
    <n v="2024"/>
    <s v="Duyên hải Nam Trung Bộ"/>
    <s v="Doanh nghiệp"/>
    <x v="1"/>
    <s v="A"/>
    <n v="19.090909"/>
  </r>
  <r>
    <s v="PTO"/>
    <s v="Công ty 9"/>
    <s v="ICT"/>
    <n v="13352182"/>
    <d v="2024-08-01T00:00:00"/>
    <n v="8"/>
    <n v="2024"/>
    <s v="Đông Bắc Bộ"/>
    <s v="Doanh nghiệp"/>
    <x v="0"/>
    <s v="B"/>
    <n v="13.352182000000001"/>
  </r>
  <r>
    <s v="CTO"/>
    <s v="Công ty 20"/>
    <s v="ICT"/>
    <n v="24914500"/>
    <d v="2024-08-01T00:00:00"/>
    <n v="8"/>
    <n v="2024"/>
    <s v="ĐB Sông Cửu Long"/>
    <s v="Doanh nghiệp"/>
    <x v="1"/>
    <s v="B"/>
    <n v="24.9145"/>
  </r>
  <r>
    <s v="KGG"/>
    <s v="Công ty 40"/>
    <s v="NLMT"/>
    <n v="103676500"/>
    <d v="2024-08-01T00:00:00"/>
    <n v="8"/>
    <n v="2024"/>
    <s v="ĐB Sông Cửu Long"/>
    <s v="Doanh nghiệp"/>
    <x v="0"/>
    <s v="D"/>
    <n v="103.6765"/>
  </r>
  <r>
    <s v="BLU"/>
    <s v="Công ty 29"/>
    <s v="DVKT"/>
    <n v="29248364"/>
    <d v="2024-08-01T00:00:00"/>
    <n v="8"/>
    <n v="2024"/>
    <s v="ĐB Sông Cửu Long"/>
    <s v="Doanh nghiệp"/>
    <x v="1"/>
    <s v="C"/>
    <n v="29.248363999999999"/>
  </r>
  <r>
    <s v="NAN"/>
    <s v="Công ty 43"/>
    <s v="DVKT"/>
    <n v="4363636"/>
    <d v="2024-08-01T00:00:00"/>
    <n v="8"/>
    <n v="2024"/>
    <s v="Bắc Trung Bộ"/>
    <s v="Doanh nghiệp"/>
    <x v="0"/>
    <s v="C"/>
    <n v="4.3636359999999996"/>
  </r>
  <r>
    <s v="PYN"/>
    <s v="Công ty 56"/>
    <s v="ME"/>
    <n v="38215000"/>
    <d v="2024-08-01T00:00:00"/>
    <n v="8"/>
    <n v="2024"/>
    <s v="Duyên hải Nam Trung Bộ"/>
    <s v="Doanh nghiệp"/>
    <x v="1"/>
    <s v="C"/>
    <n v="38.215000000000003"/>
  </r>
  <r>
    <s v="NAN"/>
    <s v="Công ty 65"/>
    <s v="ICT"/>
    <n v="13101818"/>
    <d v="2024-08-01T00:00:00"/>
    <n v="8"/>
    <n v="2024"/>
    <s v="Bắc Trung Bộ"/>
    <s v="Doanh nghiệp"/>
    <x v="0"/>
    <s v="B"/>
    <n v="13.101818"/>
  </r>
  <r>
    <s v="NAN"/>
    <s v="Công ty 66"/>
    <s v="ICT"/>
    <n v="13406364"/>
    <d v="2024-08-01T00:00:00"/>
    <n v="8"/>
    <n v="2024"/>
    <s v="Bắc Trung Bộ"/>
    <s v="Doanh nghiệp"/>
    <x v="1"/>
    <s v="B"/>
    <n v="13.406364"/>
  </r>
  <r>
    <s v="AGG"/>
    <s v="Công ty 1"/>
    <s v="Smarthome"/>
    <n v="21116000"/>
    <d v="2024-08-01T00:00:00"/>
    <n v="8"/>
    <n v="2024"/>
    <s v="ĐB Sông Cửu Long"/>
    <s v="Doanh nghiệp"/>
    <x v="0"/>
    <s v="I"/>
    <n v="21.116"/>
  </r>
  <r>
    <s v="BTN"/>
    <s v="Công ty 13"/>
    <s v="ICT"/>
    <n v="25133200"/>
    <d v="2024-08-01T00:00:00"/>
    <n v="8"/>
    <n v="2024"/>
    <s v="Duyên hải Nam Trung Bộ"/>
    <s v="Doanh nghiệp"/>
    <x v="1"/>
    <s v="B"/>
    <n v="25.133199999999999"/>
  </r>
  <r>
    <s v="DLK"/>
    <s v="Công ty 41"/>
    <s v="ICT"/>
    <n v="102263636"/>
    <d v="2024-08-01T00:00:00"/>
    <n v="8"/>
    <n v="2024"/>
    <s v="Tây Nguyên"/>
    <s v="Doanh nghiệp"/>
    <x v="0"/>
    <s v="B"/>
    <n v="102.26363600000001"/>
  </r>
  <r>
    <s v="BPC"/>
    <s v="Công ty 44"/>
    <s v="ICT"/>
    <n v="36236364"/>
    <d v="2024-08-01T00:00:00"/>
    <n v="8"/>
    <n v="2024"/>
    <s v="Đông Nam Bộ"/>
    <s v="Doanh nghiệp"/>
    <x v="1"/>
    <s v="A"/>
    <n v="36.236364000000002"/>
  </r>
  <r>
    <s v="DTP"/>
    <s v="Công ty 49"/>
    <s v="ME"/>
    <n v="56263636"/>
    <d v="2024-08-01T00:00:00"/>
    <n v="8"/>
    <n v="2024"/>
    <s v="ĐB Sông Cửu Long"/>
    <s v="Doanh nghiệp"/>
    <x v="0"/>
    <s v="C"/>
    <n v="56.263635999999998"/>
  </r>
  <r>
    <s v="HNI"/>
    <s v="Công ty 62"/>
    <s v="NLMT"/>
    <n v="175200000"/>
    <d v="2024-08-01T00:00:00"/>
    <n v="8"/>
    <n v="2024"/>
    <s v="ĐB Sông Hồng"/>
    <s v="Doanh nghiệp"/>
    <x v="1"/>
    <s v="L"/>
    <n v="175.2"/>
  </r>
  <r>
    <s v="CMU"/>
    <s v="Công ty 64"/>
    <s v="NLMT"/>
    <n v="94217137"/>
    <d v="2024-08-01T00:00:00"/>
    <n v="8"/>
    <n v="2024"/>
    <s v="ĐB Sông Cửu Long"/>
    <s v="Doanh nghiệp"/>
    <x v="0"/>
    <s v="K"/>
    <n v="94.217136999999994"/>
  </r>
  <r>
    <s v="NAN"/>
    <s v="Công ty 67"/>
    <s v="DVKT"/>
    <n v="7508909"/>
    <d v="2024-08-01T00:00:00"/>
    <n v="8"/>
    <n v="2024"/>
    <s v="Bắc Trung Bộ"/>
    <s v="Doanh nghiệp"/>
    <x v="1"/>
    <s v="B"/>
    <n v="7.5089090000000001"/>
  </r>
  <r>
    <s v="DNG"/>
    <s v="Công ty 12"/>
    <s v="NLMT"/>
    <n v="193197273"/>
    <d v="2024-08-01T00:00:00"/>
    <n v="8"/>
    <n v="2024"/>
    <s v="Duyên hải Nam Trung Bộ"/>
    <s v="Doanh nghiệp"/>
    <x v="0"/>
    <s v="L"/>
    <n v="193.197273"/>
  </r>
  <r>
    <s v="NAN"/>
    <s v="Công ty 19"/>
    <s v="ICT"/>
    <n v="9518182"/>
    <d v="2024-08-01T00:00:00"/>
    <n v="8"/>
    <n v="2024"/>
    <s v="Bắc Trung Bộ"/>
    <s v="Doanh nghiệp"/>
    <x v="1"/>
    <s v="F"/>
    <n v="9.5181819999999995"/>
  </r>
  <r>
    <s v="NTN"/>
    <s v="Công ty 52"/>
    <s v="NLMT"/>
    <n v="312545455"/>
    <d v="2024-08-01T00:00:00"/>
    <n v="8"/>
    <n v="2024"/>
    <s v="Duyên hải Nam Trung Bộ"/>
    <s v="Doanh nghiệp"/>
    <x v="0"/>
    <s v="D"/>
    <n v="312.545455"/>
  </r>
  <r>
    <s v="HNI"/>
    <s v="Công ty 72"/>
    <s v="NLMT"/>
    <n v="95000000"/>
    <d v="2024-08-01T00:00:00"/>
    <n v="8"/>
    <n v="2024"/>
    <s v="ĐB Sông Hồng"/>
    <s v="Doanh nghiệp"/>
    <x v="1"/>
    <s v="L"/>
    <n v="95"/>
  </r>
  <r>
    <s v="HNI"/>
    <s v="Công ty 73"/>
    <s v="NLMT"/>
    <n v="85000000"/>
    <d v="2024-08-01T00:00:00"/>
    <n v="8"/>
    <n v="2024"/>
    <s v="ĐB Sông Hồng"/>
    <s v="Doanh nghiệp"/>
    <x v="0"/>
    <s v="L"/>
    <n v="85"/>
  </r>
  <r>
    <s v="TQG"/>
    <s v="Công ty 78"/>
    <s v="ME"/>
    <n v="50629432"/>
    <d v="2024-08-01T00:00:00"/>
    <n v="8"/>
    <n v="2024"/>
    <s v="Đông Bắc Bộ"/>
    <s v="Doanh nghiệp"/>
    <x v="1"/>
    <s v="L"/>
    <n v="50.629432000000001"/>
  </r>
  <r>
    <s v="TQG"/>
    <s v="Công ty 79"/>
    <s v="ME"/>
    <n v="49645334"/>
    <d v="2024-08-01T00:00:00"/>
    <n v="8"/>
    <n v="2024"/>
    <s v="Đông Bắc Bộ"/>
    <s v="Doanh nghiệp"/>
    <x v="0"/>
    <s v="L"/>
    <n v="49.645333999999998"/>
  </r>
  <r>
    <s v="TGG"/>
    <s v="Công ty 98"/>
    <s v="ICT"/>
    <n v="8309764"/>
    <d v="2024-08-01T00:00:00"/>
    <n v="8"/>
    <n v="2024"/>
    <s v="ĐB Sông Cửu Long"/>
    <s v="Doanh nghiệp"/>
    <x v="1"/>
    <s v="B"/>
    <n v="8.3097639999999995"/>
  </r>
  <r>
    <s v="BPC"/>
    <s v="Công ty 21"/>
    <s v="ICT"/>
    <n v="17812600"/>
    <d v="2024-08-01T00:00:00"/>
    <n v="8"/>
    <n v="2024"/>
    <s v="Đông Nam Bộ"/>
    <s v="Doanh nghiệp"/>
    <x v="0"/>
    <s v="A"/>
    <n v="17.8126"/>
  </r>
  <r>
    <s v="LDG"/>
    <s v="Công ty 52"/>
    <s v="DVKT"/>
    <n v="590094400"/>
    <d v="2024-08-01T00:00:00"/>
    <n v="8"/>
    <n v="2024"/>
    <s v="Tây Nguyên"/>
    <s v="Doanh nghiệp"/>
    <x v="1"/>
    <s v="A"/>
    <n v="590.09439999999995"/>
  </r>
  <r>
    <s v="VLG"/>
    <s v="Công ty 57"/>
    <s v="ICT"/>
    <n v="26638179"/>
    <d v="2024-08-01T00:00:00"/>
    <n v="8"/>
    <n v="2024"/>
    <s v="ĐB Sông Cửu Long"/>
    <s v="Doanh nghiệp"/>
    <x v="0"/>
    <s v="B"/>
    <n v="26.638179000000001"/>
  </r>
  <r>
    <s v="HNI"/>
    <s v="Công ty 70"/>
    <s v="ME"/>
    <n v="136800000"/>
    <d v="2024-08-01T00:00:00"/>
    <n v="8"/>
    <n v="2024"/>
    <s v="ĐB Sông Hồng"/>
    <s v="Doanh nghiệp"/>
    <x v="1"/>
    <s v="C"/>
    <n v="136.80000000000001"/>
  </r>
  <r>
    <s v="CBG"/>
    <s v="Công ty 75"/>
    <s v="NLMT"/>
    <n v="45272727"/>
    <d v="2024-08-01T00:00:00"/>
    <n v="8"/>
    <n v="2024"/>
    <s v="Đông Bắc Bộ"/>
    <s v="Doanh nghiệp"/>
    <x v="0"/>
    <s v="K"/>
    <n v="45.272727000000003"/>
  </r>
  <r>
    <s v="DNI"/>
    <s v="Công ty 23"/>
    <s v="ICT"/>
    <n v="46090909"/>
    <d v="2024-08-01T00:00:00"/>
    <n v="8"/>
    <n v="2024"/>
    <s v="Đông Nam Bộ"/>
    <s v="Doanh nghiệp"/>
    <x v="1"/>
    <s v="B"/>
    <n v="46.090909000000003"/>
  </r>
  <r>
    <s v="SLA"/>
    <s v="Công ty 28"/>
    <s v="ME"/>
    <n v="49545455"/>
    <d v="2024-08-01T00:00:00"/>
    <n v="8"/>
    <n v="2024"/>
    <s v="Tây Bắc Bộ"/>
    <s v="Doanh nghiệp"/>
    <x v="0"/>
    <s v="O"/>
    <n v="49.545454999999997"/>
  </r>
  <r>
    <s v="SLA"/>
    <s v="Công ty 29"/>
    <s v="ME"/>
    <n v="59509091"/>
    <d v="2024-08-01T00:00:00"/>
    <n v="8"/>
    <n v="2024"/>
    <s v="Tây Bắc Bộ"/>
    <s v="Doanh nghiệp"/>
    <x v="1"/>
    <s v="O"/>
    <n v="59.509090999999998"/>
  </r>
  <r>
    <s v="LAN"/>
    <s v="Công ty 55"/>
    <s v="NLMT"/>
    <n v="1659844385"/>
    <d v="2024-08-01T00:00:00"/>
    <n v="8"/>
    <n v="2024"/>
    <s v="ĐB Sông Cửu Long"/>
    <s v="Doanh nghiệp"/>
    <x v="0"/>
    <s v="D"/>
    <n v="1659.8443850000001"/>
  </r>
  <r>
    <s v="BKN"/>
    <s v="Công ty 65"/>
    <s v="ICT"/>
    <n v="22196500"/>
    <d v="2024-08-01T00:00:00"/>
    <n v="8"/>
    <n v="2024"/>
    <s v="Đông Bắc Bộ"/>
    <s v="Doanh nghiệp"/>
    <x v="1"/>
    <s v="A"/>
    <n v="22.1965"/>
  </r>
  <r>
    <s v="DNI"/>
    <s v="Công ty 89"/>
    <s v="ME"/>
    <n v="273927273"/>
    <d v="2024-08-01T00:00:00"/>
    <n v="8"/>
    <n v="2024"/>
    <s v="Đông Nam Bộ"/>
    <s v="Doanh nghiệp"/>
    <x v="0"/>
    <s v="C"/>
    <n v="273.92727300000001"/>
  </r>
  <r>
    <s v="QTI"/>
    <s v="Công ty 91"/>
    <s v="Smarthome"/>
    <n v="119181818"/>
    <d v="2024-08-01T00:00:00"/>
    <n v="8"/>
    <n v="2024"/>
    <s v="Bắc Trung Bộ"/>
    <s v="Doanh nghiệp"/>
    <x v="1"/>
    <s v="H"/>
    <n v="119.18181800000001"/>
  </r>
  <r>
    <s v="LCU"/>
    <s v="Công ty 4"/>
    <s v="ICT"/>
    <n v="63305455"/>
    <d v="2024-08-01T00:00:00"/>
    <n v="8"/>
    <n v="2024"/>
    <s v="Tây Bắc Bộ"/>
    <s v="Doanh nghiệp"/>
    <x v="0"/>
    <s v="B"/>
    <n v="63.305455000000002"/>
  </r>
  <r>
    <s v="DLK"/>
    <s v="Công ty 9"/>
    <s v="DVKT"/>
    <n v="81127244"/>
    <d v="2024-08-01T00:00:00"/>
    <n v="8"/>
    <n v="2024"/>
    <s v="Tây Nguyên"/>
    <s v="Doanh nghiệp"/>
    <x v="1"/>
    <s v="B"/>
    <n v="81.127244000000005"/>
  </r>
  <r>
    <s v="CBG"/>
    <s v="Công ty 45"/>
    <s v="ICT"/>
    <n v="25059200"/>
    <d v="2024-08-01T00:00:00"/>
    <n v="8"/>
    <n v="2024"/>
    <s v="Đông Bắc Bộ"/>
    <s v="Doanh nghiệp"/>
    <x v="0"/>
    <s v="B"/>
    <n v="25.059200000000001"/>
  </r>
  <r>
    <s v="BTN"/>
    <s v="Công ty 61"/>
    <s v="DVKT"/>
    <n v="43759455"/>
    <d v="2024-08-01T00:00:00"/>
    <n v="8"/>
    <n v="2024"/>
    <s v="Duyên hải Nam Trung Bộ"/>
    <s v="Doanh nghiệp"/>
    <x v="1"/>
    <s v="A"/>
    <n v="43.759455000000003"/>
  </r>
  <r>
    <s v="KGG"/>
    <s v="Công ty 80"/>
    <s v="NLMT"/>
    <n v="460578971"/>
    <d v="2024-08-01T00:00:00"/>
    <n v="8"/>
    <n v="2024"/>
    <s v="ĐB Sông Cửu Long"/>
    <s v="Doanh nghiệp"/>
    <x v="0"/>
    <s v="D"/>
    <n v="460.57897100000002"/>
  </r>
  <r>
    <s v="BNH"/>
    <s v="Công ty 16"/>
    <s v="NLMT"/>
    <n v="132754476"/>
    <d v="2024-08-01T00:00:00"/>
    <n v="8"/>
    <n v="2024"/>
    <s v="ĐB Sông Hồng"/>
    <s v="Doanh nghiệp"/>
    <x v="1"/>
    <s v="D"/>
    <n v="132.75447600000001"/>
  </r>
  <r>
    <s v="DLK"/>
    <s v="Công ty 22"/>
    <s v="ICT"/>
    <n v="5320000"/>
    <d v="2024-08-01T00:00:00"/>
    <n v="8"/>
    <n v="2024"/>
    <s v="Tây Nguyên"/>
    <s v="Doanh nghiệp"/>
    <x v="0"/>
    <s v="B"/>
    <n v="5.32"/>
  </r>
  <r>
    <s v="DLK"/>
    <s v="Công ty 23"/>
    <s v="ICT"/>
    <n v="12170000"/>
    <d v="2024-08-01T00:00:00"/>
    <n v="8"/>
    <n v="2024"/>
    <s v="Tây Nguyên"/>
    <s v="Doanh nghiệp"/>
    <x v="1"/>
    <s v="B"/>
    <n v="12.17"/>
  </r>
  <r>
    <s v="DLK"/>
    <s v="Công ty 24"/>
    <s v="ICT"/>
    <n v="4590000"/>
    <d v="2024-08-01T00:00:00"/>
    <n v="8"/>
    <n v="2024"/>
    <s v="Tây Nguyên"/>
    <s v="Doanh nghiệp"/>
    <x v="0"/>
    <s v="B"/>
    <n v="4.59"/>
  </r>
  <r>
    <s v="HTH"/>
    <s v="Công ty 39"/>
    <s v="ICT"/>
    <n v="15532500"/>
    <d v="2024-08-01T00:00:00"/>
    <n v="8"/>
    <n v="2024"/>
    <s v="Bắc Trung Bộ"/>
    <s v="Doanh nghiệp"/>
    <x v="1"/>
    <s v="B"/>
    <n v="15.532500000000001"/>
  </r>
  <r>
    <s v="BPC"/>
    <s v="Công ty 40"/>
    <s v="ICT"/>
    <n v="48363636"/>
    <d v="2024-08-01T00:00:00"/>
    <n v="8"/>
    <n v="2024"/>
    <s v="Đông Nam Bộ"/>
    <s v="Doanh nghiệp"/>
    <x v="0"/>
    <s v="B"/>
    <n v="48.363636"/>
  </r>
  <r>
    <s v="BPC"/>
    <s v="Công ty 41"/>
    <s v="ICT"/>
    <n v="61905455"/>
    <d v="2024-08-01T00:00:00"/>
    <n v="8"/>
    <n v="2024"/>
    <s v="Đông Nam Bộ"/>
    <s v="Doanh nghiệp"/>
    <x v="1"/>
    <s v="B"/>
    <n v="61.905455000000003"/>
  </r>
  <r>
    <s v="NTN"/>
    <s v="Công ty 84"/>
    <s v="DVKT"/>
    <n v="80909091"/>
    <d v="2024-08-01T00:00:00"/>
    <n v="8"/>
    <n v="2024"/>
    <s v="Duyên hải Nam Trung Bộ"/>
    <s v="Doanh nghiệp"/>
    <x v="0"/>
    <s v="B"/>
    <n v="80.909091000000004"/>
  </r>
  <r>
    <s v="QNM"/>
    <s v="Công ty 86"/>
    <s v="ICT"/>
    <n v="30600000"/>
    <d v="2024-08-01T00:00:00"/>
    <n v="8"/>
    <n v="2024"/>
    <s v="Duyên hải Nam Trung Bộ"/>
    <s v="Doanh nghiệp"/>
    <x v="1"/>
    <s v="A"/>
    <n v="30.6"/>
  </r>
  <r>
    <s v="KHA"/>
    <s v="Công ty 97"/>
    <s v="NLMT"/>
    <n v="117363636"/>
    <d v="2024-08-01T00:00:00"/>
    <n v="8"/>
    <n v="2024"/>
    <s v="Duyên hải Nam Trung Bộ"/>
    <s v="Doanh nghiệp"/>
    <x v="0"/>
    <s v="D"/>
    <n v="117.363636"/>
  </r>
  <r>
    <s v="KHA"/>
    <s v="Công ty 98"/>
    <s v="NLMT"/>
    <n v="37272727"/>
    <d v="2024-08-01T00:00:00"/>
    <n v="8"/>
    <n v="2024"/>
    <s v="Duyên hải Nam Trung Bộ"/>
    <s v="Doanh nghiệp"/>
    <x v="1"/>
    <s v="D"/>
    <n v="37.272727000000003"/>
  </r>
  <r>
    <s v="BKN"/>
    <s v="Doanh nghiệp 4"/>
    <s v="NLMT"/>
    <n v="87159091"/>
    <d v="2024-08-01T00:00:00"/>
    <n v="8"/>
    <n v="2024"/>
    <s v="Đông Bắc Bộ"/>
    <s v="Doanh nghiệp"/>
    <x v="0"/>
    <s v="K"/>
    <n v="87.159091000000004"/>
  </r>
  <r>
    <s v="BKN"/>
    <s v="Doanh nghiệp 3"/>
    <s v="ICT"/>
    <n v="28363636"/>
    <d v="2024-08-01T00:00:00"/>
    <n v="8"/>
    <n v="2024"/>
    <s v="Đông Bắc Bộ"/>
    <s v="Doanh nghiệp"/>
    <x v="1"/>
    <s v="B"/>
    <n v="28.363636"/>
  </r>
  <r>
    <s v="GLI"/>
    <s v="Doanh nghiệp 10"/>
    <s v="NLMT"/>
    <n v="190000000"/>
    <d v="2024-08-01T00:00:00"/>
    <n v="8"/>
    <n v="2024"/>
    <s v="Tây Nguyên"/>
    <s v="Doanh nghiệp"/>
    <x v="0"/>
    <s v="D"/>
    <n v="190"/>
  </r>
  <r>
    <s v="TQG"/>
    <s v="Doanh nghiệp 12"/>
    <s v="DVKT"/>
    <n v="22241518"/>
    <d v="2024-08-01T00:00:00"/>
    <n v="8"/>
    <n v="2024"/>
    <s v="Đông Bắc Bộ"/>
    <s v="Doanh nghiệp"/>
    <x v="1"/>
    <s v="C"/>
    <n v="22.241517999999999"/>
  </r>
  <r>
    <s v="KGG"/>
    <s v="Doanh nghiệp 17"/>
    <s v="ME"/>
    <n v="63876000"/>
    <d v="2024-08-01T00:00:00"/>
    <n v="8"/>
    <n v="2024"/>
    <s v="ĐB Sông Cửu Long"/>
    <s v="Doanh nghiệp"/>
    <x v="0"/>
    <s v="M"/>
    <n v="63.875999999999998"/>
  </r>
  <r>
    <s v="GLI"/>
    <s v="Doanh nghiệp 18"/>
    <s v="ME"/>
    <n v="472272727"/>
    <d v="2024-08-01T00:00:00"/>
    <n v="8"/>
    <n v="2024"/>
    <s v="Tây Nguyên"/>
    <s v="Doanh nghiệp"/>
    <x v="1"/>
    <s v="N"/>
    <n v="472.27272699999997"/>
  </r>
  <r>
    <s v="TVH"/>
    <s v="Doanh nghiệp 4"/>
    <s v="NLMT"/>
    <n v="66347091"/>
    <d v="2024-08-01T00:00:00"/>
    <n v="8"/>
    <n v="2024"/>
    <s v="ĐB Sông Cửu Long"/>
    <s v="Doanh nghiệp"/>
    <x v="0"/>
    <s v="D"/>
    <n v="66.347091000000006"/>
  </r>
  <r>
    <s v="TVH"/>
    <s v="Doanh nghiệp 9"/>
    <s v="DVKT"/>
    <n v="11045455"/>
    <d v="2024-08-01T00:00:00"/>
    <n v="8"/>
    <n v="2024"/>
    <s v="ĐB Sông Cửu Long"/>
    <s v="Doanh nghiệp"/>
    <x v="1"/>
    <s v="C"/>
    <n v="11.045455"/>
  </r>
  <r>
    <s v="SLA"/>
    <s v="Doanh nghiệp 28"/>
    <s v="ME"/>
    <n v="74656364"/>
    <d v="2024-08-01T00:00:00"/>
    <n v="8"/>
    <n v="2024"/>
    <s v="Tây Bắc Bộ"/>
    <s v="Doanh nghiệp"/>
    <x v="0"/>
    <s v="O"/>
    <n v="74.656363999999996"/>
  </r>
  <r>
    <s v="CMU"/>
    <s v="Doanh nghiệp 12"/>
    <s v="ME"/>
    <n v="23321818"/>
    <d v="2024-08-01T00:00:00"/>
    <n v="8"/>
    <n v="2024"/>
    <s v="ĐB Sông Cửu Long"/>
    <s v="Doanh nghiệp"/>
    <x v="1"/>
    <s v="C"/>
    <n v="23.321818"/>
  </r>
  <r>
    <s v="CMU"/>
    <s v="Doanh nghiệp 13"/>
    <s v="ME"/>
    <n v="137036364"/>
    <d v="2024-08-01T00:00:00"/>
    <n v="8"/>
    <n v="2024"/>
    <s v="ĐB Sông Cửu Long"/>
    <s v="Doanh nghiệp"/>
    <x v="0"/>
    <s v="C"/>
    <n v="137.03636399999999"/>
  </r>
  <r>
    <s v="LCU"/>
    <s v="Doanh nghiệp 14"/>
    <s v="ICT"/>
    <n v="11375455"/>
    <d v="2024-08-01T00:00:00"/>
    <n v="8"/>
    <n v="2024"/>
    <s v="Tây Bắc Bộ"/>
    <s v="Doanh nghiệp"/>
    <x v="1"/>
    <s v="B"/>
    <n v="11.375455000000001"/>
  </r>
  <r>
    <s v="AGG"/>
    <s v="Doanh nghiệp 28"/>
    <s v="DVKT"/>
    <n v="29554691"/>
    <d v="2024-08-01T00:00:00"/>
    <n v="8"/>
    <n v="2024"/>
    <s v="ĐB Sông Cửu Long"/>
    <s v="Doanh nghiệp"/>
    <x v="0"/>
    <s v="B"/>
    <n v="29.554690999999998"/>
  </r>
  <r>
    <s v="AGG"/>
    <s v="Doanh nghiệp 29"/>
    <s v="ICT"/>
    <n v="73623080"/>
    <d v="2024-08-01T00:00:00"/>
    <n v="8"/>
    <n v="2024"/>
    <s v="ĐB Sông Cửu Long"/>
    <s v="Doanh nghiệp"/>
    <x v="1"/>
    <s v="A"/>
    <n v="73.623080000000002"/>
  </r>
  <r>
    <s v="AGG"/>
    <s v="Doanh nghiệp 30"/>
    <s v="DVKT"/>
    <n v="203340909"/>
    <d v="2024-08-01T00:00:00"/>
    <n v="8"/>
    <n v="2024"/>
    <s v="ĐB Sông Cửu Long"/>
    <s v="Doanh nghiệp"/>
    <x v="0"/>
    <s v="A"/>
    <n v="203.34090900000001"/>
  </r>
  <r>
    <s v="BDH"/>
    <s v="Doanh nghiệp 14"/>
    <s v="ICT"/>
    <n v="905402409"/>
    <d v="2024-08-01T00:00:00"/>
    <n v="8"/>
    <n v="2024"/>
    <s v="Duyên hải Nam Trung Bộ"/>
    <s v="Doanh nghiệp"/>
    <x v="1"/>
    <s v="B"/>
    <n v="905.40240900000003"/>
  </r>
  <r>
    <s v="BTN"/>
    <s v="Doanh nghiệp 16"/>
    <s v="DVKT"/>
    <n v="18577273"/>
    <d v="2024-08-01T00:00:00"/>
    <n v="8"/>
    <n v="2024"/>
    <s v="Duyên hải Nam Trung Bộ"/>
    <s v="Doanh nghiệp"/>
    <x v="0"/>
    <s v="A"/>
    <n v="18.577273000000002"/>
  </r>
  <r>
    <s v="DLK"/>
    <s v="Tập đoàn 1"/>
    <s v="ME"/>
    <n v="21300000"/>
    <d v="2024-08-01T00:00:00"/>
    <n v="8"/>
    <n v="2024"/>
    <s v="Tây Nguyên"/>
    <s v="Doanh nghiệp"/>
    <x v="1"/>
    <s v="C"/>
    <n v="21.3"/>
  </r>
  <r>
    <s v="LSN"/>
    <s v="Tập đoàn 28"/>
    <s v="ICT"/>
    <n v="281690503"/>
    <d v="2024-08-01T00:00:00"/>
    <n v="8"/>
    <n v="2024"/>
    <s v="Đông Bắc Bộ"/>
    <s v="Doanh nghiệp"/>
    <x v="0"/>
    <s v="B"/>
    <n v="281.69050299999998"/>
  </r>
  <r>
    <s v="LSN"/>
    <s v="Tập đoàn 30"/>
    <s v="Smarthome"/>
    <n v="295480000"/>
    <d v="2024-08-01T00:00:00"/>
    <n v="8"/>
    <n v="2024"/>
    <s v="Đông Bắc Bộ"/>
    <s v="Doanh nghiệp"/>
    <x v="1"/>
    <s v="U"/>
    <n v="295.48"/>
  </r>
  <r>
    <s v="LCI"/>
    <s v="Tập đoàn 33"/>
    <s v="DVKT"/>
    <n v="19178491"/>
    <d v="2024-08-01T00:00:00"/>
    <n v="8"/>
    <n v="2024"/>
    <s v="Tây Bắc Bộ"/>
    <s v="Doanh nghiệp"/>
    <x v="0"/>
    <s v="E"/>
    <n v="19.178491000000001"/>
  </r>
  <r>
    <s v="NDH"/>
    <s v="Tập đoàn 48"/>
    <s v="ICT"/>
    <n v="60391455"/>
    <d v="2024-08-01T00:00:00"/>
    <n v="8"/>
    <n v="2024"/>
    <s v="ĐB Sông Hồng"/>
    <s v="Doanh nghiệp"/>
    <x v="1"/>
    <s v="B"/>
    <n v="60.391455000000001"/>
  </r>
  <r>
    <s v="NAN"/>
    <s v="Tập đoàn 66"/>
    <s v="DVKT"/>
    <n v="20146909"/>
    <d v="2024-08-01T00:00:00"/>
    <n v="8"/>
    <n v="2024"/>
    <s v="Bắc Trung Bộ"/>
    <s v="Doanh nghiệp"/>
    <x v="0"/>
    <s v="O"/>
    <n v="20.146909000000001"/>
  </r>
  <r>
    <s v="NAN"/>
    <s v="Tập đoàn 67"/>
    <s v="ME"/>
    <n v="38330000"/>
    <d v="2024-08-01T00:00:00"/>
    <n v="8"/>
    <n v="2024"/>
    <s v="Bắc Trung Bộ"/>
    <s v="Doanh nghiệp"/>
    <x v="1"/>
    <s v="E"/>
    <n v="38.33"/>
  </r>
  <r>
    <s v="NAN"/>
    <s v="Tập đoàn 68"/>
    <s v="DVKT"/>
    <n v="36312364"/>
    <d v="2024-08-01T00:00:00"/>
    <n v="8"/>
    <n v="2024"/>
    <s v="Bắc Trung Bộ"/>
    <s v="Doanh nghiệp"/>
    <x v="0"/>
    <s v="A"/>
    <n v="36.312364000000002"/>
  </r>
  <r>
    <s v="TBH"/>
    <s v="Tập đoàn 81"/>
    <s v="ME"/>
    <n v="114500000"/>
    <d v="2024-08-01T00:00:00"/>
    <n v="8"/>
    <n v="2024"/>
    <s v="ĐB Sông Hồng"/>
    <s v="Doanh nghiệp"/>
    <x v="1"/>
    <s v="M"/>
    <n v="114.5"/>
  </r>
  <r>
    <s v="SLA"/>
    <s v="Tập đoàn 80"/>
    <s v="ICT"/>
    <n v="295203000"/>
    <d v="2024-08-01T00:00:00"/>
    <n v="8"/>
    <n v="2024"/>
    <s v="Tây Bắc Bộ"/>
    <s v="Doanh nghiệp"/>
    <x v="0"/>
    <s v="F"/>
    <n v="295.20299999999997"/>
  </r>
  <r>
    <s v="SLA"/>
    <s v="Tập đoàn 81"/>
    <s v="ICT"/>
    <n v="295203000"/>
    <d v="2024-08-01T00:00:00"/>
    <n v="8"/>
    <n v="2024"/>
    <s v="Tây Bắc Bộ"/>
    <s v="Doanh nghiệp"/>
    <x v="1"/>
    <s v="F"/>
    <n v="295.20299999999997"/>
  </r>
  <r>
    <s v="TGG"/>
    <s v="Tập đoàn 87"/>
    <s v="DVKT"/>
    <n v="56844545"/>
    <d v="2024-08-01T00:00:00"/>
    <n v="8"/>
    <n v="2024"/>
    <s v="ĐB Sông Cửu Long"/>
    <s v="Doanh nghiệp"/>
    <x v="0"/>
    <s v="F"/>
    <n v="56.844544999999997"/>
  </r>
  <r>
    <s v="BKN"/>
    <s v="Tập đoàn 94"/>
    <s v="NLMT"/>
    <n v="63636364"/>
    <d v="2024-08-01T00:00:00"/>
    <n v="8"/>
    <n v="2024"/>
    <s v="Đông Bắc Bộ"/>
    <s v="Doanh nghiệp"/>
    <x v="1"/>
    <s v="K"/>
    <n v="63.636364"/>
  </r>
  <r>
    <s v="HDG"/>
    <s v="Tập đoàn 92"/>
    <s v="ME"/>
    <n v="62219393"/>
    <d v="2024-08-01T00:00:00"/>
    <n v="8"/>
    <n v="2024"/>
    <s v="ĐB Sông Hồng"/>
    <s v="Doanh nghiệp"/>
    <x v="0"/>
    <s v="L"/>
    <n v="62.219392999999997"/>
  </r>
  <r>
    <s v="BKN"/>
    <s v="Tập đoàn 91"/>
    <s v="ME"/>
    <n v="1220001674"/>
    <d v="2024-08-01T00:00:00"/>
    <n v="8"/>
    <n v="2024"/>
    <s v="Đông Bắc Bộ"/>
    <s v="Doanh nghiệp"/>
    <x v="1"/>
    <s v="M"/>
    <n v="1220.0016740000001"/>
  </r>
  <r>
    <s v="GLI"/>
    <s v="Tập đoàn 93"/>
    <s v="ICT"/>
    <n v="82644628"/>
    <d v="2024-08-01T00:00:00"/>
    <n v="8"/>
    <n v="2024"/>
    <s v="Tây Nguyên"/>
    <s v="Doanh nghiệp"/>
    <x v="0"/>
    <s v="P"/>
    <n v="82.644627999999997"/>
  </r>
  <r>
    <s v="TGG"/>
    <s v="BỘ CHỈ HUY BỘ ĐỘI BIÊN PHÒNG TIỀN GIANG"/>
    <s v="ICT"/>
    <n v="85000000"/>
    <d v="2024-08-01T00:00:00"/>
    <n v="8"/>
    <n v="2024"/>
    <s v="ĐB Sông Cửu Long"/>
    <s v="Sở ban ngành"/>
    <x v="1"/>
    <s v="F"/>
    <n v="85"/>
  </r>
  <r>
    <s v="TGG"/>
    <s v="BỘ CHỈ HUY BỘ ĐỘI BIÊN PHÒNG TIỀN GIANG"/>
    <s v="ICT"/>
    <n v="43363000"/>
    <d v="2024-08-01T00:00:00"/>
    <n v="8"/>
    <n v="2024"/>
    <s v="ĐB Sông Cửu Long"/>
    <s v="Sở ban ngành"/>
    <x v="0"/>
    <s v="B"/>
    <n v="43.363"/>
  </r>
  <r>
    <s v="GLI"/>
    <s v="BỘ CHỈ HUY BỘ ĐỘI BIÊN PHÒNG TỈNH GIA LAI"/>
    <s v="Smarthome"/>
    <n v="745728545"/>
    <d v="2024-08-01T00:00:00"/>
    <n v="8"/>
    <n v="2024"/>
    <s v="Tây Nguyên"/>
    <s v="Sở ban ngành"/>
    <x v="1"/>
    <s v="H"/>
    <n v="745.72854500000005"/>
  </r>
  <r>
    <s v="DTP"/>
    <s v="Bộ Chỉ Huy Quân Sự Tỉnh Đồng Tháp"/>
    <s v="ICT"/>
    <n v="163363636"/>
    <d v="2024-08-01T00:00:00"/>
    <n v="8"/>
    <n v="2024"/>
    <s v="ĐB Sông Cửu Long"/>
    <s v="Sở ban ngành"/>
    <x v="0"/>
    <s v="A"/>
    <n v="163.36363600000001"/>
  </r>
  <r>
    <s v="DBN"/>
    <s v="Công ty 71"/>
    <s v="NLMT"/>
    <n v="211909091"/>
    <d v="2024-08-01T00:00:00"/>
    <n v="8"/>
    <n v="2024"/>
    <s v="Tây Bắc Bộ"/>
    <s v="Doanh nghiệp"/>
    <x v="1"/>
    <s v="K"/>
    <n v="211.90909099999999"/>
  </r>
  <r>
    <s v="DBN"/>
    <s v="Công ty 72"/>
    <s v="NLMT"/>
    <n v="211909091"/>
    <d v="2024-08-01T00:00:00"/>
    <n v="8"/>
    <n v="2024"/>
    <s v="Tây Bắc Bộ"/>
    <s v="Doanh nghiệp"/>
    <x v="0"/>
    <s v="K"/>
    <n v="211.90909099999999"/>
  </r>
  <r>
    <s v="DBN"/>
    <s v="Công ty 73"/>
    <s v="NLMT"/>
    <n v="1945455"/>
    <d v="2024-08-01T00:00:00"/>
    <n v="8"/>
    <n v="2024"/>
    <s v="Tây Bắc Bộ"/>
    <s v="Doanh nghiệp"/>
    <x v="1"/>
    <s v="K"/>
    <n v="1.9454549999999999"/>
  </r>
  <r>
    <s v="DBN"/>
    <s v="Công ty 74"/>
    <s v="NLMT"/>
    <n v="31254545"/>
    <d v="2024-08-01T00:00:00"/>
    <n v="8"/>
    <n v="2024"/>
    <s v="Tây Bắc Bộ"/>
    <s v="Doanh nghiệp"/>
    <x v="0"/>
    <s v="K"/>
    <n v="31.254545"/>
  </r>
  <r>
    <s v="DBN"/>
    <s v="Công ty 77"/>
    <s v="NLMT"/>
    <n v="211909091"/>
    <d v="2024-08-01T00:00:00"/>
    <n v="8"/>
    <n v="2024"/>
    <s v="Tây Bắc Bộ"/>
    <s v="Doanh nghiệp"/>
    <x v="1"/>
    <s v="K"/>
    <n v="211.90909099999999"/>
  </r>
  <r>
    <s v="BGG"/>
    <s v="CÔNG AN HUYỆN VIỆT YÊN"/>
    <s v="ICT"/>
    <n v="44050000"/>
    <d v="2024-08-01T00:00:00"/>
    <n v="8"/>
    <n v="2024"/>
    <s v="Đông Bắc Bộ"/>
    <s v="Sở ban ngành"/>
    <x v="0"/>
    <s v="B"/>
    <n v="44.05"/>
  </r>
  <r>
    <s v="HPG"/>
    <s v="Công An Thành Phố Hải Phòng"/>
    <s v="ME"/>
    <n v="51636364"/>
    <d v="2024-08-01T00:00:00"/>
    <n v="8"/>
    <n v="2024"/>
    <s v="ĐB Sông Hồng"/>
    <s v="Sở ban ngành"/>
    <x v="1"/>
    <s v="Q"/>
    <n v="51.636364"/>
  </r>
  <r>
    <s v="YBI"/>
    <s v="Công An Xã Kim Nọi"/>
    <s v="DVKT"/>
    <n v="8490909"/>
    <d v="2024-08-01T00:00:00"/>
    <n v="8"/>
    <n v="2024"/>
    <s v="Tây Bắc Bộ"/>
    <s v="Sở ban ngành"/>
    <x v="0"/>
    <s v="B"/>
    <n v="8.4909090000000003"/>
  </r>
  <r>
    <s v="BKN"/>
    <s v="ĐOÀN TNCS HỒ CHÍ MINH TỈNH BẮC KẠN"/>
    <s v="NLMT"/>
    <n v="36818182"/>
    <d v="2024-08-01T00:00:00"/>
    <n v="8"/>
    <n v="2024"/>
    <s v="Đông Bắc Bộ"/>
    <s v="Sở ban ngành"/>
    <x v="1"/>
    <s v="K"/>
    <n v="36.818182"/>
  </r>
  <r>
    <s v="YBI"/>
    <s v="Công ty 21"/>
    <s v="ICT"/>
    <n v="81596818"/>
    <d v="2024-08-01T00:00:00"/>
    <n v="8"/>
    <n v="2024"/>
    <s v="Tây Bắc Bộ"/>
    <s v="Doanh nghiệp"/>
    <x v="0"/>
    <s v="A"/>
    <n v="81.596817999999999"/>
  </r>
  <r>
    <s v="HTH"/>
    <s v="Ngân Hàng Chính Sách Xã Hội Chi Nhánh Tỉnh Hà Tĩnh"/>
    <s v="DVKT"/>
    <n v="11818182"/>
    <d v="2024-08-01T00:00:00"/>
    <n v="8"/>
    <n v="2024"/>
    <s v="Bắc Trung Bộ"/>
    <s v="Ngân hàng"/>
    <x v="1"/>
    <s v="G"/>
    <n v="11.818182"/>
  </r>
  <r>
    <s v="DTP"/>
    <s v="Ngân Hàng Nhà Nước Chi Nhánh Tỉnh Đồng Tháp"/>
    <s v="ICT"/>
    <n v="9918182"/>
    <d v="2024-08-01T00:00:00"/>
    <n v="8"/>
    <n v="2024"/>
    <s v="ĐB Sông Cửu Long"/>
    <s v="Ngân hàng"/>
    <x v="0"/>
    <s v="A"/>
    <n v="9.9181819999999998"/>
  </r>
  <r>
    <s v="LCI"/>
    <s v="PHÒNG DÂN TỘC HUYỆN VĂN BÀN"/>
    <s v="ME"/>
    <n v="856836364"/>
    <d v="2024-08-01T00:00:00"/>
    <n v="8"/>
    <n v="2024"/>
    <s v="Tây Bắc Bộ"/>
    <s v="Sở ban ngành"/>
    <x v="1"/>
    <s v="O"/>
    <n v="856.836364"/>
  </r>
  <r>
    <s v="LSN"/>
    <s v="Phòng Giao Dịch Ngân Hàng Chính Sách Xã Hội (nhcsxh) Huyện Văn Lãng"/>
    <s v="ICT"/>
    <n v="1928000"/>
    <d v="2024-08-01T00:00:00"/>
    <n v="8"/>
    <n v="2024"/>
    <s v="Đông Bắc Bộ"/>
    <s v="Ngân hàng"/>
    <x v="0"/>
    <s v="B"/>
    <n v="1.9279999999999999"/>
  </r>
  <r>
    <s v="DCN"/>
    <s v="Phòng Văn Hoá Thông Tin Huyện Đắk Mil"/>
    <s v="ICT"/>
    <n v="45393636"/>
    <d v="2024-08-01T00:00:00"/>
    <n v="8"/>
    <n v="2024"/>
    <s v="Tây Nguyên"/>
    <s v="Sở ban ngành"/>
    <x v="1"/>
    <s v="B"/>
    <n v="45.393636000000001"/>
  </r>
  <r>
    <s v="VTU"/>
    <s v="Quân Khu 7"/>
    <s v="ICT"/>
    <n v="3465454545"/>
    <d v="2024-08-01T00:00:00"/>
    <n v="8"/>
    <n v="2024"/>
    <s v="Đông Nam Bộ"/>
    <s v="Sở ban ngành"/>
    <x v="0"/>
    <s v="F"/>
    <n v="3465.4545450000001"/>
  </r>
  <r>
    <s v="BGG"/>
    <s v="SỞ GIÁO DỤC VÀ ĐÀO TẠO BẮC GIANG"/>
    <s v="ME"/>
    <n v="45000000"/>
    <d v="2024-08-01T00:00:00"/>
    <n v="8"/>
    <n v="2024"/>
    <s v="Đông Bắc Bộ"/>
    <s v="Sở ban ngành"/>
    <x v="1"/>
    <s v="C"/>
    <n v="45"/>
  </r>
  <r>
    <s v="BGG"/>
    <s v="SỞ GIÁO DỤC VÀ ĐÀO TẠO BẮC GIANG"/>
    <s v="DVKT"/>
    <n v="40036000"/>
    <d v="2024-08-01T00:00:00"/>
    <n v="8"/>
    <n v="2024"/>
    <s v="Đông Bắc Bộ"/>
    <s v="Sở ban ngành"/>
    <x v="0"/>
    <s v="C"/>
    <n v="40.036000000000001"/>
  </r>
  <r>
    <s v="TQG"/>
    <s v="Thôn 11 Xã Lưỡng Vượng"/>
    <s v="Smarthome"/>
    <n v="31432727"/>
    <d v="2024-08-01T00:00:00"/>
    <n v="8"/>
    <n v="2024"/>
    <s v="Đông Bắc Bộ"/>
    <s v="Sở ban ngành"/>
    <x v="1"/>
    <s v="U"/>
    <n v="31.432727"/>
  </r>
  <r>
    <s v="TGG"/>
    <s v="Trung Tâm Chính Trị Huyện Cái Bè"/>
    <s v="ME"/>
    <n v="190012045"/>
    <d v="2024-08-01T00:00:00"/>
    <n v="8"/>
    <n v="2024"/>
    <s v="ĐB Sông Cửu Long"/>
    <s v="Sở ban ngành"/>
    <x v="0"/>
    <s v="C"/>
    <n v="190.012045"/>
  </r>
  <r>
    <s v="AGG"/>
    <s v="Trung Tâm Văn Hoá - Thể Thao Và Truyền Thanh Huyện Chợ Mới"/>
    <s v="DVKT"/>
    <n v="54550000"/>
    <d v="2024-08-01T00:00:00"/>
    <n v="8"/>
    <n v="2024"/>
    <s v="ĐB Sông Cửu Long"/>
    <s v="Sở ban ngành"/>
    <x v="1"/>
    <s v="L"/>
    <n v="54.55"/>
  </r>
  <r>
    <s v="PYN"/>
    <s v="Trung Tâm Y Tế Huyện Sông Hinh"/>
    <s v="ICT"/>
    <n v="75375000"/>
    <d v="2024-08-01T00:00:00"/>
    <n v="8"/>
    <n v="2024"/>
    <s v="Duyên hải Nam Trung Bộ"/>
    <s v="Sở ban ngành"/>
    <x v="0"/>
    <s v="F"/>
    <n v="75.375"/>
  </r>
  <r>
    <s v="PTO"/>
    <s v="Trung tâm y tế huyện Tân Sơn"/>
    <s v="DVKT"/>
    <n v="83448818"/>
    <d v="2024-08-01T00:00:00"/>
    <n v="8"/>
    <n v="2024"/>
    <s v="Đông Bắc Bộ"/>
    <s v="Sở ban ngành"/>
    <x v="1"/>
    <s v="C"/>
    <n v="83.448818000000003"/>
  </r>
  <r>
    <s v="NDH"/>
    <s v="Trung Tâm Y Tế Huyện Trực Ninh"/>
    <s v="ICT"/>
    <n v="77952000"/>
    <d v="2024-08-01T00:00:00"/>
    <n v="8"/>
    <n v="2024"/>
    <s v="ĐB Sông Hồng"/>
    <s v="Sở ban ngành"/>
    <x v="0"/>
    <s v="F"/>
    <n v="77.951999999999998"/>
  </r>
  <r>
    <s v="NAN"/>
    <s v="Ubnd Huyện Quỳnh Lưu"/>
    <s v="Smarthome"/>
    <n v="45002727"/>
    <d v="2024-08-01T00:00:00"/>
    <n v="8"/>
    <n v="2024"/>
    <s v="Bắc Trung Bộ"/>
    <s v="Sở ban ngành"/>
    <x v="1"/>
    <s v="H"/>
    <n v="45.002727"/>
  </r>
  <r>
    <s v="HTH"/>
    <s v="UBND PHƯỜNG NGUYỄN DU"/>
    <s v="ME"/>
    <n v="13636364"/>
    <d v="2024-08-01T00:00:00"/>
    <n v="8"/>
    <n v="2024"/>
    <s v="Bắc Trung Bộ"/>
    <s v="Sở ban ngành"/>
    <x v="0"/>
    <s v="C"/>
    <n v="13.636364"/>
  </r>
  <r>
    <s v="BTN"/>
    <s v="UBND PHƯỜNG PHÚ TÀI"/>
    <s v="ME"/>
    <n v="69909091"/>
    <d v="2024-08-01T00:00:00"/>
    <n v="8"/>
    <n v="2024"/>
    <s v="Duyên hải Nam Trung Bộ"/>
    <s v="Sở ban ngành"/>
    <x v="1"/>
    <s v="O"/>
    <n v="69.909091000000004"/>
  </r>
  <r>
    <s v="QNM"/>
    <s v="UBND PHƯỜNG PHƯỚC HOÀ"/>
    <s v="ICT"/>
    <n v="88172000"/>
    <d v="2024-08-01T00:00:00"/>
    <n v="8"/>
    <n v="2024"/>
    <s v="Duyên hải Nam Trung Bộ"/>
    <s v="Sở ban ngành"/>
    <x v="0"/>
    <s v="B"/>
    <n v="88.171999999999997"/>
  </r>
  <r>
    <s v="HNI"/>
    <s v="UBND Quận Bắc Từ Liêm"/>
    <s v="ICT"/>
    <n v="285872727"/>
    <d v="2024-08-01T00:00:00"/>
    <n v="8"/>
    <n v="2024"/>
    <s v="ĐB Sông Hồng"/>
    <s v="Sở ban ngành"/>
    <x v="1"/>
    <s v="A"/>
    <n v="285.872727"/>
  </r>
  <r>
    <s v="SLA"/>
    <s v="UBND XÃ CHIỀNG ĐEN"/>
    <s v="ME"/>
    <n v="103208690"/>
    <d v="2024-08-01T00:00:00"/>
    <n v="8"/>
    <n v="2024"/>
    <s v="Tây Bắc Bộ"/>
    <s v="Sở ban ngành"/>
    <x v="0"/>
    <s v="O"/>
    <n v="103.20869"/>
  </r>
  <r>
    <s v="BKN"/>
    <s v="UBND XÃ CƯ LỄ"/>
    <s v="NLMT"/>
    <n v="54511856"/>
    <d v="2024-08-01T00:00:00"/>
    <n v="8"/>
    <n v="2024"/>
    <s v="Đông Bắc Bộ"/>
    <s v="Sở ban ngành"/>
    <x v="1"/>
    <s v="K"/>
    <n v="54.511856000000002"/>
  </r>
  <r>
    <s v="KTM"/>
    <s v="UBND XÃ ĐĂK CHOONG"/>
    <s v="NLMT"/>
    <n v="22500000"/>
    <d v="2024-08-01T00:00:00"/>
    <n v="8"/>
    <n v="2024"/>
    <s v="Tây Nguyên"/>
    <s v="Sở ban ngành"/>
    <x v="0"/>
    <s v="K"/>
    <n v="22.5"/>
  </r>
  <r>
    <s v="KTM"/>
    <s v="UBND XÃ ĐĂK MÔN"/>
    <s v="NLMT"/>
    <n v="36363636"/>
    <d v="2024-08-01T00:00:00"/>
    <n v="8"/>
    <n v="2024"/>
    <s v="Tây Nguyên"/>
    <s v="Sở ban ngành"/>
    <x v="1"/>
    <s v="K"/>
    <n v="36.363636"/>
  </r>
  <r>
    <s v="KTM"/>
    <s v="UBND XÃ ĐĂK MÔN"/>
    <s v="NLMT"/>
    <n v="45454545"/>
    <d v="2024-08-01T00:00:00"/>
    <n v="8"/>
    <n v="2024"/>
    <s v="Tây Nguyên"/>
    <s v="Sở ban ngành"/>
    <x v="0"/>
    <s v="K"/>
    <n v="45.454545000000003"/>
  </r>
  <r>
    <s v="VLG"/>
    <s v="UBND XÃ ĐÔNG BÌNH"/>
    <s v="ICT"/>
    <n v="90106000"/>
    <d v="2024-08-01T00:00:00"/>
    <n v="8"/>
    <n v="2024"/>
    <s v="ĐB Sông Cửu Long"/>
    <s v="Sở ban ngành"/>
    <x v="1"/>
    <s v="B"/>
    <n v="90.105999999999995"/>
  </r>
  <r>
    <s v="TVH"/>
    <s v="UBND XÃ HƯNG MỸ HUYỆN CHÂU THÀNH"/>
    <s v="ME"/>
    <n v="49312727"/>
    <d v="2024-08-01T00:00:00"/>
    <n v="8"/>
    <n v="2024"/>
    <s v="ĐB Sông Cửu Long"/>
    <s v="Sở ban ngành"/>
    <x v="0"/>
    <s v="O"/>
    <n v="49.312727000000002"/>
  </r>
  <r>
    <s v="TQG"/>
    <s v="UBND XÃ NHỮ HÁN"/>
    <s v="NLMT"/>
    <n v="90839382"/>
    <d v="2024-08-01T00:00:00"/>
    <n v="8"/>
    <n v="2024"/>
    <s v="Đông Bắc Bộ"/>
    <s v="Sở ban ngành"/>
    <x v="1"/>
    <s v="K"/>
    <n v="90.839382000000001"/>
  </r>
  <r>
    <s v="CBG"/>
    <s v="Uỷ Ban Dân Dân Xã Mã Ba"/>
    <s v="ME"/>
    <n v="88945455"/>
    <d v="2024-08-01T00:00:00"/>
    <n v="8"/>
    <n v="2024"/>
    <s v="Đông Bắc Bộ"/>
    <s v="Sở ban ngành"/>
    <x v="0"/>
    <s v="L"/>
    <n v="88.945454999999995"/>
  </r>
  <r>
    <s v="TVH"/>
    <s v="Ủy Ban Nhân Dân Xã Đông Hải"/>
    <s v="ICT"/>
    <n v="44672273"/>
    <d v="2024-08-01T00:00:00"/>
    <n v="8"/>
    <n v="2024"/>
    <s v="ĐB Sông Cửu Long"/>
    <s v="Sở ban ngành"/>
    <x v="1"/>
    <s v="B"/>
    <n v="44.672272999999997"/>
  </r>
  <r>
    <s v="LSN"/>
    <s v="Uỷ Ban Nhân Dân Xã Hữu Liên"/>
    <s v="NLMT"/>
    <n v="36505000"/>
    <d v="2024-08-01T00:00:00"/>
    <n v="8"/>
    <n v="2024"/>
    <s v="Đông Bắc Bộ"/>
    <s v="Sở ban ngành"/>
    <x v="0"/>
    <s v="K"/>
    <n v="36.505000000000003"/>
  </r>
  <r>
    <s v="VLG"/>
    <s v="ỦY BAN NHÂN DÂN XÃ HỰU THÀNH"/>
    <s v="NLMT"/>
    <n v="77208182"/>
    <d v="2024-08-01T00:00:00"/>
    <n v="8"/>
    <n v="2024"/>
    <s v="ĐB Sông Cửu Long"/>
    <s v="Sở ban ngành"/>
    <x v="1"/>
    <s v="K"/>
    <n v="77.208181999999994"/>
  </r>
  <r>
    <s v="CBG"/>
    <s v="Ủy Ban Nhân Dân Xã Lũng Nặm"/>
    <s v="ME"/>
    <n v="88945455"/>
    <d v="2024-08-01T00:00:00"/>
    <n v="8"/>
    <n v="2024"/>
    <s v="Đông Bắc Bộ"/>
    <s v="Sở ban ngành"/>
    <x v="0"/>
    <s v="L"/>
    <n v="88.945454999999995"/>
  </r>
  <r>
    <s v="PTO"/>
    <s v="Ủy Ban Nhân Dân Xã Phượng Vỹ"/>
    <s v="NLMT"/>
    <n v="397825455"/>
    <d v="2024-08-01T00:00:00"/>
    <n v="8"/>
    <n v="2024"/>
    <s v="Đông Bắc Bộ"/>
    <s v="Sở ban ngành"/>
    <x v="1"/>
    <s v="K"/>
    <n v="397.82545499999998"/>
  </r>
  <r>
    <s v="STG"/>
    <s v="Uỷ Ban Nhân Dân Xã Song Phụng"/>
    <s v="NLMT"/>
    <n v="72727273"/>
    <d v="2024-08-01T00:00:00"/>
    <n v="8"/>
    <n v="2024"/>
    <s v="ĐB Sông Cửu Long"/>
    <s v="Sở ban ngành"/>
    <x v="0"/>
    <s v="D"/>
    <n v="72.727272999999997"/>
  </r>
  <r>
    <s v="PTO"/>
    <s v="ỦY BAN NHÂN DÂN XÃ TIÊN LƯƠNG"/>
    <s v="NLMT"/>
    <n v="423190000"/>
    <d v="2024-08-01T00:00:00"/>
    <n v="8"/>
    <n v="2024"/>
    <s v="Đông Bắc Bộ"/>
    <s v="Sở ban ngành"/>
    <x v="1"/>
    <s v="K"/>
    <n v="423.19"/>
  </r>
  <r>
    <s v="PTO"/>
    <s v="Ủy Ban Nhân Dân Xã Vĩnh Lại"/>
    <s v="DVKT"/>
    <n v="21797273"/>
    <d v="2024-08-01T00:00:00"/>
    <n v="8"/>
    <n v="2024"/>
    <s v="Đông Bắc Bộ"/>
    <s v="Sở ban ngành"/>
    <x v="0"/>
    <s v="T"/>
    <n v="21.797273000000001"/>
  </r>
  <r>
    <s v="CTO"/>
    <s v="VĂN PHÒNG HUYỆN ỦY CỜ ĐỎ"/>
    <s v="ICT"/>
    <n v="90417500"/>
    <d v="2024-08-01T00:00:00"/>
    <n v="8"/>
    <n v="2024"/>
    <s v="ĐB Sông Cửu Long"/>
    <s v="Sở ban ngành"/>
    <x v="1"/>
    <s v="A"/>
    <n v="90.417500000000004"/>
  </r>
  <r>
    <s v="HTH"/>
    <s v="VĂN PHÒNG UBND HUYỆN"/>
    <s v="ICT"/>
    <n v="705830000"/>
    <d v="2024-08-01T00:00:00"/>
    <n v="8"/>
    <n v="2024"/>
    <s v="Bắc Trung Bộ"/>
    <s v="Sở ban ngành"/>
    <x v="0"/>
    <s v="F"/>
    <n v="705.83"/>
  </r>
  <r>
    <s v="NAN"/>
    <s v="VIỆN KIỂM SÁT NHÂN DÂN TỈNH NGHỆ AN"/>
    <s v="DVKT"/>
    <n v="22421818"/>
    <d v="2024-08-01T00:00:00"/>
    <n v="8"/>
    <n v="2024"/>
    <s v="Bắc Trung Bộ"/>
    <s v="Sở ban ngành"/>
    <x v="1"/>
    <s v="L"/>
    <n v="22.421817999999998"/>
  </r>
  <r>
    <s v="GLI"/>
    <s v="Trường Mẫu Giáo Bông Hồng 1"/>
    <s v="Smarthome"/>
    <n v="32727273"/>
    <d v="2024-08-01T00:00:00"/>
    <n v="8"/>
    <n v="2024"/>
    <s v="Tây Nguyên"/>
    <s v="Trường học"/>
    <x v="0"/>
    <s v="H"/>
    <n v="32.727272999999997"/>
  </r>
  <r>
    <s v="YBI"/>
    <s v="TRƯỜNG PT DÂN TỘC NỘI TRÚ THPT TỈNH YÊN BÁI"/>
    <s v="NLMT"/>
    <n v="19000000"/>
    <d v="2024-08-01T00:00:00"/>
    <n v="8"/>
    <n v="2024"/>
    <s v="Tây Bắc Bộ"/>
    <s v="Trường học"/>
    <x v="1"/>
    <s v="K"/>
    <n v="19"/>
  </r>
  <r>
    <s v="HTH"/>
    <s v="TRƯỜNG PTDT NỘI TRÚ"/>
    <s v="ICT"/>
    <n v="91818182"/>
    <d v="2024-08-01T00:00:00"/>
    <n v="8"/>
    <n v="2024"/>
    <s v="Bắc Trung Bộ"/>
    <s v="Trường học"/>
    <x v="0"/>
    <s v="F"/>
    <n v="91.818181999999993"/>
  </r>
  <r>
    <s v="YBI"/>
    <s v="TRƯỜNG PTDTBT TH VÀ THCS DẾ XU PHÌNH"/>
    <s v="ICT"/>
    <n v="11962727"/>
    <d v="2024-08-01T00:00:00"/>
    <n v="8"/>
    <n v="2024"/>
    <s v="Tây Bắc Bộ"/>
    <s v="Trường học"/>
    <x v="1"/>
    <s v="B"/>
    <n v="11.962726999999999"/>
  </r>
  <r>
    <s v="LCI"/>
    <s v="TRƯỜNG PTDTBT THCS SƠN THUỶ"/>
    <s v="ICT"/>
    <n v="132986364"/>
    <d v="2024-08-01T00:00:00"/>
    <n v="8"/>
    <n v="2024"/>
    <s v="Tây Bắc Bộ"/>
    <s v="Trường học"/>
    <x v="0"/>
    <s v="F"/>
    <n v="132.98636400000001"/>
  </r>
  <r>
    <s v="LDG"/>
    <s v="TRƯỜNG THCS HOÀ NINH"/>
    <s v="ICT"/>
    <n v="38180000"/>
    <d v="2024-08-01T00:00:00"/>
    <n v="8"/>
    <n v="2024"/>
    <s v="Tây Nguyên"/>
    <s v="Trường học"/>
    <x v="1"/>
    <s v="A"/>
    <n v="38.18"/>
  </r>
  <r>
    <s v="GLI"/>
    <s v="TRƯỜNG THCS KÔNG BỜ LA"/>
    <s v="Smarthome"/>
    <n v="32727273"/>
    <d v="2024-08-01T00:00:00"/>
    <n v="8"/>
    <n v="2024"/>
    <s v="Tây Nguyên"/>
    <s v="Trường học"/>
    <x v="0"/>
    <s v="H"/>
    <n v="32.727272999999997"/>
  </r>
  <r>
    <s v="VLG"/>
    <s v="Trường Thcs Lý Thái Tổ"/>
    <s v="ICT"/>
    <n v="24363636"/>
    <d v="2024-08-01T00:00:00"/>
    <n v="8"/>
    <n v="2024"/>
    <s v="ĐB Sông Cửu Long"/>
    <s v="Trường học"/>
    <x v="1"/>
    <s v="A"/>
    <n v="24.363636"/>
  </r>
  <r>
    <s v="PTO"/>
    <s v="TRƯỜNG THCS MINH PHƯƠNG"/>
    <s v="DVKT"/>
    <n v="12090909"/>
    <d v="2024-08-01T00:00:00"/>
    <n v="8"/>
    <n v="2024"/>
    <s v="Đông Bắc Bộ"/>
    <s v="Trường học"/>
    <x v="0"/>
    <s v="C"/>
    <n v="12.090909"/>
  </r>
  <r>
    <s v="BGG"/>
    <s v="TRƯỜNG THCS THỊ TRẤN BỐ HẠ"/>
    <s v="ICT"/>
    <n v="38460000"/>
    <d v="2024-08-01T00:00:00"/>
    <n v="8"/>
    <n v="2024"/>
    <s v="Đông Bắc Bộ"/>
    <s v="Trường học"/>
    <x v="1"/>
    <s v="A"/>
    <n v="38.46"/>
  </r>
  <r>
    <s v="LCI"/>
    <s v="TRƯỜNG TIỂU HỌC KHÁNH YÊN THƯỢNG"/>
    <s v="ICT"/>
    <n v="105945455"/>
    <d v="2024-08-01T00:00:00"/>
    <n v="8"/>
    <n v="2024"/>
    <s v="Tây Bắc Bộ"/>
    <s v="Trường học"/>
    <x v="0"/>
    <s v="F"/>
    <n v="105.945455"/>
  </r>
  <r>
    <s v="NDH"/>
    <s v="Trường Tiểu Học Mỹ Xá"/>
    <s v="ME"/>
    <n v="45087273"/>
    <d v="2024-08-01T00:00:00"/>
    <n v="8"/>
    <n v="2024"/>
    <s v="ĐB Sông Hồng"/>
    <s v="Trường học"/>
    <x v="1"/>
    <s v="E"/>
    <n v="45.087273000000003"/>
  </r>
  <r>
    <s v="DNI"/>
    <s v="TRƯỜNG TIỂU HỌC NGUYỄN THÁI HỌC"/>
    <s v="ICT"/>
    <n v="43700000"/>
    <d v="2024-08-01T00:00:00"/>
    <n v="8"/>
    <n v="2024"/>
    <s v="Đông Nam Bộ"/>
    <s v="Trường học"/>
    <x v="0"/>
    <s v="A"/>
    <n v="43.7"/>
  </r>
  <r>
    <s v="BPC"/>
    <s v="TRƯỜNG TIỂU HỌC VÀ TRUNG HỌC CƠ SỞ MINH THÀNH"/>
    <s v="Smarthome"/>
    <n v="66360000"/>
    <d v="2024-08-01T00:00:00"/>
    <n v="8"/>
    <n v="2024"/>
    <s v="Đông Nam Bộ"/>
    <s v="Trường học"/>
    <x v="1"/>
    <s v="H"/>
    <n v="66.36"/>
  </r>
  <r>
    <s v="BTE"/>
    <s v="TRƯỜNG TRUNG HỌC PHỔ THÔNG TÁN KẾ"/>
    <s v="DVKT"/>
    <n v="15818182"/>
    <d v="2024-08-01T00:00:00"/>
    <n v="8"/>
    <n v="2024"/>
    <s v="ĐB Sông Cửu Long"/>
    <s v="Trường học"/>
    <x v="0"/>
    <s v="A"/>
    <n v="15.818182"/>
  </r>
  <r>
    <s v="YBI"/>
    <s v="Bệnh viện đa khoa tỉnh Yên Bái"/>
    <s v="DVKT"/>
    <n v="68381818"/>
    <d v="2024-09-01T00:00:00"/>
    <n v="9"/>
    <n v="2024"/>
    <s v="Tây Bắc Bộ"/>
    <s v="Bệnh viện"/>
    <x v="1"/>
    <s v="C"/>
    <n v="68.381817999999996"/>
  </r>
  <r>
    <s v="BPC"/>
    <s v="Công ty 11"/>
    <s v="ICT"/>
    <n v="10895118"/>
    <d v="2024-09-01T00:00:00"/>
    <n v="9"/>
    <n v="2024"/>
    <s v="Đông Nam Bộ"/>
    <s v="Doanh nghiệp"/>
    <x v="0"/>
    <s v="A"/>
    <n v="10.895118"/>
  </r>
  <r>
    <s v="NAN"/>
    <s v="Công ty 35"/>
    <s v="DVKT"/>
    <n v="9701818"/>
    <d v="2024-09-01T00:00:00"/>
    <n v="9"/>
    <n v="2024"/>
    <s v="Bắc Trung Bộ"/>
    <s v="Doanh nghiệp"/>
    <x v="1"/>
    <s v="D"/>
    <n v="9.7018179999999994"/>
  </r>
  <r>
    <s v="TNN"/>
    <s v="Công ty 76"/>
    <s v="ICT"/>
    <n v="187063636"/>
    <d v="2024-09-01T00:00:00"/>
    <n v="9"/>
    <n v="2024"/>
    <s v="Đông Bắc Bộ"/>
    <s v="Doanh nghiệp"/>
    <x v="0"/>
    <s v="F"/>
    <n v="187.063636"/>
  </r>
  <r>
    <s v="NAN"/>
    <s v="Công ty 82"/>
    <s v="DVKT"/>
    <n v="20816364"/>
    <d v="2024-09-01T00:00:00"/>
    <n v="9"/>
    <n v="2024"/>
    <s v="Bắc Trung Bộ"/>
    <s v="Doanh nghiệp"/>
    <x v="1"/>
    <s v="C"/>
    <n v="20.816364"/>
  </r>
  <r>
    <s v="HCM"/>
    <s v="Công ty 90"/>
    <s v="ICT"/>
    <n v="49304545"/>
    <d v="2024-09-01T00:00:00"/>
    <n v="9"/>
    <n v="2024"/>
    <s v="Đông Nam Bộ"/>
    <s v="Doanh nghiệp"/>
    <x v="0"/>
    <s v="A"/>
    <n v="49.304544999999997"/>
  </r>
  <r>
    <s v="QNI"/>
    <s v="Công ty 2"/>
    <s v="DVKT"/>
    <n v="5007299675"/>
    <d v="2024-09-01T00:00:00"/>
    <n v="9"/>
    <n v="2024"/>
    <s v="Duyên hải Nam Trung Bộ"/>
    <s v="Doanh nghiệp"/>
    <x v="1"/>
    <s v="Q"/>
    <n v="5007.2996750000002"/>
  </r>
  <r>
    <s v="DTP"/>
    <s v="Công ty 6"/>
    <s v="ICT"/>
    <n v="70460000"/>
    <d v="2024-09-01T00:00:00"/>
    <n v="9"/>
    <n v="2024"/>
    <s v="ĐB Sông Cửu Long"/>
    <s v="Doanh nghiệp"/>
    <x v="0"/>
    <s v="B"/>
    <n v="70.459999999999994"/>
  </r>
  <r>
    <s v="BDH"/>
    <s v="Công ty 26"/>
    <s v="ICT"/>
    <n v="165790909"/>
    <d v="2024-09-01T00:00:00"/>
    <n v="9"/>
    <n v="2024"/>
    <s v="Duyên hải Nam Trung Bộ"/>
    <s v="Doanh nghiệp"/>
    <x v="1"/>
    <s v="A"/>
    <n v="165.790909"/>
  </r>
  <r>
    <s v="VPC"/>
    <s v="Công ty 38"/>
    <s v="DVKT"/>
    <n v="27490909"/>
    <d v="2024-09-01T00:00:00"/>
    <n v="9"/>
    <n v="2024"/>
    <s v="ĐB Sông Hồng"/>
    <s v="Doanh nghiệp"/>
    <x v="0"/>
    <s v="D"/>
    <n v="27.490908999999998"/>
  </r>
  <r>
    <s v="NTN"/>
    <s v="Công ty 61"/>
    <s v="ME"/>
    <n v="120778182"/>
    <d v="2024-09-01T00:00:00"/>
    <n v="9"/>
    <n v="2024"/>
    <s v="Duyên hải Nam Trung Bộ"/>
    <s v="Doanh nghiệp"/>
    <x v="1"/>
    <s v="C"/>
    <n v="120.778182"/>
  </r>
  <r>
    <s v="VPC"/>
    <s v="Công ty 76"/>
    <s v="NLMT"/>
    <n v="753737891"/>
    <d v="2024-09-01T00:00:00"/>
    <n v="9"/>
    <n v="2024"/>
    <s v="ĐB Sông Hồng"/>
    <s v="Doanh nghiệp"/>
    <x v="0"/>
    <s v="D"/>
    <n v="753.73789099999999"/>
  </r>
  <r>
    <s v="KGG"/>
    <s v="Công ty 78"/>
    <s v="ME"/>
    <n v="52272727"/>
    <d v="2024-09-01T00:00:00"/>
    <n v="9"/>
    <n v="2024"/>
    <s v="ĐB Sông Cửu Long"/>
    <s v="Doanh nghiệp"/>
    <x v="1"/>
    <s v="C"/>
    <n v="52.272727000000003"/>
  </r>
  <r>
    <s v="KGG"/>
    <s v="Công ty 79"/>
    <s v="ME"/>
    <n v="115000000"/>
    <d v="2024-09-01T00:00:00"/>
    <n v="9"/>
    <n v="2024"/>
    <s v="ĐB Sông Cửu Long"/>
    <s v="Doanh nghiệp"/>
    <x v="0"/>
    <s v="C"/>
    <n v="115"/>
  </r>
  <r>
    <s v="VTU"/>
    <s v="Công ty 84"/>
    <s v="NLMT"/>
    <n v="1614996632"/>
    <d v="2024-09-01T00:00:00"/>
    <n v="9"/>
    <n v="2024"/>
    <s v="Đông Nam Bộ"/>
    <s v="Doanh nghiệp"/>
    <x v="1"/>
    <s v="D"/>
    <n v="1614.9966320000001"/>
  </r>
  <r>
    <s v="HDG"/>
    <s v="Công ty 99"/>
    <s v="NLMT"/>
    <n v="86504545"/>
    <d v="2024-09-01T00:00:00"/>
    <n v="9"/>
    <n v="2024"/>
    <s v="ĐB Sông Hồng"/>
    <s v="Doanh nghiệp"/>
    <x v="0"/>
    <s v="D"/>
    <n v="86.504544999999993"/>
  </r>
  <r>
    <s v="GLI"/>
    <s v="Công ty 12"/>
    <s v="NLMT"/>
    <n v="36380000"/>
    <d v="2024-09-01T00:00:00"/>
    <n v="9"/>
    <n v="2024"/>
    <s v="Tây Nguyên"/>
    <s v="Doanh nghiệp"/>
    <x v="1"/>
    <s v="K"/>
    <n v="36.380000000000003"/>
  </r>
  <r>
    <s v="HCM"/>
    <s v="Công ty 41"/>
    <s v="ICT"/>
    <n v="187414748"/>
    <d v="2024-09-01T00:00:00"/>
    <n v="9"/>
    <n v="2024"/>
    <s v="Đông Nam Bộ"/>
    <s v="Doanh nghiệp"/>
    <x v="0"/>
    <s v="B"/>
    <n v="187.414748"/>
  </r>
  <r>
    <s v="TGG"/>
    <s v="Công ty 96"/>
    <s v="NLMT"/>
    <n v="20863636"/>
    <d v="2024-09-01T00:00:00"/>
    <n v="9"/>
    <n v="2024"/>
    <s v="ĐB Sông Cửu Long"/>
    <s v="Doanh nghiệp"/>
    <x v="1"/>
    <s v="D"/>
    <n v="20.863636"/>
  </r>
  <r>
    <s v="TGG"/>
    <s v="Công ty 97"/>
    <s v="DVKT"/>
    <n v="19636364"/>
    <d v="2024-09-01T00:00:00"/>
    <n v="9"/>
    <n v="2024"/>
    <s v="ĐB Sông Cửu Long"/>
    <s v="Doanh nghiệp"/>
    <x v="0"/>
    <s v="D"/>
    <n v="19.636364"/>
  </r>
  <r>
    <s v="HNM"/>
    <s v="Công ty 17"/>
    <s v="DVKT"/>
    <n v="56869091"/>
    <d v="2024-09-01T00:00:00"/>
    <n v="9"/>
    <n v="2024"/>
    <s v="ĐB Sông Hồng"/>
    <s v="Doanh nghiệp"/>
    <x v="1"/>
    <s v="B"/>
    <n v="56.869090999999997"/>
  </r>
  <r>
    <s v="BTN"/>
    <s v="Công ty 31"/>
    <s v="ICT"/>
    <n v="25763000"/>
    <d v="2024-09-01T00:00:00"/>
    <n v="9"/>
    <n v="2024"/>
    <s v="Duyên hải Nam Trung Bộ"/>
    <s v="Doanh nghiệp"/>
    <x v="0"/>
    <s v="A"/>
    <n v="25.763000000000002"/>
  </r>
  <r>
    <s v="BPC"/>
    <s v="Công ty 60"/>
    <s v="ME"/>
    <n v="58534815"/>
    <d v="2024-09-01T00:00:00"/>
    <n v="9"/>
    <n v="2024"/>
    <s v="Đông Nam Bộ"/>
    <s v="Doanh nghiệp"/>
    <x v="1"/>
    <s v="E"/>
    <n v="58.534815000000002"/>
  </r>
  <r>
    <s v="BPC"/>
    <s v="Công ty 57"/>
    <s v="ICT"/>
    <n v="29626545"/>
    <d v="2024-09-01T00:00:00"/>
    <n v="9"/>
    <n v="2024"/>
    <s v="Đông Nam Bộ"/>
    <s v="Doanh nghiệp"/>
    <x v="0"/>
    <s v="A"/>
    <n v="29.626545"/>
  </r>
  <r>
    <s v="DNG"/>
    <s v="Công ty 13"/>
    <s v="NLMT"/>
    <n v="565447636"/>
    <d v="2024-09-01T00:00:00"/>
    <n v="9"/>
    <n v="2024"/>
    <s v="Duyên hải Nam Trung Bộ"/>
    <s v="Doanh nghiệp"/>
    <x v="1"/>
    <s v="D"/>
    <n v="565.44763599999999"/>
  </r>
  <r>
    <s v="BPC"/>
    <s v="Công ty 39"/>
    <s v="ME"/>
    <n v="63454545"/>
    <d v="2024-09-01T00:00:00"/>
    <n v="9"/>
    <n v="2024"/>
    <s v="Đông Nam Bộ"/>
    <s v="Doanh nghiệp"/>
    <x v="0"/>
    <s v="C"/>
    <n v="63.454545000000003"/>
  </r>
  <r>
    <s v="GLI"/>
    <s v="Công ty 93"/>
    <s v="NLMT"/>
    <n v="79015455"/>
    <d v="2024-09-01T00:00:00"/>
    <n v="9"/>
    <n v="2024"/>
    <s v="Tây Nguyên"/>
    <s v="Doanh nghiệp"/>
    <x v="1"/>
    <s v="D"/>
    <n v="79.015455000000003"/>
  </r>
  <r>
    <s v="QNI"/>
    <s v="Công ty 5"/>
    <s v="ICT"/>
    <n v="22564000"/>
    <d v="2024-09-01T00:00:00"/>
    <n v="9"/>
    <n v="2024"/>
    <s v="Duyên hải Nam Trung Bộ"/>
    <s v="Doanh nghiệp"/>
    <x v="0"/>
    <s v="B"/>
    <n v="22.564"/>
  </r>
  <r>
    <s v="HUG"/>
    <s v="Công ty 47"/>
    <s v="ICT"/>
    <n v="80420000"/>
    <d v="2024-09-01T00:00:00"/>
    <n v="9"/>
    <n v="2024"/>
    <s v="ĐB Sông Cửu Long"/>
    <s v="Doanh nghiệp"/>
    <x v="1"/>
    <s v="B"/>
    <n v="80.42"/>
  </r>
  <r>
    <s v="VLG"/>
    <s v="Công ty 60"/>
    <s v="NLMT"/>
    <n v="243291805"/>
    <d v="2024-09-01T00:00:00"/>
    <n v="9"/>
    <n v="2024"/>
    <s v="ĐB Sông Cửu Long"/>
    <s v="Doanh nghiệp"/>
    <x v="0"/>
    <s v="D"/>
    <n v="243.29180500000001"/>
  </r>
  <r>
    <s v="BPC"/>
    <s v="Công ty 63"/>
    <s v="DVKT"/>
    <n v="6970909"/>
    <d v="2024-09-01T00:00:00"/>
    <n v="9"/>
    <n v="2024"/>
    <s v="Đông Nam Bộ"/>
    <s v="Doanh nghiệp"/>
    <x v="1"/>
    <s v="D"/>
    <n v="6.9709089999999998"/>
  </r>
  <r>
    <s v="LCU"/>
    <s v="Công ty 78"/>
    <s v="ICT"/>
    <n v="108195818"/>
    <d v="2024-09-01T00:00:00"/>
    <n v="9"/>
    <n v="2024"/>
    <s v="Tây Bắc Bộ"/>
    <s v="Doanh nghiệp"/>
    <x v="0"/>
    <s v="B"/>
    <n v="108.195818"/>
  </r>
  <r>
    <s v="LCU"/>
    <s v="Công ty 79"/>
    <s v="Smarthome"/>
    <n v="649359000"/>
    <d v="2024-09-01T00:00:00"/>
    <n v="9"/>
    <n v="2024"/>
    <s v="Tây Bắc Bộ"/>
    <s v="Doanh nghiệp"/>
    <x v="1"/>
    <s v="H"/>
    <n v="649.35900000000004"/>
  </r>
  <r>
    <s v="DNI"/>
    <s v="Công ty 9"/>
    <s v="NLMT"/>
    <n v="487777582"/>
    <d v="2024-09-01T00:00:00"/>
    <n v="9"/>
    <n v="2024"/>
    <s v="Đông Nam Bộ"/>
    <s v="Doanh nghiệp"/>
    <x v="0"/>
    <s v="D"/>
    <n v="487.777582"/>
  </r>
  <r>
    <s v="DNG"/>
    <s v="Công ty 17"/>
    <s v="ICT"/>
    <n v="10971818"/>
    <d v="2024-09-01T00:00:00"/>
    <n v="9"/>
    <n v="2024"/>
    <s v="Duyên hải Nam Trung Bộ"/>
    <s v="Doanh nghiệp"/>
    <x v="1"/>
    <s v="A"/>
    <n v="10.971818000000001"/>
  </r>
  <r>
    <s v="DNI"/>
    <s v="Công ty 52"/>
    <s v="ICT"/>
    <n v="31370000"/>
    <d v="2024-09-01T00:00:00"/>
    <n v="9"/>
    <n v="2024"/>
    <s v="Đông Nam Bộ"/>
    <s v="Doanh nghiệp"/>
    <x v="0"/>
    <s v="B"/>
    <n v="31.37"/>
  </r>
  <r>
    <s v="NAN"/>
    <s v="Công ty 67"/>
    <s v="NLMT"/>
    <n v="350578784"/>
    <d v="2024-09-01T00:00:00"/>
    <n v="9"/>
    <n v="2024"/>
    <s v="Bắc Trung Bộ"/>
    <s v="Doanh nghiệp"/>
    <x v="1"/>
    <s v="D"/>
    <n v="350.57878399999998"/>
  </r>
  <r>
    <s v="STG"/>
    <s v="Công ty 70"/>
    <s v="NLMT"/>
    <n v="268533378"/>
    <d v="2024-09-01T00:00:00"/>
    <n v="9"/>
    <n v="2024"/>
    <s v="ĐB Sông Cửu Long"/>
    <s v="Doanh nghiệp"/>
    <x v="0"/>
    <s v="D"/>
    <n v="268.53337800000003"/>
  </r>
  <r>
    <s v="VPC"/>
    <s v="Công ty 71"/>
    <s v="NLMT"/>
    <n v="136252974"/>
    <d v="2024-09-01T00:00:00"/>
    <n v="9"/>
    <n v="2024"/>
    <s v="ĐB Sông Hồng"/>
    <s v="Doanh nghiệp"/>
    <x v="1"/>
    <s v="D"/>
    <n v="136.25297399999999"/>
  </r>
  <r>
    <s v="BPC"/>
    <s v="Công ty 84"/>
    <s v="ICT"/>
    <n v="39523182"/>
    <d v="2024-09-01T00:00:00"/>
    <n v="9"/>
    <n v="2024"/>
    <s v="Đông Nam Bộ"/>
    <s v="Doanh nghiệp"/>
    <x v="0"/>
    <s v="B"/>
    <n v="39.523181999999998"/>
  </r>
  <r>
    <s v="BTE"/>
    <s v="Công ty 7"/>
    <s v="DVKT"/>
    <n v="428727273"/>
    <d v="2024-09-01T00:00:00"/>
    <n v="9"/>
    <n v="2024"/>
    <s v="ĐB Sông Cửu Long"/>
    <s v="Doanh nghiệp"/>
    <x v="1"/>
    <s v="D"/>
    <n v="428.72727300000003"/>
  </r>
  <r>
    <s v="HNI"/>
    <s v="Công ty 89"/>
    <s v="ICT"/>
    <n v="144751818"/>
    <d v="2024-09-01T00:00:00"/>
    <n v="9"/>
    <n v="2024"/>
    <s v="ĐB Sông Hồng"/>
    <s v="Doanh nghiệp"/>
    <x v="0"/>
    <s v="F"/>
    <n v="144.75181799999999"/>
  </r>
  <r>
    <s v="AGG"/>
    <s v="Công ty 94"/>
    <s v="ICT"/>
    <n v="46800247"/>
    <d v="2024-09-01T00:00:00"/>
    <n v="9"/>
    <n v="2024"/>
    <s v="ĐB Sông Cửu Long"/>
    <s v="Doanh nghiệp"/>
    <x v="1"/>
    <s v="B"/>
    <n v="46.800246999999999"/>
  </r>
  <r>
    <s v="VPC"/>
    <s v="Công ty 4"/>
    <s v="ICT"/>
    <n v="613464340"/>
    <d v="2024-09-01T00:00:00"/>
    <n v="9"/>
    <n v="2024"/>
    <s v="ĐB Sông Hồng"/>
    <s v="Doanh nghiệp"/>
    <x v="0"/>
    <s v="B"/>
    <n v="613.46433999999999"/>
  </r>
  <r>
    <s v="HPG"/>
    <s v="Công ty 14"/>
    <s v="NLMT"/>
    <n v="1052559782"/>
    <d v="2024-09-01T00:00:00"/>
    <n v="9"/>
    <n v="2024"/>
    <s v="ĐB Sông Hồng"/>
    <s v="Doanh nghiệp"/>
    <x v="1"/>
    <s v="D"/>
    <n v="1052.559782"/>
  </r>
  <r>
    <s v="DNG"/>
    <s v="Công ty 25"/>
    <s v="ME"/>
    <n v="84900000"/>
    <d v="2024-09-01T00:00:00"/>
    <n v="9"/>
    <n v="2024"/>
    <s v="Duyên hải Nam Trung Bộ"/>
    <s v="Doanh nghiệp"/>
    <x v="0"/>
    <s v="C"/>
    <n v="84.9"/>
  </r>
  <r>
    <s v="STG"/>
    <s v="Công ty 45"/>
    <s v="ICT"/>
    <n v="37300000"/>
    <d v="2024-09-01T00:00:00"/>
    <n v="9"/>
    <n v="2024"/>
    <s v="ĐB Sông Cửu Long"/>
    <s v="Doanh nghiệp"/>
    <x v="1"/>
    <s v="B"/>
    <n v="37.299999999999997"/>
  </r>
  <r>
    <s v="TGG"/>
    <s v="Công ty 53"/>
    <s v="ME"/>
    <n v="30160300"/>
    <d v="2024-09-01T00:00:00"/>
    <n v="9"/>
    <n v="2024"/>
    <s v="ĐB Sông Cửu Long"/>
    <s v="Doanh nghiệp"/>
    <x v="0"/>
    <s v="M"/>
    <n v="30.160299999999999"/>
  </r>
  <r>
    <s v="TGG"/>
    <s v="Công ty 54"/>
    <s v="ICT"/>
    <n v="28155000"/>
    <d v="2024-09-01T00:00:00"/>
    <n v="9"/>
    <n v="2024"/>
    <s v="ĐB Sông Cửu Long"/>
    <s v="Doanh nghiệp"/>
    <x v="1"/>
    <s v="B"/>
    <n v="28.155000000000001"/>
  </r>
  <r>
    <s v="TGG"/>
    <s v="Công ty 55"/>
    <s v="ICT"/>
    <n v="30160300"/>
    <d v="2024-09-01T00:00:00"/>
    <n v="9"/>
    <n v="2024"/>
    <s v="ĐB Sông Cửu Long"/>
    <s v="Doanh nghiệp"/>
    <x v="0"/>
    <s v="B"/>
    <n v="30.160299999999999"/>
  </r>
  <r>
    <s v="DLK"/>
    <s v="Công ty 95"/>
    <s v="ICT"/>
    <n v="31191636"/>
    <d v="2024-09-01T00:00:00"/>
    <n v="9"/>
    <n v="2024"/>
    <s v="Tây Nguyên"/>
    <s v="Doanh nghiệp"/>
    <x v="1"/>
    <s v="A"/>
    <n v="31.191635999999999"/>
  </r>
  <r>
    <s v="HNM"/>
    <s v="Công ty 93"/>
    <s v="DVKT"/>
    <n v="67618182"/>
    <d v="2024-09-01T00:00:00"/>
    <n v="9"/>
    <n v="2024"/>
    <s v="ĐB Sông Hồng"/>
    <s v="Doanh nghiệp"/>
    <x v="0"/>
    <s v="C"/>
    <n v="67.618182000000004"/>
  </r>
  <r>
    <s v="TGG"/>
    <s v="Công ty 86"/>
    <s v="ICT"/>
    <n v="134999998"/>
    <d v="2024-09-01T00:00:00"/>
    <n v="9"/>
    <n v="2024"/>
    <s v="ĐB Sông Cửu Long"/>
    <s v="Doanh nghiệp"/>
    <x v="1"/>
    <s v="B"/>
    <n v="134.99999800000001"/>
  </r>
  <r>
    <s v="TGG"/>
    <s v="Công ty 87"/>
    <s v="ICT"/>
    <n v="134999998"/>
    <d v="2024-09-01T00:00:00"/>
    <n v="9"/>
    <n v="2024"/>
    <s v="ĐB Sông Cửu Long"/>
    <s v="Doanh nghiệp"/>
    <x v="0"/>
    <s v="B"/>
    <n v="134.99999800000001"/>
  </r>
  <r>
    <s v="DTP"/>
    <s v="Doanh nghiệp 1"/>
    <s v="ICT"/>
    <n v="12320000"/>
    <d v="2024-09-01T00:00:00"/>
    <n v="9"/>
    <n v="2024"/>
    <s v="ĐB Sông Cửu Long"/>
    <s v="Doanh nghiệp"/>
    <x v="1"/>
    <s v="B"/>
    <n v="12.32"/>
  </r>
  <r>
    <s v="HDG"/>
    <s v="Doanh nghiệp 9"/>
    <s v="NLMT"/>
    <n v="95714227"/>
    <d v="2024-09-01T00:00:00"/>
    <n v="9"/>
    <n v="2024"/>
    <s v="ĐB Sông Hồng"/>
    <s v="Doanh nghiệp"/>
    <x v="0"/>
    <s v="D"/>
    <n v="95.714226999999994"/>
  </r>
  <r>
    <s v="VTU"/>
    <s v="Doanh nghiệp 7"/>
    <s v="ME"/>
    <n v="45712260"/>
    <d v="2024-09-01T00:00:00"/>
    <n v="9"/>
    <n v="2024"/>
    <s v="Đông Nam Bộ"/>
    <s v="Doanh nghiệp"/>
    <x v="1"/>
    <s v="C"/>
    <n v="45.712260000000001"/>
  </r>
  <r>
    <s v="DNI"/>
    <s v="Doanh nghiệp 24"/>
    <s v="ME"/>
    <n v="445454545"/>
    <d v="2024-09-01T00:00:00"/>
    <n v="9"/>
    <n v="2024"/>
    <s v="Đông Nam Bộ"/>
    <s v="Doanh nghiệp"/>
    <x v="0"/>
    <s v="N"/>
    <n v="445.454545"/>
  </r>
  <r>
    <s v="CTO"/>
    <s v="Doanh nghiệp 25"/>
    <s v="ICT"/>
    <n v="77272091"/>
    <d v="2024-09-01T00:00:00"/>
    <n v="9"/>
    <n v="2024"/>
    <s v="ĐB Sông Cửu Long"/>
    <s v="Doanh nghiệp"/>
    <x v="1"/>
    <s v="B"/>
    <n v="77.272091000000003"/>
  </r>
  <r>
    <s v="DTP"/>
    <s v="Doanh nghiệp 15"/>
    <s v="ME"/>
    <n v="94363636"/>
    <d v="2024-09-01T00:00:00"/>
    <n v="9"/>
    <n v="2024"/>
    <s v="ĐB Sông Cửu Long"/>
    <s v="Doanh nghiệp"/>
    <x v="0"/>
    <s v="C"/>
    <n v="94.363636"/>
  </r>
  <r>
    <s v="BKN"/>
    <s v="Doanh nghiệp 7"/>
    <s v="ICT"/>
    <n v="13915000"/>
    <d v="2024-09-01T00:00:00"/>
    <n v="9"/>
    <n v="2024"/>
    <s v="Đông Bắc Bộ"/>
    <s v="Doanh nghiệp"/>
    <x v="1"/>
    <s v="T"/>
    <n v="13.914999999999999"/>
  </r>
  <r>
    <s v="BKN"/>
    <s v="Doanh nghiệp 8"/>
    <s v="ICT"/>
    <n v="13915000"/>
    <d v="2024-09-01T00:00:00"/>
    <n v="9"/>
    <n v="2024"/>
    <s v="Đông Bắc Bộ"/>
    <s v="Doanh nghiệp"/>
    <x v="0"/>
    <s v="T"/>
    <n v="13.914999999999999"/>
  </r>
  <r>
    <s v="CTO"/>
    <s v="Doanh nghiệp 23"/>
    <s v="ICT"/>
    <n v="155706055"/>
    <d v="2024-09-01T00:00:00"/>
    <n v="9"/>
    <n v="2024"/>
    <s v="ĐB Sông Cửu Long"/>
    <s v="Doanh nghiệp"/>
    <x v="1"/>
    <s v="B"/>
    <n v="155.70605499999999"/>
  </r>
  <r>
    <s v="CTO"/>
    <s v="Doanh nghiệp 24"/>
    <s v="ICT"/>
    <n v="154810000"/>
    <d v="2024-09-01T00:00:00"/>
    <n v="9"/>
    <n v="2024"/>
    <s v="ĐB Sông Cửu Long"/>
    <s v="Doanh nghiệp"/>
    <x v="0"/>
    <s v="A"/>
    <n v="154.81"/>
  </r>
  <r>
    <s v="HGG"/>
    <s v="Tập đoàn 11"/>
    <s v="ICT"/>
    <n v="80760218"/>
    <d v="2024-09-01T00:00:00"/>
    <n v="9"/>
    <n v="2024"/>
    <s v="Đông Bắc Bộ"/>
    <s v="Doanh nghiệp"/>
    <x v="1"/>
    <s v="A"/>
    <n v="80.760217999999995"/>
  </r>
  <r>
    <s v="KGG"/>
    <s v="Tập đoàn 20"/>
    <s v="ME"/>
    <n v="20181818"/>
    <d v="2024-09-01T00:00:00"/>
    <n v="9"/>
    <n v="2024"/>
    <s v="ĐB Sông Cửu Long"/>
    <s v="Doanh nghiệp"/>
    <x v="0"/>
    <s v="C"/>
    <n v="20.181818"/>
  </r>
  <r>
    <s v="NDH"/>
    <s v="Tập đoàn 49"/>
    <s v="ME"/>
    <n v="18190909"/>
    <d v="2024-09-01T00:00:00"/>
    <n v="9"/>
    <n v="2024"/>
    <s v="ĐB Sông Hồng"/>
    <s v="Doanh nghiệp"/>
    <x v="1"/>
    <s v="C"/>
    <n v="18.190909000000001"/>
  </r>
  <r>
    <s v="NAN"/>
    <s v="Tập đoàn 69"/>
    <s v="DVKT"/>
    <n v="19440000"/>
    <d v="2024-09-01T00:00:00"/>
    <n v="9"/>
    <n v="2024"/>
    <s v="Bắc Trung Bộ"/>
    <s v="Doanh nghiệp"/>
    <x v="0"/>
    <s v="O"/>
    <n v="19.440000000000001"/>
  </r>
  <r>
    <s v="NAN"/>
    <s v="Tập đoàn 70"/>
    <s v="DVKT"/>
    <n v="38118182"/>
    <d v="2024-09-01T00:00:00"/>
    <n v="9"/>
    <n v="2024"/>
    <s v="Bắc Trung Bộ"/>
    <s v="Doanh nghiệp"/>
    <x v="1"/>
    <s v="C"/>
    <n v="38.118181999999997"/>
  </r>
  <r>
    <s v="QNI"/>
    <s v="Tập đoàn 88"/>
    <s v="ME"/>
    <n v="229640000"/>
    <d v="2024-09-01T00:00:00"/>
    <n v="9"/>
    <n v="2024"/>
    <s v="Duyên hải Nam Trung Bộ"/>
    <s v="Doanh nghiệp"/>
    <x v="0"/>
    <s v="C"/>
    <n v="229.64"/>
  </r>
  <r>
    <s v="STG"/>
    <s v="Tập đoàn 91"/>
    <s v="ICT"/>
    <n v="14850000"/>
    <d v="2024-09-01T00:00:00"/>
    <n v="9"/>
    <n v="2024"/>
    <s v="ĐB Sông Cửu Long"/>
    <s v="Doanh nghiệp"/>
    <x v="1"/>
    <s v="B"/>
    <n v="14.85"/>
  </r>
  <r>
    <s v="STG"/>
    <s v="Tập đoàn 92"/>
    <s v="ICT"/>
    <n v="49500000"/>
    <d v="2024-09-01T00:00:00"/>
    <n v="9"/>
    <n v="2024"/>
    <s v="ĐB Sông Cửu Long"/>
    <s v="Doanh nghiệp"/>
    <x v="0"/>
    <s v="B"/>
    <n v="49.5"/>
  </r>
  <r>
    <s v="TBH"/>
    <s v="Tập đoàn 82"/>
    <s v="ICT"/>
    <n v="3243352000"/>
    <d v="2024-09-01T00:00:00"/>
    <n v="9"/>
    <n v="2024"/>
    <s v="ĐB Sông Hồng"/>
    <s v="Doanh nghiệp"/>
    <x v="1"/>
    <s v="F"/>
    <n v="3243.3519999999999"/>
  </r>
  <r>
    <s v="TVH"/>
    <s v="Tập đoàn 88"/>
    <s v="ICT"/>
    <n v="74645455"/>
    <d v="2024-09-01T00:00:00"/>
    <n v="9"/>
    <n v="2024"/>
    <s v="ĐB Sông Cửu Long"/>
    <s v="Doanh nghiệp"/>
    <x v="0"/>
    <s v="F"/>
    <n v="74.645454999999998"/>
  </r>
  <r>
    <s v="TNN"/>
    <s v="Tập đoàn 93"/>
    <s v="NLMT"/>
    <n v="145620455"/>
    <d v="2024-09-01T00:00:00"/>
    <n v="9"/>
    <n v="2024"/>
    <s v="Đông Bắc Bộ"/>
    <s v="Doanh nghiệp"/>
    <x v="1"/>
    <s v="D"/>
    <n v="145.62045499999999"/>
  </r>
  <r>
    <s v="BGG"/>
    <s v="Tập đoàn 94"/>
    <s v="ME"/>
    <n v="7750000"/>
    <d v="2024-09-01T00:00:00"/>
    <n v="9"/>
    <n v="2024"/>
    <s v="Đông Bắc Bộ"/>
    <s v="Doanh nghiệp"/>
    <x v="0"/>
    <s v="O"/>
    <n v="7.75"/>
  </r>
  <r>
    <s v="DBN"/>
    <s v="Tập đoàn 91"/>
    <s v="NLMT"/>
    <n v="36363636"/>
    <d v="2024-09-01T00:00:00"/>
    <n v="9"/>
    <n v="2024"/>
    <s v="Tây Bắc Bộ"/>
    <s v="Doanh nghiệp"/>
    <x v="1"/>
    <s v="K"/>
    <n v="36.363636"/>
  </r>
  <r>
    <s v="TQG"/>
    <s v="Tập đoàn 92"/>
    <s v="ME"/>
    <n v="18000000"/>
    <d v="2024-09-01T00:00:00"/>
    <n v="9"/>
    <n v="2024"/>
    <s v="Đông Bắc Bộ"/>
    <s v="Doanh nghiệp"/>
    <x v="0"/>
    <s v="Q"/>
    <n v="18"/>
  </r>
  <r>
    <s v="TQG"/>
    <s v="Tập đoàn 93"/>
    <s v="ME"/>
    <n v="16200000"/>
    <d v="2024-09-01T00:00:00"/>
    <n v="9"/>
    <n v="2024"/>
    <s v="Đông Bắc Bộ"/>
    <s v="Doanh nghiệp"/>
    <x v="1"/>
    <s v="C"/>
    <n v="16.2"/>
  </r>
  <r>
    <s v="TQG"/>
    <s v="Tập đoàn 93"/>
    <s v="DVKT"/>
    <n v="26396182"/>
    <d v="2024-09-01T00:00:00"/>
    <n v="9"/>
    <n v="2024"/>
    <s v="Đông Bắc Bộ"/>
    <s v="Doanh nghiệp"/>
    <x v="0"/>
    <s v="C"/>
    <n v="26.396182"/>
  </r>
  <r>
    <s v="TQG"/>
    <s v="Tập đoàn 94"/>
    <s v="ME"/>
    <n v="13100000"/>
    <d v="2024-09-01T00:00:00"/>
    <n v="9"/>
    <n v="2024"/>
    <s v="Đông Bắc Bộ"/>
    <s v="Doanh nghiệp"/>
    <x v="1"/>
    <s v="C"/>
    <n v="13.1"/>
  </r>
  <r>
    <s v="TQG"/>
    <s v="Tập đoàn 91"/>
    <s v="ME"/>
    <n v="12800000"/>
    <d v="2024-09-01T00:00:00"/>
    <n v="9"/>
    <n v="2024"/>
    <s v="Đông Bắc Bộ"/>
    <s v="Doanh nghiệp"/>
    <x v="0"/>
    <s v="Q"/>
    <n v="12.8"/>
  </r>
  <r>
    <s v="TQG"/>
    <s v="Tập đoàn 92"/>
    <s v="ME"/>
    <n v="12000000"/>
    <d v="2024-09-01T00:00:00"/>
    <n v="9"/>
    <n v="2024"/>
    <s v="Đông Bắc Bộ"/>
    <s v="Doanh nghiệp"/>
    <x v="1"/>
    <s v="L"/>
    <n v="12"/>
  </r>
  <r>
    <s v="TQG"/>
    <s v="Tập đoàn 93"/>
    <s v="ME"/>
    <n v="14300000"/>
    <d v="2024-09-01T00:00:00"/>
    <n v="9"/>
    <n v="2024"/>
    <s v="Đông Bắc Bộ"/>
    <s v="Doanh nghiệp"/>
    <x v="0"/>
    <s v="C"/>
    <n v="14.3"/>
  </r>
  <r>
    <s v="TQG"/>
    <s v="Tập đoàn 94"/>
    <s v="DVKT"/>
    <n v="18000000"/>
    <d v="2024-09-01T00:00:00"/>
    <n v="9"/>
    <n v="2024"/>
    <s v="Đông Bắc Bộ"/>
    <s v="Doanh nghiệp"/>
    <x v="1"/>
    <s v="C"/>
    <n v="18"/>
  </r>
  <r>
    <s v="DBN"/>
    <s v="Công ty 78"/>
    <s v="NLMT"/>
    <n v="8334545"/>
    <d v="2024-09-01T00:00:00"/>
    <n v="9"/>
    <n v="2024"/>
    <s v="Tây Bắc Bộ"/>
    <s v="Doanh nghiệp"/>
    <x v="0"/>
    <s v="K"/>
    <n v="8.3345450000000003"/>
  </r>
  <r>
    <s v="DBN"/>
    <s v="Công ty 79"/>
    <s v="NLMT"/>
    <n v="217636364"/>
    <d v="2024-09-01T00:00:00"/>
    <n v="9"/>
    <n v="2024"/>
    <s v="Tây Bắc Bộ"/>
    <s v="Doanh nghiệp"/>
    <x v="1"/>
    <s v="K"/>
    <n v="217.63636399999999"/>
  </r>
  <r>
    <s v="DBN"/>
    <s v="Công ty 80"/>
    <s v="NLMT"/>
    <n v="6818182"/>
    <d v="2024-09-01T00:00:00"/>
    <n v="9"/>
    <n v="2024"/>
    <s v="Tây Bắc Bộ"/>
    <s v="Doanh nghiệp"/>
    <x v="0"/>
    <s v="K"/>
    <n v="6.8181820000000002"/>
  </r>
  <r>
    <s v="DBN"/>
    <s v="Công ty 81"/>
    <s v="NLMT"/>
    <n v="18145455"/>
    <d v="2024-09-01T00:00:00"/>
    <n v="9"/>
    <n v="2024"/>
    <s v="Tây Bắc Bộ"/>
    <s v="Doanh nghiệp"/>
    <x v="1"/>
    <s v="K"/>
    <n v="18.145454999999998"/>
  </r>
  <r>
    <s v="DBN"/>
    <s v="Công ty 82"/>
    <s v="NLMT"/>
    <n v="99800000"/>
    <d v="2024-09-01T00:00:00"/>
    <n v="9"/>
    <n v="2024"/>
    <s v="Tây Bắc Bộ"/>
    <s v="Doanh nghiệp"/>
    <x v="0"/>
    <s v="K"/>
    <n v="99.8"/>
  </r>
  <r>
    <s v="DBN"/>
    <s v="Công ty 83"/>
    <s v="NLMT"/>
    <n v="54436364"/>
    <d v="2024-09-01T00:00:00"/>
    <n v="9"/>
    <n v="2024"/>
    <s v="Tây Bắc Bộ"/>
    <s v="Doanh nghiệp"/>
    <x v="1"/>
    <s v="K"/>
    <n v="54.436363999999998"/>
  </r>
  <r>
    <s v="HGG"/>
    <s v="CÔNG AN HUYỆN ĐỒNG VĂN"/>
    <s v="ICT"/>
    <n v="36363636"/>
    <d v="2024-09-01T00:00:00"/>
    <n v="9"/>
    <n v="2024"/>
    <s v="Đông Bắc Bộ"/>
    <s v="Sở ban ngành"/>
    <x v="0"/>
    <s v="B"/>
    <n v="36.363636"/>
  </r>
  <r>
    <s v="HGG"/>
    <s v="CÔNG AN HUYỆN ĐỒNG VĂN"/>
    <s v="ICT"/>
    <n v="36363636"/>
    <d v="2024-09-01T00:00:00"/>
    <n v="9"/>
    <n v="2024"/>
    <s v="Đông Bắc Bộ"/>
    <s v="Sở ban ngành"/>
    <x v="1"/>
    <s v="B"/>
    <n v="36.363636"/>
  </r>
  <r>
    <s v="BGG"/>
    <s v="CÔNG AN HUYỆN VIỆT YÊN"/>
    <s v="ICT"/>
    <n v="41100000"/>
    <d v="2024-09-01T00:00:00"/>
    <n v="9"/>
    <n v="2024"/>
    <s v="Đông Bắc Bộ"/>
    <s v="Sở ban ngành"/>
    <x v="0"/>
    <s v="B"/>
    <n v="41.1"/>
  </r>
  <r>
    <s v="BGG"/>
    <s v="CÔNG AN HUYỆN VIỆT YÊN"/>
    <s v="ICT"/>
    <n v="90800000"/>
    <d v="2024-09-01T00:00:00"/>
    <n v="9"/>
    <n v="2024"/>
    <s v="Đông Bắc Bộ"/>
    <s v="Sở ban ngành"/>
    <x v="1"/>
    <s v="B"/>
    <n v="90.8"/>
  </r>
  <r>
    <s v="TQG"/>
    <s v="CÔNG AN TỈNH TUYÊN QUANG"/>
    <s v="DVKT"/>
    <n v="58753636"/>
    <d v="2024-09-01T00:00:00"/>
    <n v="9"/>
    <n v="2024"/>
    <s v="Đông Bắc Bộ"/>
    <s v="Sở ban ngành"/>
    <x v="0"/>
    <s v="L"/>
    <n v="58.753636"/>
  </r>
  <r>
    <s v="BKN"/>
    <s v="Công ty 10"/>
    <s v="NLMT"/>
    <n v="36256364"/>
    <d v="2024-09-01T00:00:00"/>
    <n v="9"/>
    <n v="2024"/>
    <s v="Đông Bắc Bộ"/>
    <s v="Doanh nghiệp"/>
    <x v="1"/>
    <s v="K"/>
    <n v="36.256363999999998"/>
  </r>
  <r>
    <s v="BKN"/>
    <s v="Công ty 16"/>
    <s v="NLMT"/>
    <n v="36256364"/>
    <d v="2024-09-01T00:00:00"/>
    <n v="9"/>
    <n v="2024"/>
    <s v="Đông Bắc Bộ"/>
    <s v="Doanh nghiệp"/>
    <x v="0"/>
    <s v="K"/>
    <n v="36.256363999999998"/>
  </r>
  <r>
    <s v="BKN"/>
    <s v="Công ty 17"/>
    <s v="NLMT"/>
    <n v="36256364"/>
    <d v="2024-09-01T00:00:00"/>
    <n v="9"/>
    <n v="2024"/>
    <s v="Đông Bắc Bộ"/>
    <s v="Doanh nghiệp"/>
    <x v="1"/>
    <s v="K"/>
    <n v="36.256363999999998"/>
  </r>
  <r>
    <s v="BKN"/>
    <s v="Công ty 19"/>
    <s v="NLMT"/>
    <n v="36281818"/>
    <d v="2024-09-01T00:00:00"/>
    <n v="9"/>
    <n v="2024"/>
    <s v="Đông Bắc Bộ"/>
    <s v="Doanh nghiệp"/>
    <x v="0"/>
    <s v="K"/>
    <n v="36.281818000000001"/>
  </r>
  <r>
    <s v="BKN"/>
    <s v="Công ty 20"/>
    <s v="NLMT"/>
    <n v="36281818"/>
    <d v="2024-09-01T00:00:00"/>
    <n v="9"/>
    <n v="2024"/>
    <s v="Đông Bắc Bộ"/>
    <s v="Doanh nghiệp"/>
    <x v="1"/>
    <s v="K"/>
    <n v="36.281818000000001"/>
  </r>
  <r>
    <s v="DBN"/>
    <s v="Công ty 99"/>
    <s v="NLMT"/>
    <n v="36363636"/>
    <d v="2024-09-01T00:00:00"/>
    <n v="9"/>
    <n v="2024"/>
    <s v="Tây Bắc Bộ"/>
    <s v="Doanh nghiệp"/>
    <x v="0"/>
    <s v="K"/>
    <n v="36.363636"/>
  </r>
  <r>
    <s v="DBN"/>
    <s v="Công ty 100"/>
    <s v="NLMT"/>
    <n v="36363636"/>
    <d v="2024-09-01T00:00:00"/>
    <n v="9"/>
    <n v="2024"/>
    <s v="Tây Bắc Bộ"/>
    <s v="Doanh nghiệp"/>
    <x v="1"/>
    <s v="K"/>
    <n v="36.363636"/>
  </r>
  <r>
    <s v="BKN"/>
    <s v="ĐOÀN TNCS HỒ CHÍ MINH TỈNH BẮC KẠN"/>
    <s v="NLMT"/>
    <n v="87159091"/>
    <d v="2024-09-01T00:00:00"/>
    <n v="9"/>
    <n v="2024"/>
    <s v="Đông Bắc Bộ"/>
    <s v="Sở ban ngành"/>
    <x v="0"/>
    <s v="K"/>
    <n v="87.159091000000004"/>
  </r>
  <r>
    <s v="DCN"/>
    <s v="Công ty 21"/>
    <s v="ICT"/>
    <n v="145454545"/>
    <d v="2024-09-01T00:00:00"/>
    <n v="9"/>
    <n v="2024"/>
    <s v="Tây Nguyên"/>
    <s v="Doanh nghiệp"/>
    <x v="1"/>
    <s v="F"/>
    <n v="145.454545"/>
  </r>
  <r>
    <s v="DBN"/>
    <s v="Công ty 21"/>
    <s v="NLMT"/>
    <n v="36363636"/>
    <d v="2024-09-01T00:00:00"/>
    <n v="9"/>
    <n v="2024"/>
    <s v="Tây Bắc Bộ"/>
    <s v="Doanh nghiệp"/>
    <x v="0"/>
    <s v="K"/>
    <n v="36.363636"/>
  </r>
  <r>
    <s v="QNM"/>
    <s v="PHÒNG VĂN HOÁ THÔNG TIN"/>
    <s v="ICT"/>
    <n v="1020500000"/>
    <d v="2024-09-01T00:00:00"/>
    <n v="9"/>
    <n v="2024"/>
    <s v="Duyên hải Nam Trung Bộ"/>
    <s v="Sở ban ngành"/>
    <x v="1"/>
    <s v="T"/>
    <n v="1020.5"/>
  </r>
  <r>
    <s v="CBG"/>
    <s v="PHÒNG VĂN HOÁ THÔNG TIN HUYỆN HÀ QUẢNG"/>
    <s v="ICT"/>
    <n v="927657273"/>
    <d v="2024-09-01T00:00:00"/>
    <n v="9"/>
    <n v="2024"/>
    <s v="Đông Bắc Bộ"/>
    <s v="Sở ban ngành"/>
    <x v="0"/>
    <s v="P"/>
    <n v="927.65727300000003"/>
  </r>
  <r>
    <s v="SLA"/>
    <s v="PHÒNG VĂN HÓA VÀ THÔNG TIN"/>
    <s v="ICT"/>
    <n v="635737273"/>
    <d v="2024-09-01T00:00:00"/>
    <n v="9"/>
    <n v="2024"/>
    <s v="Tây Bắc Bộ"/>
    <s v="Sở ban ngành"/>
    <x v="1"/>
    <s v="T"/>
    <n v="635.73727299999996"/>
  </r>
  <r>
    <s v="BDH"/>
    <s v="PHÒNG VĂN HÓA VÀ THÔNG TIN HUYỆN TÂY SƠN"/>
    <s v="ICT"/>
    <n v="27136364"/>
    <d v="2024-09-01T00:00:00"/>
    <n v="9"/>
    <n v="2024"/>
    <s v="Duyên hải Nam Trung Bộ"/>
    <s v="Sở ban ngành"/>
    <x v="0"/>
    <s v="T"/>
    <n v="27.136364"/>
  </r>
  <r>
    <s v="GLI"/>
    <s v="Thôn Khối Dố"/>
    <s v="NLMT"/>
    <n v="12600000"/>
    <d v="2024-09-01T00:00:00"/>
    <n v="9"/>
    <n v="2024"/>
    <s v="Tây Nguyên"/>
    <s v="Sở ban ngành"/>
    <x v="1"/>
    <s v="K"/>
    <n v="12.6"/>
  </r>
  <r>
    <s v="QNH"/>
    <s v="TRUNG TÂM ĐIỀU DƯỠNG NGƯỜI CÓ CÔNG TỈNH QUẢNG NINH"/>
    <s v="ME"/>
    <n v="411271723"/>
    <d v="2024-09-01T00:00:00"/>
    <n v="9"/>
    <n v="2024"/>
    <s v="Đông Bắc Bộ"/>
    <s v="Sở ban ngành"/>
    <x v="0"/>
    <s v="C"/>
    <n v="411.27172300000001"/>
  </r>
  <r>
    <s v="HUE"/>
    <s v="TRUNG TÂM GIÁM SÁT ĐIỀU HÀNH ĐÔ THỊ THÔNG MINH TỈNH THỪA THIÊN HUẾ"/>
    <s v="DVKT"/>
    <n v="27272727"/>
    <d v="2024-09-01T00:00:00"/>
    <n v="9"/>
    <n v="2024"/>
    <s v="Bắc Trung Bộ"/>
    <s v="Sở ban ngành"/>
    <x v="1"/>
    <s v="E"/>
    <n v="27.272727"/>
  </r>
  <r>
    <s v="THA"/>
    <s v="TRUNG TÂM VĂN HOÁ, THÔNG TIN, THỂ THAO VÀ DU LỊCH TP SẦM SƠN"/>
    <s v="Smarthome"/>
    <n v="74900000"/>
    <d v="2024-09-01T00:00:00"/>
    <n v="9"/>
    <n v="2024"/>
    <s v="Bắc Trung Bộ"/>
    <s v="Sở ban ngành"/>
    <x v="0"/>
    <s v="U"/>
    <n v="74.900000000000006"/>
  </r>
  <r>
    <s v="PTO"/>
    <s v="Trung tâm y tế huyện Tân Sơn"/>
    <s v="ME"/>
    <n v="24103636"/>
    <d v="2024-09-01T00:00:00"/>
    <n v="9"/>
    <n v="2024"/>
    <s v="Đông Bắc Bộ"/>
    <s v="Sở ban ngành"/>
    <x v="1"/>
    <s v="C"/>
    <n v="24.103636000000002"/>
  </r>
  <r>
    <s v="LCU"/>
    <s v="UBND SƠN LAI"/>
    <s v="NLMT"/>
    <n v="69476727"/>
    <d v="2024-09-01T00:00:00"/>
    <n v="9"/>
    <n v="2024"/>
    <s v="Tây Bắc Bộ"/>
    <s v="Sở ban ngành"/>
    <x v="0"/>
    <s v="K"/>
    <n v="69.476726999999997"/>
  </r>
  <r>
    <s v="QNM"/>
    <s v="UBND XÃ CÀ DY"/>
    <s v="ME"/>
    <n v="88461818"/>
    <d v="2024-09-01T00:00:00"/>
    <n v="9"/>
    <n v="2024"/>
    <s v="Duyên hải Nam Trung Bộ"/>
    <s v="Sở ban ngành"/>
    <x v="1"/>
    <s v="Q"/>
    <n v="88.461817999999994"/>
  </r>
  <r>
    <s v="PYN"/>
    <s v="UBND XÃ ĐỨC BÌNH ĐÔNG"/>
    <s v="DVKT"/>
    <n v="645376305"/>
    <d v="2024-09-01T00:00:00"/>
    <n v="9"/>
    <n v="2024"/>
    <s v="Duyên hải Nam Trung Bộ"/>
    <s v="Sở ban ngành"/>
    <x v="0"/>
    <s v="E"/>
    <n v="645.376305"/>
  </r>
  <r>
    <s v="TQG"/>
    <s v="UBND XÃ HOÀ AN"/>
    <s v="ICT"/>
    <n v="15635909"/>
    <d v="2024-09-01T00:00:00"/>
    <n v="9"/>
    <n v="2024"/>
    <s v="Đông Bắc Bộ"/>
    <s v="Sở ban ngành"/>
    <x v="1"/>
    <s v="B"/>
    <n v="15.635909"/>
  </r>
  <r>
    <s v="PYN"/>
    <s v="UBND XÃ HÒA TÂN TÂY"/>
    <s v="NLMT"/>
    <n v="38763636"/>
    <d v="2024-09-01T00:00:00"/>
    <n v="9"/>
    <n v="2024"/>
    <s v="Duyên hải Nam Trung Bộ"/>
    <s v="Sở ban ngành"/>
    <x v="0"/>
    <s v="K"/>
    <n v="38.763635999999998"/>
  </r>
  <r>
    <s v="BGG"/>
    <s v="UBND xã Ngọc Lý"/>
    <s v="ICT"/>
    <n v="21900000"/>
    <d v="2024-09-01T00:00:00"/>
    <n v="9"/>
    <n v="2024"/>
    <s v="Đông Bắc Bộ"/>
    <s v="Sở ban ngành"/>
    <x v="1"/>
    <s v="F"/>
    <n v="21.9"/>
  </r>
  <r>
    <s v="VTU"/>
    <s v="ỦY BAN NHÂN DÂN XÃ BÀU CHINH"/>
    <s v="ICT"/>
    <n v="23263636"/>
    <d v="2024-09-01T00:00:00"/>
    <n v="9"/>
    <n v="2024"/>
    <s v="Đông Nam Bộ"/>
    <s v="Sở ban ngành"/>
    <x v="0"/>
    <s v="A"/>
    <n v="23.263636000000002"/>
  </r>
  <r>
    <s v="TVH"/>
    <s v="Ủy Ban Nhân Dân Xã Đông Hải"/>
    <s v="ICT"/>
    <n v="40047545"/>
    <d v="2024-09-01T00:00:00"/>
    <n v="9"/>
    <n v="2024"/>
    <s v="ĐB Sông Cửu Long"/>
    <s v="Sở ban ngành"/>
    <x v="1"/>
    <s v="B"/>
    <n v="40.047545"/>
  </r>
  <r>
    <s v="PTO"/>
    <s v="Ủy Ban Nhân Dân Xã Hương Nộn"/>
    <s v="ICT"/>
    <n v="24083000"/>
    <d v="2024-09-01T00:00:00"/>
    <n v="9"/>
    <n v="2024"/>
    <s v="Đông Bắc Bộ"/>
    <s v="Sở ban ngành"/>
    <x v="0"/>
    <s v="A"/>
    <n v="24.082999999999998"/>
  </r>
  <r>
    <s v="CBG"/>
    <s v="UỶ BAN NHÂN DÂN XÃ LÝ QUỐC"/>
    <s v="NLMT"/>
    <n v="36237455"/>
    <d v="2024-09-01T00:00:00"/>
    <n v="9"/>
    <n v="2024"/>
    <s v="Đông Bắc Bộ"/>
    <s v="Sở ban ngành"/>
    <x v="1"/>
    <s v="K"/>
    <n v="36.237454999999997"/>
  </r>
  <r>
    <s v="PTO"/>
    <s v="Ủy Ban Nhân Dân Xã Minh Đài"/>
    <s v="ICT"/>
    <n v="41711189"/>
    <d v="2024-09-01T00:00:00"/>
    <n v="9"/>
    <n v="2024"/>
    <s v="Đông Bắc Bộ"/>
    <s v="Sở ban ngành"/>
    <x v="0"/>
    <s v="B"/>
    <n v="41.711188999999997"/>
  </r>
  <r>
    <s v="PTO"/>
    <s v="Ủy Ban Nhân Dân Xã Minh Đài"/>
    <s v="ICT"/>
    <n v="66808614"/>
    <d v="2024-09-01T00:00:00"/>
    <n v="9"/>
    <n v="2024"/>
    <s v="Đông Bắc Bộ"/>
    <s v="Sở ban ngành"/>
    <x v="1"/>
    <s v="B"/>
    <n v="66.808614000000006"/>
  </r>
  <r>
    <s v="PTO"/>
    <s v="UỶ BAN NHÂN DÂN XÃ MINH TÂN"/>
    <s v="NLMT"/>
    <n v="641312727"/>
    <d v="2024-09-01T00:00:00"/>
    <n v="9"/>
    <n v="2024"/>
    <s v="Đông Bắc Bộ"/>
    <s v="Sở ban ngành"/>
    <x v="0"/>
    <s v="K"/>
    <n v="641.312727"/>
  </r>
  <r>
    <s v="NTN"/>
    <s v="Ủy Ban Nhân Dân Xã Phước Nam"/>
    <s v="ME"/>
    <n v="81775636"/>
    <d v="2024-09-01T00:00:00"/>
    <n v="9"/>
    <n v="2024"/>
    <s v="Duyên hải Nam Trung Bộ"/>
    <s v="Sở ban ngành"/>
    <x v="1"/>
    <s v="L"/>
    <n v="81.775636000000006"/>
  </r>
  <r>
    <s v="PTO"/>
    <s v="Ủy Ban Nhân Dân Xã Tân Phú"/>
    <s v="ICT"/>
    <n v="19692624"/>
    <d v="2024-09-01T00:00:00"/>
    <n v="9"/>
    <n v="2024"/>
    <s v="Đông Bắc Bộ"/>
    <s v="Sở ban ngành"/>
    <x v="0"/>
    <s v="B"/>
    <n v="19.692623999999999"/>
  </r>
  <r>
    <s v="KHA"/>
    <s v="Uỷ Ban Nhân Dân Xã Vạn Bình"/>
    <s v="NLMT"/>
    <n v="18181818"/>
    <d v="2024-09-01T00:00:00"/>
    <n v="9"/>
    <n v="2024"/>
    <s v="Duyên hải Nam Trung Bộ"/>
    <s v="Sở ban ngành"/>
    <x v="1"/>
    <s v="K"/>
    <n v="18.181818"/>
  </r>
  <r>
    <s v="HUE"/>
    <s v="VĂN PHÒNG HĐND VÀ UBND HUYỆN NAM ĐÔNG"/>
    <s v="ICT"/>
    <n v="169090909"/>
    <d v="2024-09-01T00:00:00"/>
    <n v="9"/>
    <n v="2024"/>
    <s v="Bắc Trung Bộ"/>
    <s v="Sở ban ngành"/>
    <x v="0"/>
    <s v="B"/>
    <n v="169.09090900000001"/>
  </r>
  <r>
    <s v="BGG"/>
    <s v="Văn Phòng Hđnd Và Ubnd Huyện Tân Yên"/>
    <s v="ICT"/>
    <n v="122781818"/>
    <d v="2024-09-01T00:00:00"/>
    <n v="9"/>
    <n v="2024"/>
    <s v="Đông Bắc Bộ"/>
    <s v="Sở ban ngành"/>
    <x v="1"/>
    <s v="B"/>
    <n v="122.781818"/>
  </r>
  <r>
    <s v="STG"/>
    <s v="Văn Phòng Hội Đồng Nhân Dân - Uỷ Ban Nhân Dân Tp. Sóc Trăng"/>
    <s v="DVKT"/>
    <n v="22500000"/>
    <d v="2024-09-01T00:00:00"/>
    <n v="9"/>
    <n v="2024"/>
    <s v="ĐB Sông Cửu Long"/>
    <s v="Sở ban ngành"/>
    <x v="0"/>
    <s v="B"/>
    <n v="22.5"/>
  </r>
  <r>
    <s v="HUG"/>
    <s v="Viễn Thông Hậu Giang"/>
    <s v="ME"/>
    <n v="356504132"/>
    <d v="2024-09-01T00:00:00"/>
    <n v="9"/>
    <n v="2024"/>
    <s v="ĐB Sông Cửu Long"/>
    <s v="Sở ban ngành"/>
    <x v="1"/>
    <s v="C"/>
    <n v="356.50413200000003"/>
  </r>
  <r>
    <s v="HUG"/>
    <s v="TRƯỜNG ĐẠI HỌC TÀI CHÍNH MARKETING"/>
    <s v="ME"/>
    <n v="270772727"/>
    <d v="2024-09-01T00:00:00"/>
    <n v="9"/>
    <n v="2024"/>
    <s v="ĐB Sông Cửu Long"/>
    <s v="Trường học"/>
    <x v="0"/>
    <s v="O"/>
    <n v="270.77272699999997"/>
  </r>
  <r>
    <s v="BDG"/>
    <s v="Trường Đại Học Thủ Dầu Một"/>
    <s v="ME"/>
    <n v="3381818182"/>
    <d v="2024-09-01T00:00:00"/>
    <n v="9"/>
    <n v="2024"/>
    <s v="Đông Nam Bộ"/>
    <s v="Trường học"/>
    <x v="1"/>
    <s v="C"/>
    <n v="3381.818182"/>
  </r>
  <r>
    <s v="NAN"/>
    <s v="TRƯỜNG MẦM NON NAM KIM"/>
    <s v="ICT"/>
    <n v="16832013"/>
    <d v="2024-09-01T00:00:00"/>
    <n v="9"/>
    <n v="2024"/>
    <s v="Bắc Trung Bộ"/>
    <s v="Trường học"/>
    <x v="0"/>
    <s v="B"/>
    <n v="16.832013"/>
  </r>
  <r>
    <s v="DTP"/>
    <s v="Trường Mầm Non Phú Thành B"/>
    <s v="ICT"/>
    <n v="22272727"/>
    <d v="2024-09-01T00:00:00"/>
    <n v="9"/>
    <n v="2024"/>
    <s v="ĐB Sông Cửu Long"/>
    <s v="Trường học"/>
    <x v="1"/>
    <s v="B"/>
    <n v="22.272727"/>
  </r>
  <r>
    <s v="NAN"/>
    <s v="TRƯỜNG MẦM NON QUỲNH ĐÔI"/>
    <s v="ICT"/>
    <n v="10409091"/>
    <d v="2024-09-01T00:00:00"/>
    <n v="9"/>
    <n v="2024"/>
    <s v="Bắc Trung Bộ"/>
    <s v="Trường học"/>
    <x v="0"/>
    <s v="A"/>
    <n v="10.409091"/>
  </r>
  <r>
    <s v="TVH"/>
    <s v="TRƯỜNG MẦM NON TUỔI THƠ"/>
    <s v="DVKT"/>
    <n v="6127273"/>
    <d v="2024-09-01T00:00:00"/>
    <n v="9"/>
    <n v="2024"/>
    <s v="ĐB Sông Cửu Long"/>
    <s v="Trường học"/>
    <x v="1"/>
    <s v="A"/>
    <n v="6.1272729999999997"/>
  </r>
  <r>
    <s v="LCU"/>
    <s v="TRƯỜNG MẦM NON XÃ CAN HỒ"/>
    <s v="ICT"/>
    <n v="8941818"/>
    <d v="2024-09-01T00:00:00"/>
    <n v="9"/>
    <n v="2024"/>
    <s v="Tây Bắc Bộ"/>
    <s v="Trường học"/>
    <x v="0"/>
    <s v="B"/>
    <n v="8.9418179999999996"/>
  </r>
  <r>
    <s v="SLA"/>
    <s v="Trường Phổ Thông Trung Học Quỳnh Nhai"/>
    <s v="ICT"/>
    <n v="45159091"/>
    <d v="2024-09-01T00:00:00"/>
    <n v="9"/>
    <n v="2024"/>
    <s v="Tây Bắc Bộ"/>
    <s v="Trường học"/>
    <x v="1"/>
    <s v="A"/>
    <n v="45.159090999999997"/>
  </r>
  <r>
    <s v="TVH"/>
    <s v="Trường Tểu Học Phong Thạnh A"/>
    <s v="DVKT"/>
    <n v="5563182"/>
    <d v="2024-09-01T00:00:00"/>
    <n v="9"/>
    <n v="2024"/>
    <s v="ĐB Sông Cửu Long"/>
    <s v="Trường học"/>
    <x v="0"/>
    <s v="A"/>
    <n v="5.5631820000000003"/>
  </r>
  <r>
    <s v="BKN"/>
    <s v="TRƯỜNG TH &amp;THCS KIM LƯ"/>
    <s v="NLMT"/>
    <n v="4936364"/>
    <d v="2024-09-01T00:00:00"/>
    <n v="9"/>
    <n v="2024"/>
    <s v="Đông Bắc Bộ"/>
    <s v="Trường học"/>
    <x v="1"/>
    <s v="K"/>
    <n v="4.9363640000000002"/>
  </r>
  <r>
    <s v="BKN"/>
    <s v="TRƯỜNG TH &amp;THCS KIM LƯ"/>
    <s v="NLMT"/>
    <n v="4936364"/>
    <d v="2024-09-01T00:00:00"/>
    <n v="9"/>
    <n v="2024"/>
    <s v="Đông Bắc Bộ"/>
    <s v="Trường học"/>
    <x v="0"/>
    <s v="K"/>
    <n v="4.9363640000000002"/>
  </r>
  <r>
    <s v="QNI"/>
    <s v="TRƯỜNG THPT SỐ 2 MỘ ĐỨC"/>
    <s v="ICT"/>
    <n v="23050909"/>
    <d v="2024-09-01T00:00:00"/>
    <n v="9"/>
    <n v="2024"/>
    <s v="Duyên hải Nam Trung Bộ"/>
    <s v="Trường học"/>
    <x v="1"/>
    <s v="B"/>
    <n v="23.050909000000001"/>
  </r>
  <r>
    <s v="NAN"/>
    <s v="TRƯỜNG TIỂU HỌC CẦU GIÁT"/>
    <s v="Smarthome"/>
    <n v="45272727"/>
    <d v="2024-09-01T00:00:00"/>
    <n v="9"/>
    <n v="2024"/>
    <s v="Bắc Trung Bộ"/>
    <s v="Trường học"/>
    <x v="0"/>
    <s v="H"/>
    <n v="45.272727000000003"/>
  </r>
  <r>
    <s v="NAN"/>
    <s v="TRƯỜNG TIỂU HỌC HƯNG ĐÔNG"/>
    <s v="DVKT"/>
    <n v="19104545"/>
    <d v="2024-09-01T00:00:00"/>
    <n v="9"/>
    <n v="2024"/>
    <s v="Bắc Trung Bộ"/>
    <s v="Trường học"/>
    <x v="1"/>
    <s v="A"/>
    <n v="19.104545000000002"/>
  </r>
  <r>
    <s v="DTP"/>
    <s v="TRƯỜNG TIỂU HỌC LÝ THƯỜNG KIỆT"/>
    <s v="ICT"/>
    <n v="155309091"/>
    <d v="2024-09-01T00:00:00"/>
    <n v="9"/>
    <n v="2024"/>
    <s v="ĐB Sông Cửu Long"/>
    <s v="Trường học"/>
    <x v="0"/>
    <s v="B"/>
    <n v="155.309091"/>
  </r>
  <r>
    <s v="NAN"/>
    <s v="TRƯỜNG TIỂU HỌC QUỲNH GIANG"/>
    <s v="Smarthome"/>
    <n v="29727273"/>
    <d v="2024-09-01T00:00:00"/>
    <n v="9"/>
    <n v="2024"/>
    <s v="Bắc Trung Bộ"/>
    <s v="Trường học"/>
    <x v="1"/>
    <s v="H"/>
    <n v="29.727273"/>
  </r>
  <r>
    <s v="NAN"/>
    <s v="Trường Tiểu Học Quỳnh Long"/>
    <s v="ICT"/>
    <n v="13629091"/>
    <d v="2024-09-01T00:00:00"/>
    <n v="9"/>
    <n v="2024"/>
    <s v="Bắc Trung Bộ"/>
    <s v="Trường học"/>
    <x v="0"/>
    <s v="A"/>
    <n v="13.629091000000001"/>
  </r>
  <r>
    <s v="KHA"/>
    <s v="Trường Tiểu Học Số 3 Ninh Hiệp"/>
    <s v="ICT"/>
    <n v="30101005"/>
    <d v="2024-09-01T00:00:00"/>
    <n v="9"/>
    <n v="2024"/>
    <s v="Duyên hải Nam Trung Bộ"/>
    <s v="Trường học"/>
    <x v="1"/>
    <s v="A"/>
    <n v="30.101005000000001"/>
  </r>
  <r>
    <s v="DNG"/>
    <s v="TRƯỜNG TIỂU HỌC, TRUNG HỌC CƠ SỞ VÀ TRUNG HỌC PHỔ THÔNG ANH QUỐC"/>
    <s v="ME"/>
    <n v="27172727"/>
    <d v="2024-09-01T00:00:00"/>
    <n v="9"/>
    <n v="2024"/>
    <s v="Duyên hải Nam Trung Bộ"/>
    <s v="Trường học"/>
    <x v="0"/>
    <s v="C"/>
    <n v="27.172726999999998"/>
  </r>
  <r>
    <s v="TVH"/>
    <s v="TRƯỜNG TRUNG HỌC CƠ SỞ VINH KIM"/>
    <s v="DVKT"/>
    <n v="11625455"/>
    <d v="2024-09-01T00:00:00"/>
    <n v="9"/>
    <n v="2024"/>
    <s v="ĐB Sông Cửu Long"/>
    <s v="Trường học"/>
    <x v="1"/>
    <s v="A"/>
    <n v="11.625455000000001"/>
  </r>
  <r>
    <s v="PTO"/>
    <s v="Trường Trung Học Sơ Sở Tam Thanh"/>
    <s v="ICT"/>
    <n v="83636364"/>
    <d v="2024-09-01T00:00:00"/>
    <n v="9"/>
    <n v="2024"/>
    <s v="Đông Bắc Bộ"/>
    <s v="Trường học"/>
    <x v="0"/>
    <s v="F"/>
    <n v="83.636364"/>
  </r>
  <r>
    <s v="TNN"/>
    <s v="Bệnh viện A Thái Nguyên"/>
    <s v="DVKT"/>
    <n v="33106909"/>
    <d v="2024-10-01T00:00:00"/>
    <n v="10"/>
    <n v="2024"/>
    <s v="Đông Bắc Bộ"/>
    <s v="Bệnh viện"/>
    <x v="1"/>
    <s v="Q"/>
    <n v="33.106909000000002"/>
  </r>
  <r>
    <s v="YBI"/>
    <s v="Bệnh viện đa khoa tỉnh Yên Bái"/>
    <s v="DVKT"/>
    <n v="77304545"/>
    <d v="2024-10-01T00:00:00"/>
    <n v="10"/>
    <n v="2024"/>
    <s v="Tây Bắc Bộ"/>
    <s v="Bệnh viện"/>
    <x v="0"/>
    <s v="C"/>
    <n v="77.304545000000005"/>
  </r>
  <r>
    <s v="NAN"/>
    <s v="Bệnh Viện Y Học Cổ Truyền Nghệ An"/>
    <s v="DVKT"/>
    <n v="41145455"/>
    <d v="2024-10-01T00:00:00"/>
    <n v="10"/>
    <n v="2024"/>
    <s v="Bắc Trung Bộ"/>
    <s v="Bệnh viện"/>
    <x v="1"/>
    <s v="C"/>
    <n v="41.145454999999998"/>
  </r>
  <r>
    <s v="LCU"/>
    <s v="BỆNH VIỆN Y HỌC CỔ TRUYỀN TỈNH LAI CHÂU"/>
    <s v="ME"/>
    <n v="90632727"/>
    <d v="2024-10-01T00:00:00"/>
    <n v="10"/>
    <n v="2024"/>
    <s v="Tây Bắc Bộ"/>
    <s v="Bệnh viện"/>
    <x v="0"/>
    <s v="C"/>
    <n v="90.632727000000003"/>
  </r>
  <r>
    <s v="PTO"/>
    <s v="Công ty 1"/>
    <s v="ICT"/>
    <n v="454500000"/>
    <d v="2024-10-01T00:00:00"/>
    <n v="10"/>
    <n v="2024"/>
    <s v="Đông Bắc Bộ"/>
    <s v="Doanh nghiệp"/>
    <x v="1"/>
    <s v="F"/>
    <n v="454.5"/>
  </r>
  <r>
    <s v="DBN"/>
    <s v="Công ty 1"/>
    <s v="NLMT"/>
    <n v="36363636"/>
    <d v="2024-10-01T00:00:00"/>
    <n v="10"/>
    <n v="2024"/>
    <s v="Tây Bắc Bộ"/>
    <s v="Doanh nghiệp"/>
    <x v="0"/>
    <s v="K"/>
    <n v="36.363636"/>
  </r>
  <r>
    <s v="NAN"/>
    <s v="Công ty 5"/>
    <s v="DVKT"/>
    <n v="17424545"/>
    <d v="2024-10-01T00:00:00"/>
    <n v="10"/>
    <n v="2024"/>
    <s v="Bắc Trung Bộ"/>
    <s v="Doanh nghiệp"/>
    <x v="1"/>
    <s v="C"/>
    <n v="17.424544999999998"/>
  </r>
  <r>
    <s v="BPC"/>
    <s v="Công ty 12"/>
    <s v="ICT"/>
    <n v="4923191"/>
    <d v="2024-10-01T00:00:00"/>
    <n v="10"/>
    <n v="2024"/>
    <s v="Đông Nam Bộ"/>
    <s v="Doanh nghiệp"/>
    <x v="0"/>
    <s v="A"/>
    <n v="4.9231910000000001"/>
  </r>
  <r>
    <s v="BPC"/>
    <s v="Công ty 13"/>
    <s v="ICT"/>
    <n v="5386598"/>
    <d v="2024-10-01T00:00:00"/>
    <n v="10"/>
    <n v="2024"/>
    <s v="Đông Nam Bộ"/>
    <s v="Doanh nghiệp"/>
    <x v="1"/>
    <s v="A"/>
    <n v="5.3865980000000002"/>
  </r>
  <r>
    <s v="BDG"/>
    <s v="Công ty 29"/>
    <s v="NLMT"/>
    <n v="2837000208"/>
    <d v="2024-10-01T00:00:00"/>
    <n v="10"/>
    <n v="2024"/>
    <s v="Đông Nam Bộ"/>
    <s v="Doanh nghiệp"/>
    <x v="0"/>
    <s v="D"/>
    <n v="2837.0002079999999"/>
  </r>
  <r>
    <s v="HNI"/>
    <s v="Công ty 44"/>
    <s v="ICT"/>
    <n v="174390000"/>
    <d v="2024-10-01T00:00:00"/>
    <n v="10"/>
    <n v="2024"/>
    <s v="ĐB Sông Hồng"/>
    <s v="Doanh nghiệp"/>
    <x v="1"/>
    <s v="F"/>
    <n v="174.39"/>
  </r>
  <r>
    <s v="HNI"/>
    <s v="Công ty 96"/>
    <s v="ICT"/>
    <n v="136181818"/>
    <d v="2024-10-01T00:00:00"/>
    <n v="10"/>
    <n v="2024"/>
    <s v="ĐB Sông Hồng"/>
    <s v="Doanh nghiệp"/>
    <x v="0"/>
    <s v="F"/>
    <n v="136.18181799999999"/>
  </r>
  <r>
    <s v="HDG"/>
    <s v="Công ty 26"/>
    <s v="ICT"/>
    <n v="33863636"/>
    <d v="2024-10-01T00:00:00"/>
    <n v="10"/>
    <n v="2024"/>
    <s v="ĐB Sông Hồng"/>
    <s v="Doanh nghiệp"/>
    <x v="1"/>
    <s v="F"/>
    <n v="33.863636"/>
  </r>
  <r>
    <s v="LSN"/>
    <s v="Công ty 29"/>
    <s v="ICT"/>
    <n v="20920000"/>
    <d v="2024-10-01T00:00:00"/>
    <n v="10"/>
    <n v="2024"/>
    <s v="Đông Bắc Bộ"/>
    <s v="Doanh nghiệp"/>
    <x v="0"/>
    <s v="B"/>
    <n v="20.92"/>
  </r>
  <r>
    <s v="HCM"/>
    <s v="Công ty 56"/>
    <s v="DVKT"/>
    <n v="75763706"/>
    <d v="2024-10-01T00:00:00"/>
    <n v="10"/>
    <n v="2024"/>
    <s v="Đông Nam Bộ"/>
    <s v="Doanh nghiệp"/>
    <x v="1"/>
    <s v="D"/>
    <n v="75.763705999999999"/>
  </r>
  <r>
    <s v="DNG"/>
    <s v="Công ty 65"/>
    <s v="DVKT"/>
    <n v="85200000"/>
    <d v="2024-10-01T00:00:00"/>
    <n v="10"/>
    <n v="2024"/>
    <s v="Duyên hải Nam Trung Bộ"/>
    <s v="Doanh nghiệp"/>
    <x v="0"/>
    <s v="F"/>
    <n v="85.2"/>
  </r>
  <r>
    <s v="DNG"/>
    <s v="Công ty 66"/>
    <s v="ICT"/>
    <n v="361827273"/>
    <d v="2024-10-01T00:00:00"/>
    <n v="10"/>
    <n v="2024"/>
    <s v="Duyên hải Nam Trung Bộ"/>
    <s v="Doanh nghiệp"/>
    <x v="1"/>
    <s v="F"/>
    <n v="361.82727299999999"/>
  </r>
  <r>
    <s v="HCM"/>
    <s v="Công ty 92"/>
    <s v="DVKT"/>
    <n v="17573660"/>
    <d v="2024-10-01T00:00:00"/>
    <n v="10"/>
    <n v="2024"/>
    <s v="Đông Nam Bộ"/>
    <s v="Doanh nghiệp"/>
    <x v="0"/>
    <s v="H"/>
    <n v="17.57366"/>
  </r>
  <r>
    <s v="LSN"/>
    <s v="Công ty 45"/>
    <s v="ICT"/>
    <n v="356632360"/>
    <d v="2024-10-01T00:00:00"/>
    <n v="10"/>
    <n v="2024"/>
    <s v="Đông Bắc Bộ"/>
    <s v="Doanh nghiệp"/>
    <x v="1"/>
    <s v="T"/>
    <n v="356.63236000000001"/>
  </r>
  <r>
    <s v="LSN"/>
    <s v="Công ty 46"/>
    <s v="ICT"/>
    <n v="654146245"/>
    <d v="2024-10-01T00:00:00"/>
    <n v="10"/>
    <n v="2024"/>
    <s v="Đông Bắc Bộ"/>
    <s v="Doanh nghiệp"/>
    <x v="0"/>
    <s v="A"/>
    <n v="654.14624500000002"/>
  </r>
  <r>
    <s v="TQG"/>
    <s v="Công ty 49"/>
    <s v="DVKT"/>
    <n v="73829035"/>
    <d v="2024-10-01T00:00:00"/>
    <n v="10"/>
    <n v="2024"/>
    <s v="Đông Bắc Bộ"/>
    <s v="Doanh nghiệp"/>
    <x v="1"/>
    <s v="C"/>
    <n v="73.829035000000005"/>
  </r>
  <r>
    <s v="TQG"/>
    <s v="Công ty 50"/>
    <s v="DVKT"/>
    <n v="16300000"/>
    <d v="2024-10-01T00:00:00"/>
    <n v="10"/>
    <n v="2024"/>
    <s v="Đông Bắc Bộ"/>
    <s v="Doanh nghiệp"/>
    <x v="0"/>
    <s v="O"/>
    <n v="16.3"/>
  </r>
  <r>
    <s v="TQG"/>
    <s v="Công ty 51"/>
    <s v="DVKT"/>
    <n v="207959545"/>
    <d v="2024-10-01T00:00:00"/>
    <n v="10"/>
    <n v="2024"/>
    <s v="Đông Bắc Bộ"/>
    <s v="Doanh nghiệp"/>
    <x v="1"/>
    <s v="C"/>
    <n v="207.95954499999999"/>
  </r>
  <r>
    <s v="DNI"/>
    <s v="Công ty 55"/>
    <s v="ME"/>
    <n v="1614720567"/>
    <d v="2024-10-01T00:00:00"/>
    <n v="10"/>
    <n v="2024"/>
    <s v="Đông Nam Bộ"/>
    <s v="Doanh nghiệp"/>
    <x v="0"/>
    <s v="E"/>
    <n v="1614.7205670000001"/>
  </r>
  <r>
    <s v="HUE"/>
    <s v="Công ty 87"/>
    <s v="NLMT"/>
    <n v="4475073158"/>
    <d v="2024-10-01T00:00:00"/>
    <n v="10"/>
    <n v="2024"/>
    <s v="Bắc Trung Bộ"/>
    <s v="Doanh nghiệp"/>
    <x v="1"/>
    <s v="D"/>
    <n v="4475.0731580000001"/>
  </r>
  <r>
    <s v="AGG"/>
    <s v="Công ty 99"/>
    <s v="ICT"/>
    <n v="29607164"/>
    <d v="2024-10-01T00:00:00"/>
    <n v="10"/>
    <n v="2024"/>
    <s v="ĐB Sông Cửu Long"/>
    <s v="Doanh nghiệp"/>
    <x v="0"/>
    <s v="A"/>
    <n v="29.607164000000001"/>
  </r>
  <r>
    <s v="NDH"/>
    <s v="Công ty 16"/>
    <s v="NLMT"/>
    <n v="1666687373"/>
    <d v="2024-10-01T00:00:00"/>
    <n v="10"/>
    <n v="2024"/>
    <s v="ĐB Sông Hồng"/>
    <s v="Doanh nghiệp"/>
    <x v="1"/>
    <s v="D"/>
    <n v="1666.687373"/>
  </r>
  <r>
    <s v="DBN"/>
    <s v="Công ty 32"/>
    <s v="ME"/>
    <n v="52052727"/>
    <d v="2024-10-01T00:00:00"/>
    <n v="10"/>
    <n v="2024"/>
    <s v="Tây Bắc Bộ"/>
    <s v="Doanh nghiệp"/>
    <x v="0"/>
    <s v="C"/>
    <n v="52.052726999999997"/>
  </r>
  <r>
    <s v="LAN"/>
    <s v="Công ty 46"/>
    <s v="ME"/>
    <n v="51540000"/>
    <d v="2024-10-01T00:00:00"/>
    <n v="10"/>
    <n v="2024"/>
    <s v="ĐB Sông Cửu Long"/>
    <s v="Doanh nghiệp"/>
    <x v="1"/>
    <s v="C"/>
    <n v="51.54"/>
  </r>
  <r>
    <s v="NAN"/>
    <s v="Công ty 53"/>
    <s v="NLMT"/>
    <n v="84225455"/>
    <d v="2024-10-01T00:00:00"/>
    <n v="10"/>
    <n v="2024"/>
    <s v="Bắc Trung Bộ"/>
    <s v="Doanh nghiệp"/>
    <x v="0"/>
    <s v="D"/>
    <n v="84.225454999999997"/>
  </r>
  <r>
    <s v="HNI"/>
    <s v="Công ty 67"/>
    <s v="DVKT"/>
    <n v="37900000"/>
    <d v="2024-10-01T00:00:00"/>
    <n v="10"/>
    <n v="2024"/>
    <s v="ĐB Sông Hồng"/>
    <s v="Doanh nghiệp"/>
    <x v="1"/>
    <s v="C"/>
    <n v="37.9"/>
  </r>
  <r>
    <s v="HNI"/>
    <s v="Công ty 68"/>
    <s v="DVKT"/>
    <n v="62537000"/>
    <d v="2024-10-01T00:00:00"/>
    <n v="10"/>
    <n v="2024"/>
    <s v="ĐB Sông Hồng"/>
    <s v="Doanh nghiệp"/>
    <x v="0"/>
    <s v="C"/>
    <n v="62.536999999999999"/>
  </r>
  <r>
    <s v="HNI"/>
    <s v="Công ty 69"/>
    <s v="DVKT"/>
    <n v="54216000"/>
    <d v="2024-10-01T00:00:00"/>
    <n v="10"/>
    <n v="2024"/>
    <s v="ĐB Sông Hồng"/>
    <s v="Doanh nghiệp"/>
    <x v="1"/>
    <s v="C"/>
    <n v="54.216000000000001"/>
  </r>
  <r>
    <s v="NBH"/>
    <s v="Công ty 80"/>
    <s v="ICT"/>
    <n v="409428149"/>
    <d v="2024-10-01T00:00:00"/>
    <n v="10"/>
    <n v="2024"/>
    <s v="ĐB Sông Hồng"/>
    <s v="Doanh nghiệp"/>
    <x v="0"/>
    <s v="B"/>
    <n v="409.42814900000002"/>
  </r>
  <r>
    <s v="PTO"/>
    <s v="Công ty 91"/>
    <s v="ME"/>
    <n v="25393000"/>
    <d v="2024-10-01T00:00:00"/>
    <n v="10"/>
    <n v="2024"/>
    <s v="Đông Bắc Bộ"/>
    <s v="Doanh nghiệp"/>
    <x v="1"/>
    <s v="L"/>
    <n v="25.393000000000001"/>
  </r>
  <r>
    <s v="PTO"/>
    <s v="Công ty 92"/>
    <s v="ICT"/>
    <n v="320886147"/>
    <d v="2024-10-01T00:00:00"/>
    <n v="10"/>
    <n v="2024"/>
    <s v="Đông Bắc Bộ"/>
    <s v="Doanh nghiệp"/>
    <x v="0"/>
    <s v="A"/>
    <n v="320.88614699999999"/>
  </r>
  <r>
    <s v="NAN"/>
    <s v="Công ty 2"/>
    <s v="ICT"/>
    <n v="25851818"/>
    <d v="2024-10-01T00:00:00"/>
    <n v="10"/>
    <n v="2024"/>
    <s v="Bắc Trung Bộ"/>
    <s v="Doanh nghiệp"/>
    <x v="1"/>
    <s v="B"/>
    <n v="25.851818000000002"/>
  </r>
  <r>
    <s v="LCI"/>
    <s v="Công ty 19"/>
    <s v="ME"/>
    <n v="27241818"/>
    <d v="2024-10-01T00:00:00"/>
    <n v="10"/>
    <n v="2024"/>
    <s v="Tây Bắc Bộ"/>
    <s v="Doanh nghiệp"/>
    <x v="0"/>
    <s v="C"/>
    <n v="27.241817999999999"/>
  </r>
  <r>
    <s v="HDG"/>
    <s v="Công ty 44"/>
    <s v="NLMT"/>
    <n v="119718055"/>
    <d v="2024-10-01T00:00:00"/>
    <n v="10"/>
    <n v="2024"/>
    <s v="ĐB Sông Hồng"/>
    <s v="Doanh nghiệp"/>
    <x v="1"/>
    <s v="D"/>
    <n v="119.71805500000001"/>
  </r>
  <r>
    <s v="QTI"/>
    <s v="Công ty 73"/>
    <s v="ME"/>
    <n v="12657196858"/>
    <d v="2024-10-01T00:00:00"/>
    <n v="10"/>
    <n v="2024"/>
    <s v="Bắc Trung Bộ"/>
    <s v="Doanh nghiệp"/>
    <x v="0"/>
    <s v="E"/>
    <n v="12657.196857999999"/>
  </r>
  <r>
    <s v="BGG"/>
    <s v="Công ty 74"/>
    <s v="NLMT"/>
    <n v="229458182"/>
    <d v="2024-10-01T00:00:00"/>
    <n v="10"/>
    <n v="2024"/>
    <s v="Đông Bắc Bộ"/>
    <s v="Doanh nghiệp"/>
    <x v="1"/>
    <s v="D"/>
    <n v="229.45818199999999"/>
  </r>
  <r>
    <s v="DLK"/>
    <s v="Công ty 76"/>
    <s v="ICT"/>
    <n v="20308545"/>
    <d v="2024-10-01T00:00:00"/>
    <n v="10"/>
    <n v="2024"/>
    <s v="Tây Nguyên"/>
    <s v="Doanh nghiệp"/>
    <x v="0"/>
    <s v="B"/>
    <n v="20.308544999999999"/>
  </r>
  <r>
    <s v="NAN"/>
    <s v="Công ty 94"/>
    <s v="ICT"/>
    <n v="12600000"/>
    <d v="2024-10-01T00:00:00"/>
    <n v="10"/>
    <n v="2024"/>
    <s v="Bắc Trung Bộ"/>
    <s v="Doanh nghiệp"/>
    <x v="1"/>
    <s v="F"/>
    <n v="12.6"/>
  </r>
  <r>
    <s v="TBH"/>
    <s v="Công ty 14"/>
    <s v="NLMT"/>
    <n v="7732441872"/>
    <d v="2024-10-01T00:00:00"/>
    <n v="10"/>
    <n v="2024"/>
    <s v="ĐB Sông Hồng"/>
    <s v="Doanh nghiệp"/>
    <x v="0"/>
    <s v="D"/>
    <n v="7732.4418720000003"/>
  </r>
  <r>
    <s v="HNM"/>
    <s v="Công ty 18"/>
    <s v="ICT"/>
    <n v="81788182"/>
    <d v="2024-10-01T00:00:00"/>
    <n v="10"/>
    <n v="2024"/>
    <s v="ĐB Sông Hồng"/>
    <s v="Doanh nghiệp"/>
    <x v="1"/>
    <s v="B"/>
    <n v="81.788182000000006"/>
  </r>
  <r>
    <s v="HUG"/>
    <s v="Công ty 32"/>
    <s v="DVKT"/>
    <n v="25181818"/>
    <d v="2024-10-01T00:00:00"/>
    <n v="10"/>
    <n v="2024"/>
    <s v="ĐB Sông Cửu Long"/>
    <s v="Doanh nghiệp"/>
    <x v="0"/>
    <s v="C"/>
    <n v="25.181818"/>
  </r>
  <r>
    <s v="HUG"/>
    <s v="Công ty 33"/>
    <s v="DVKT"/>
    <n v="35454545"/>
    <d v="2024-10-01T00:00:00"/>
    <n v="10"/>
    <n v="2024"/>
    <s v="ĐB Sông Cửu Long"/>
    <s v="Doanh nghiệp"/>
    <x v="1"/>
    <s v="C"/>
    <n v="35.454545000000003"/>
  </r>
  <r>
    <s v="LCI"/>
    <s v="Công ty 40"/>
    <s v="ICT"/>
    <n v="86024400"/>
    <d v="2024-10-01T00:00:00"/>
    <n v="10"/>
    <n v="2024"/>
    <s v="Tây Bắc Bộ"/>
    <s v="Doanh nghiệp"/>
    <x v="0"/>
    <s v="F"/>
    <n v="86.0244"/>
  </r>
  <r>
    <s v="LCI"/>
    <s v="Công ty 41"/>
    <s v="ME"/>
    <n v="34506364"/>
    <d v="2024-10-01T00:00:00"/>
    <n v="10"/>
    <n v="2024"/>
    <s v="Tây Bắc Bộ"/>
    <s v="Doanh nghiệp"/>
    <x v="1"/>
    <s v="C"/>
    <n v="34.506363999999998"/>
  </r>
  <r>
    <s v="LCI"/>
    <s v="Công ty 42"/>
    <s v="ICT"/>
    <n v="1006354545"/>
    <d v="2024-10-01T00:00:00"/>
    <n v="10"/>
    <n v="2024"/>
    <s v="Tây Bắc Bộ"/>
    <s v="Doanh nghiệp"/>
    <x v="0"/>
    <s v="F"/>
    <n v="1006.354545"/>
  </r>
  <r>
    <s v="HDG"/>
    <s v="Công ty 79"/>
    <s v="NLMT"/>
    <n v="436007733"/>
    <d v="2024-10-01T00:00:00"/>
    <n v="10"/>
    <n v="2024"/>
    <s v="ĐB Sông Hồng"/>
    <s v="Doanh nghiệp"/>
    <x v="1"/>
    <s v="D"/>
    <n v="436.00773299999997"/>
  </r>
  <r>
    <s v="AGG"/>
    <s v="Công ty 2"/>
    <s v="ICT"/>
    <n v="14400000"/>
    <d v="2024-10-01T00:00:00"/>
    <n v="10"/>
    <n v="2024"/>
    <s v="ĐB Sông Cửu Long"/>
    <s v="Doanh nghiệp"/>
    <x v="0"/>
    <s v="B"/>
    <n v="14.4"/>
  </r>
  <r>
    <s v="AGG"/>
    <s v="Công ty 3"/>
    <s v="ME"/>
    <n v="48990000"/>
    <d v="2024-10-01T00:00:00"/>
    <n v="10"/>
    <n v="2024"/>
    <s v="ĐB Sông Cửu Long"/>
    <s v="Doanh nghiệp"/>
    <x v="1"/>
    <s v="C"/>
    <n v="48.99"/>
  </r>
  <r>
    <s v="DLK"/>
    <s v="Công ty 15"/>
    <s v="DVKT"/>
    <n v="20348182"/>
    <d v="2024-10-01T00:00:00"/>
    <n v="10"/>
    <n v="2024"/>
    <s v="Tây Nguyên"/>
    <s v="Doanh nghiệp"/>
    <x v="0"/>
    <s v="B"/>
    <n v="20.348182000000001"/>
  </r>
  <r>
    <s v="NBH"/>
    <s v="Công ty 45"/>
    <s v="ME"/>
    <n v="84695455"/>
    <d v="2024-10-01T00:00:00"/>
    <n v="10"/>
    <n v="2024"/>
    <s v="ĐB Sông Hồng"/>
    <s v="Doanh nghiệp"/>
    <x v="1"/>
    <s v="O"/>
    <n v="84.695454999999995"/>
  </r>
  <r>
    <s v="BPC"/>
    <s v="Công ty 58"/>
    <s v="ICT"/>
    <n v="33448182"/>
    <d v="2024-10-01T00:00:00"/>
    <n v="10"/>
    <n v="2024"/>
    <s v="Đông Nam Bộ"/>
    <s v="Doanh nghiệp"/>
    <x v="0"/>
    <s v="A"/>
    <n v="33.448182000000003"/>
  </r>
  <r>
    <s v="VLG"/>
    <s v="Công ty 2"/>
    <s v="NLMT"/>
    <n v="23181818"/>
    <d v="2024-10-01T00:00:00"/>
    <n v="10"/>
    <n v="2024"/>
    <s v="ĐB Sông Cửu Long"/>
    <s v="Doanh nghiệp"/>
    <x v="1"/>
    <s v="D"/>
    <n v="23.181818"/>
  </r>
  <r>
    <s v="DNG"/>
    <s v="Công ty 14"/>
    <s v="NLMT"/>
    <n v="213972179"/>
    <d v="2024-10-01T00:00:00"/>
    <n v="10"/>
    <n v="2024"/>
    <s v="Duyên hải Nam Trung Bộ"/>
    <s v="Doanh nghiệp"/>
    <x v="0"/>
    <s v="D"/>
    <n v="213.97217900000001"/>
  </r>
  <r>
    <s v="BTN"/>
    <s v="Công ty 31"/>
    <s v="ME"/>
    <n v="120763636"/>
    <d v="2024-10-01T00:00:00"/>
    <n v="10"/>
    <n v="2024"/>
    <s v="Duyên hải Nam Trung Bộ"/>
    <s v="Doanh nghiệp"/>
    <x v="1"/>
    <s v="Q"/>
    <n v="120.76363600000001"/>
  </r>
  <r>
    <s v="HDG"/>
    <s v="Công ty 36"/>
    <s v="ME"/>
    <n v="84930000"/>
    <d v="2024-10-01T00:00:00"/>
    <n v="10"/>
    <n v="2024"/>
    <s v="ĐB Sông Hồng"/>
    <s v="Doanh nghiệp"/>
    <x v="0"/>
    <s v="C"/>
    <n v="84.93"/>
  </r>
  <r>
    <s v="HDG"/>
    <s v="Công ty 37"/>
    <s v="NLMT"/>
    <n v="15681818"/>
    <d v="2024-10-01T00:00:00"/>
    <n v="10"/>
    <n v="2024"/>
    <s v="ĐB Sông Hồng"/>
    <s v="Doanh nghiệp"/>
    <x v="1"/>
    <s v="K"/>
    <n v="15.681818"/>
  </r>
  <r>
    <s v="BDH"/>
    <s v="Công ty 45"/>
    <s v="DVKT"/>
    <n v="5306818"/>
    <d v="2024-10-01T00:00:00"/>
    <n v="10"/>
    <n v="2024"/>
    <s v="Duyên hải Nam Trung Bộ"/>
    <s v="Doanh nghiệp"/>
    <x v="0"/>
    <s v="A"/>
    <n v="5.3068179999999998"/>
  </r>
  <r>
    <s v="LCI"/>
    <s v="Công ty 67"/>
    <s v="ME"/>
    <n v="338545455"/>
    <d v="2024-10-01T00:00:00"/>
    <n v="10"/>
    <n v="2024"/>
    <s v="Tây Bắc Bộ"/>
    <s v="Doanh nghiệp"/>
    <x v="1"/>
    <s v="Q"/>
    <n v="338.545455"/>
  </r>
  <r>
    <s v="DLK"/>
    <s v="Công ty 74"/>
    <s v="NLMT"/>
    <n v="117032000"/>
    <d v="2024-10-01T00:00:00"/>
    <n v="10"/>
    <n v="2024"/>
    <s v="Tây Nguyên"/>
    <s v="Doanh nghiệp"/>
    <x v="0"/>
    <s v="D"/>
    <n v="117.032"/>
  </r>
  <r>
    <s v="NAN"/>
    <s v="Công ty 80"/>
    <s v="NLMT"/>
    <n v="239860682"/>
    <d v="2024-10-01T00:00:00"/>
    <n v="10"/>
    <n v="2024"/>
    <s v="Bắc Trung Bộ"/>
    <s v="Doanh nghiệp"/>
    <x v="1"/>
    <s v="D"/>
    <n v="239.860682"/>
  </r>
  <r>
    <s v="QNH"/>
    <s v="Công ty 85"/>
    <s v="ICT"/>
    <n v="137483209"/>
    <d v="2024-10-01T00:00:00"/>
    <n v="10"/>
    <n v="2024"/>
    <s v="Đông Bắc Bộ"/>
    <s v="Doanh nghiệp"/>
    <x v="0"/>
    <s v="A"/>
    <n v="137.48320899999999"/>
  </r>
  <r>
    <s v="GLI"/>
    <s v="Công ty 8"/>
    <s v="NLMT"/>
    <n v="204286800"/>
    <d v="2024-10-01T00:00:00"/>
    <n v="10"/>
    <n v="2024"/>
    <s v="Tây Nguyên"/>
    <s v="Doanh nghiệp"/>
    <x v="1"/>
    <s v="D"/>
    <n v="204.2868"/>
  </r>
  <r>
    <s v="BLU"/>
    <s v="Công ty 10"/>
    <s v="DVKT"/>
    <n v="9818182"/>
    <d v="2024-10-01T00:00:00"/>
    <n v="10"/>
    <n v="2024"/>
    <s v="ĐB Sông Cửu Long"/>
    <s v="Doanh nghiệp"/>
    <x v="0"/>
    <s v="C"/>
    <n v="9.8181820000000002"/>
  </r>
  <r>
    <s v="DNI"/>
    <s v="Công ty 29"/>
    <s v="ICT"/>
    <n v="26175455"/>
    <d v="2024-10-01T00:00:00"/>
    <n v="10"/>
    <n v="2024"/>
    <s v="Đông Nam Bộ"/>
    <s v="Doanh nghiệp"/>
    <x v="1"/>
    <s v="B"/>
    <n v="26.175454999999999"/>
  </r>
  <r>
    <s v="NAN"/>
    <s v="Công ty 36"/>
    <s v="ICT"/>
    <n v="15030000"/>
    <d v="2024-10-01T00:00:00"/>
    <n v="10"/>
    <n v="2024"/>
    <s v="Bắc Trung Bộ"/>
    <s v="Doanh nghiệp"/>
    <x v="0"/>
    <s v="B"/>
    <n v="15.03"/>
  </r>
  <r>
    <s v="DLK"/>
    <s v="Công ty 10"/>
    <s v="NLMT"/>
    <n v="206259360"/>
    <d v="2024-10-01T00:00:00"/>
    <n v="10"/>
    <n v="2024"/>
    <s v="Tây Nguyên"/>
    <s v="Doanh nghiệp"/>
    <x v="1"/>
    <s v="D"/>
    <n v="206.25935999999999"/>
  </r>
  <r>
    <s v="TGG"/>
    <s v="Công ty 14"/>
    <s v="ME"/>
    <n v="31864318"/>
    <d v="2024-10-01T00:00:00"/>
    <n v="10"/>
    <n v="2024"/>
    <s v="ĐB Sông Cửu Long"/>
    <s v="Doanh nghiệp"/>
    <x v="0"/>
    <s v="C"/>
    <n v="31.864318000000001"/>
  </r>
  <r>
    <s v="TGG"/>
    <s v="Công ty 25"/>
    <s v="ICT"/>
    <n v="38272727"/>
    <d v="2024-10-01T00:00:00"/>
    <n v="10"/>
    <n v="2024"/>
    <s v="ĐB Sông Cửu Long"/>
    <s v="Doanh nghiệp"/>
    <x v="1"/>
    <s v="B"/>
    <n v="38.272727000000003"/>
  </r>
  <r>
    <s v="NDH"/>
    <s v="Công ty 51"/>
    <s v="NLMT"/>
    <n v="325895085"/>
    <d v="2024-10-01T00:00:00"/>
    <n v="10"/>
    <n v="2024"/>
    <s v="ĐB Sông Hồng"/>
    <s v="Doanh nghiệp"/>
    <x v="0"/>
    <s v="D"/>
    <n v="325.89508499999999"/>
  </r>
  <r>
    <s v="AGG"/>
    <s v="Công ty 54"/>
    <s v="NLMT"/>
    <n v="86423636"/>
    <d v="2024-10-01T00:00:00"/>
    <n v="10"/>
    <n v="2024"/>
    <s v="ĐB Sông Cửu Long"/>
    <s v="Doanh nghiệp"/>
    <x v="1"/>
    <s v="D"/>
    <n v="86.423636000000002"/>
  </r>
  <r>
    <s v="VPC"/>
    <s v="Công ty 72"/>
    <s v="NLMT"/>
    <n v="135215149"/>
    <d v="2024-10-01T00:00:00"/>
    <n v="10"/>
    <n v="2024"/>
    <s v="ĐB Sông Hồng"/>
    <s v="Doanh nghiệp"/>
    <x v="0"/>
    <s v="D"/>
    <n v="135.215149"/>
  </r>
  <r>
    <s v="KTM"/>
    <s v="Công ty 73"/>
    <s v="NLMT"/>
    <n v="159090909"/>
    <d v="2024-10-01T00:00:00"/>
    <n v="10"/>
    <n v="2024"/>
    <s v="Tây Nguyên"/>
    <s v="Doanh nghiệp"/>
    <x v="1"/>
    <s v="D"/>
    <n v="159.09090900000001"/>
  </r>
  <r>
    <s v="NDH"/>
    <s v="Công ty 74"/>
    <s v="NLMT"/>
    <n v="317212013"/>
    <d v="2024-10-01T00:00:00"/>
    <n v="10"/>
    <n v="2024"/>
    <s v="ĐB Sông Hồng"/>
    <s v="Doanh nghiệp"/>
    <x v="0"/>
    <s v="D"/>
    <n v="317.21201300000001"/>
  </r>
  <r>
    <s v="NBH"/>
    <s v="Công ty 75"/>
    <s v="NLMT"/>
    <n v="2158833859"/>
    <d v="2024-10-01T00:00:00"/>
    <n v="10"/>
    <n v="2024"/>
    <s v="ĐB Sông Hồng"/>
    <s v="Doanh nghiệp"/>
    <x v="1"/>
    <s v="D"/>
    <n v="2158.8338589999998"/>
  </r>
  <r>
    <s v="HDG"/>
    <s v="Công ty 87"/>
    <s v="NLMT"/>
    <n v="150293141"/>
    <d v="2024-10-01T00:00:00"/>
    <n v="10"/>
    <n v="2024"/>
    <s v="ĐB Sông Hồng"/>
    <s v="Doanh nghiệp"/>
    <x v="0"/>
    <s v="D"/>
    <n v="150.29314099999999"/>
  </r>
  <r>
    <s v="HCM"/>
    <s v="Công ty 19"/>
    <s v="ICT"/>
    <n v="330028090"/>
    <d v="2024-10-01T00:00:00"/>
    <n v="10"/>
    <n v="2024"/>
    <s v="Đông Nam Bộ"/>
    <s v="Doanh nghiệp"/>
    <x v="1"/>
    <s v="B"/>
    <n v="330.02809000000002"/>
  </r>
  <r>
    <s v="NAN"/>
    <s v="Công ty 75"/>
    <s v="ICT"/>
    <n v="12201818"/>
    <d v="2024-10-01T00:00:00"/>
    <n v="10"/>
    <n v="2024"/>
    <s v="Bắc Trung Bộ"/>
    <s v="Doanh nghiệp"/>
    <x v="0"/>
    <s v="F"/>
    <n v="12.201817999999999"/>
  </r>
  <r>
    <s v="HNI"/>
    <s v="Công ty 90"/>
    <s v="ICT"/>
    <n v="144124000"/>
    <d v="2024-10-01T00:00:00"/>
    <n v="10"/>
    <n v="2024"/>
    <s v="ĐB Sông Hồng"/>
    <s v="Doanh nghiệp"/>
    <x v="1"/>
    <s v="F"/>
    <n v="144.124"/>
  </r>
  <r>
    <s v="AGG"/>
    <s v="Công ty 95"/>
    <s v="NLMT"/>
    <n v="70554309"/>
    <d v="2024-10-01T00:00:00"/>
    <n v="10"/>
    <n v="2024"/>
    <s v="ĐB Sông Cửu Long"/>
    <s v="Doanh nghiệp"/>
    <x v="0"/>
    <s v="D"/>
    <n v="70.554309000000003"/>
  </r>
  <r>
    <s v="SLA"/>
    <s v="Công ty 7"/>
    <s v="ME"/>
    <n v="126867273"/>
    <d v="2024-10-01T00:00:00"/>
    <n v="10"/>
    <n v="2024"/>
    <s v="Tây Bắc Bộ"/>
    <s v="Doanh nghiệp"/>
    <x v="1"/>
    <s v="O"/>
    <n v="126.867273"/>
  </r>
  <r>
    <s v="DNG"/>
    <s v="Công ty 26"/>
    <s v="ICT"/>
    <n v="37440000"/>
    <d v="2024-10-01T00:00:00"/>
    <n v="10"/>
    <n v="2024"/>
    <s v="Duyên hải Nam Trung Bộ"/>
    <s v="Doanh nghiệp"/>
    <x v="0"/>
    <s v="A"/>
    <n v="37.44"/>
  </r>
  <r>
    <s v="DNG"/>
    <s v="Công ty 27"/>
    <s v="ICT"/>
    <n v="52251000"/>
    <d v="2024-10-01T00:00:00"/>
    <n v="10"/>
    <n v="2024"/>
    <s v="Duyên hải Nam Trung Bộ"/>
    <s v="Doanh nghiệp"/>
    <x v="1"/>
    <s v="B"/>
    <n v="52.250999999999998"/>
  </r>
  <r>
    <s v="DCN"/>
    <s v="Công ty 60"/>
    <s v="ME"/>
    <n v="548790909"/>
    <d v="2024-10-01T00:00:00"/>
    <n v="10"/>
    <n v="2024"/>
    <s v="Tây Nguyên"/>
    <s v="Doanh nghiệp"/>
    <x v="0"/>
    <s v="C"/>
    <n v="548.79090900000006"/>
  </r>
  <r>
    <s v="NAN"/>
    <s v="Công ty 83"/>
    <s v="ICT"/>
    <n v="15340909"/>
    <d v="2024-10-01T00:00:00"/>
    <n v="10"/>
    <n v="2024"/>
    <s v="Bắc Trung Bộ"/>
    <s v="Doanh nghiệp"/>
    <x v="1"/>
    <s v="B"/>
    <n v="15.340909"/>
  </r>
  <r>
    <s v="NTN"/>
    <s v="Công ty 88"/>
    <s v="NLMT"/>
    <n v="327272727"/>
    <d v="2024-10-01T00:00:00"/>
    <n v="10"/>
    <n v="2024"/>
    <s v="Duyên hải Nam Trung Bộ"/>
    <s v="Doanh nghiệp"/>
    <x v="0"/>
    <s v="D"/>
    <n v="327.27272699999997"/>
  </r>
  <r>
    <s v="HNI"/>
    <s v="Công ty 93"/>
    <s v="ICT"/>
    <n v="187550000"/>
    <d v="2024-10-01T00:00:00"/>
    <n v="10"/>
    <n v="2024"/>
    <s v="ĐB Sông Hồng"/>
    <s v="Doanh nghiệp"/>
    <x v="1"/>
    <s v="F"/>
    <n v="187.55"/>
  </r>
  <r>
    <s v="TNN"/>
    <s v="Công ty 99"/>
    <s v="ICT"/>
    <n v="151593500"/>
    <d v="2024-10-01T00:00:00"/>
    <n v="10"/>
    <n v="2024"/>
    <s v="Đông Bắc Bộ"/>
    <s v="Doanh nghiệp"/>
    <x v="0"/>
    <s v="B"/>
    <n v="151.59350000000001"/>
  </r>
  <r>
    <s v="HDG"/>
    <s v="Công ty 96"/>
    <s v="NLMT"/>
    <n v="87262727"/>
    <d v="2024-10-01T00:00:00"/>
    <n v="10"/>
    <n v="2024"/>
    <s v="ĐB Sông Hồng"/>
    <s v="Doanh nghiệp"/>
    <x v="1"/>
    <s v="D"/>
    <n v="87.262726999999998"/>
  </r>
  <r>
    <s v="BLU"/>
    <s v="Doanh nghiệp 3"/>
    <s v="ME"/>
    <n v="31727273"/>
    <d v="2024-10-01T00:00:00"/>
    <n v="10"/>
    <n v="2024"/>
    <s v="ĐB Sông Cửu Long"/>
    <s v="Doanh nghiệp"/>
    <x v="0"/>
    <s v="C"/>
    <n v="31.727273"/>
  </r>
  <r>
    <s v="NAN"/>
    <s v="Doanh nghiệp 6"/>
    <s v="NLMT"/>
    <n v="146181818"/>
    <d v="2024-10-01T00:00:00"/>
    <n v="10"/>
    <n v="2024"/>
    <s v="Bắc Trung Bộ"/>
    <s v="Doanh nghiệp"/>
    <x v="1"/>
    <s v="D"/>
    <n v="146.18181799999999"/>
  </r>
  <r>
    <s v="VLG"/>
    <s v="Doanh nghiệp 19"/>
    <s v="NLMT"/>
    <n v="154545455"/>
    <d v="2024-10-01T00:00:00"/>
    <n v="10"/>
    <n v="2024"/>
    <s v="ĐB Sông Cửu Long"/>
    <s v="Doanh nghiệp"/>
    <x v="0"/>
    <s v="D"/>
    <n v="154.545455"/>
  </r>
  <r>
    <s v="NTN"/>
    <s v="Doanh nghiệp 22"/>
    <s v="NLMT"/>
    <n v="158181818"/>
    <d v="2024-10-01T00:00:00"/>
    <n v="10"/>
    <n v="2024"/>
    <s v="Duyên hải Nam Trung Bộ"/>
    <s v="Doanh nghiệp"/>
    <x v="1"/>
    <s v="D"/>
    <n v="158.18181799999999"/>
  </r>
  <r>
    <s v="GLI"/>
    <s v="Doanh nghiệp 4"/>
    <s v="NLMT"/>
    <n v="179090909"/>
    <d v="2024-10-01T00:00:00"/>
    <n v="10"/>
    <n v="2024"/>
    <s v="Tây Nguyên"/>
    <s v="Doanh nghiệp"/>
    <x v="0"/>
    <s v="D"/>
    <n v="179.09090900000001"/>
  </r>
  <r>
    <s v="CMU"/>
    <s v="Doanh nghiệp 7"/>
    <s v="NLMT"/>
    <n v="25168919"/>
    <d v="2024-10-01T00:00:00"/>
    <n v="10"/>
    <n v="2024"/>
    <s v="ĐB Sông Cửu Long"/>
    <s v="Doanh nghiệp"/>
    <x v="1"/>
    <s v="K"/>
    <n v="25.168918999999999"/>
  </r>
  <r>
    <s v="TNN"/>
    <s v="Doanh nghiệp 8"/>
    <s v="NLMT"/>
    <n v="167717273"/>
    <d v="2024-10-01T00:00:00"/>
    <n v="10"/>
    <n v="2024"/>
    <s v="Đông Bắc Bộ"/>
    <s v="Doanh nghiệp"/>
    <x v="0"/>
    <s v="D"/>
    <n v="167.71727300000001"/>
  </r>
  <r>
    <s v="GLI"/>
    <s v="Doanh nghiệp 19"/>
    <s v="NLMT"/>
    <n v="85512910"/>
    <d v="2024-10-01T00:00:00"/>
    <n v="10"/>
    <n v="2024"/>
    <s v="Tây Nguyên"/>
    <s v="Doanh nghiệp"/>
    <x v="1"/>
    <s v="D"/>
    <n v="85.512910000000005"/>
  </r>
  <r>
    <s v="GLI"/>
    <s v="Doanh nghiệp 26"/>
    <s v="NLMT"/>
    <n v="209917355"/>
    <d v="2024-10-01T00:00:00"/>
    <n v="10"/>
    <n v="2024"/>
    <s v="Tây Nguyên"/>
    <s v="Doanh nghiệp"/>
    <x v="0"/>
    <s v="D"/>
    <n v="209.91735499999999"/>
  </r>
  <r>
    <s v="NAN"/>
    <s v="Doanh nghiệp 16"/>
    <s v="ME"/>
    <n v="18136364"/>
    <d v="2024-10-01T00:00:00"/>
    <n v="10"/>
    <n v="2024"/>
    <s v="Bắc Trung Bộ"/>
    <s v="Doanh nghiệp"/>
    <x v="1"/>
    <s v="C"/>
    <n v="18.136364"/>
  </r>
  <r>
    <s v="KHA"/>
    <s v="Doanh nghiệp 17"/>
    <s v="ME"/>
    <n v="26645455"/>
    <d v="2024-10-01T00:00:00"/>
    <n v="10"/>
    <n v="2024"/>
    <s v="Duyên hải Nam Trung Bộ"/>
    <s v="Doanh nghiệp"/>
    <x v="0"/>
    <s v="C"/>
    <n v="26.645454999999998"/>
  </r>
  <r>
    <s v="TNN"/>
    <s v="Doanh nghiệp 11"/>
    <s v="ME"/>
    <n v="855000000"/>
    <d v="2024-10-01T00:00:00"/>
    <n v="10"/>
    <n v="2024"/>
    <s v="Đông Bắc Bộ"/>
    <s v="Doanh nghiệp"/>
    <x v="1"/>
    <s v="O"/>
    <n v="855"/>
  </r>
  <r>
    <s v="AGG"/>
    <s v="Doanh nghiệp 31"/>
    <s v="ICT"/>
    <n v="38317582"/>
    <d v="2024-10-01T00:00:00"/>
    <n v="10"/>
    <n v="2024"/>
    <s v="ĐB Sông Cửu Long"/>
    <s v="Doanh nghiệp"/>
    <x v="0"/>
    <s v="A"/>
    <n v="38.317582000000002"/>
  </r>
  <r>
    <s v="CTO"/>
    <s v="Doanh nghiệp 25"/>
    <s v="ICT"/>
    <n v="222145000"/>
    <d v="2024-10-01T00:00:00"/>
    <n v="10"/>
    <n v="2024"/>
    <s v="ĐB Sông Cửu Long"/>
    <s v="Doanh nghiệp"/>
    <x v="1"/>
    <s v="A"/>
    <n v="222.14500000000001"/>
  </r>
  <r>
    <s v="CBG"/>
    <s v="Doanh nghiệp 28"/>
    <s v="ME"/>
    <n v="79458644"/>
    <d v="2024-10-01T00:00:00"/>
    <n v="10"/>
    <n v="2024"/>
    <s v="Đông Bắc Bộ"/>
    <s v="Doanh nghiệp"/>
    <x v="0"/>
    <s v="O"/>
    <n v="79.458644000000007"/>
  </r>
  <r>
    <s v="CBG"/>
    <s v="Doanh nghiệp 29"/>
    <s v="ME"/>
    <n v="88538545"/>
    <d v="2024-10-01T00:00:00"/>
    <n v="10"/>
    <n v="2024"/>
    <s v="Đông Bắc Bộ"/>
    <s v="Doanh nghiệp"/>
    <x v="1"/>
    <s v="O"/>
    <n v="88.538544999999999"/>
  </r>
  <r>
    <s v="HBH"/>
    <s v="Tập đoàn 19"/>
    <s v="ME"/>
    <n v="109809772"/>
    <d v="2024-10-01T00:00:00"/>
    <n v="10"/>
    <n v="2024"/>
    <s v="Tây Bắc Bộ"/>
    <s v="Doanh nghiệp"/>
    <x v="0"/>
    <s v="E"/>
    <n v="109.809772"/>
  </r>
  <r>
    <s v="LSN"/>
    <s v="Tập đoàn 27"/>
    <s v="ICT"/>
    <n v="294776900"/>
    <d v="2024-10-01T00:00:00"/>
    <n v="10"/>
    <n v="2024"/>
    <s v="Đông Bắc Bộ"/>
    <s v="Doanh nghiệp"/>
    <x v="1"/>
    <s v="A"/>
    <n v="294.77690000000001"/>
  </r>
  <r>
    <s v="LAN"/>
    <s v="Tập đoàn 35"/>
    <s v="DVKT"/>
    <n v="51880219"/>
    <d v="2024-10-01T00:00:00"/>
    <n v="10"/>
    <n v="2024"/>
    <s v="ĐB Sông Cửu Long"/>
    <s v="Doanh nghiệp"/>
    <x v="0"/>
    <s v="E"/>
    <n v="51.880218999999997"/>
  </r>
  <r>
    <s v="NDH"/>
    <s v="Tập đoàn 50"/>
    <s v="Smarthome"/>
    <n v="388238182"/>
    <d v="2024-10-01T00:00:00"/>
    <n v="10"/>
    <n v="2024"/>
    <s v="ĐB Sông Hồng"/>
    <s v="Doanh nghiệp"/>
    <x v="1"/>
    <s v="U"/>
    <n v="388.23818199999999"/>
  </r>
  <r>
    <s v="NDH"/>
    <s v="Tập đoàn 51"/>
    <s v="ICT"/>
    <n v="30060000"/>
    <d v="2024-10-01T00:00:00"/>
    <n v="10"/>
    <n v="2024"/>
    <s v="ĐB Sông Hồng"/>
    <s v="Doanh nghiệp"/>
    <x v="0"/>
    <s v="B"/>
    <n v="30.06"/>
  </r>
  <r>
    <s v="NDH"/>
    <s v="Tập đoàn 52"/>
    <s v="ICT"/>
    <n v="67390236"/>
    <d v="2024-10-01T00:00:00"/>
    <n v="10"/>
    <n v="2024"/>
    <s v="ĐB Sông Hồng"/>
    <s v="Doanh nghiệp"/>
    <x v="1"/>
    <s v="B"/>
    <n v="67.390236000000002"/>
  </r>
  <r>
    <s v="NDH"/>
    <s v="Tập đoàn 53"/>
    <s v="ICT"/>
    <n v="41748964"/>
    <d v="2024-10-01T00:00:00"/>
    <n v="10"/>
    <n v="2024"/>
    <s v="ĐB Sông Hồng"/>
    <s v="Doanh nghiệp"/>
    <x v="0"/>
    <s v="B"/>
    <n v="41.748964000000001"/>
  </r>
  <r>
    <s v="NAN"/>
    <s v="Tập đoàn 71"/>
    <s v="DVKT"/>
    <n v="20500364"/>
    <d v="2024-10-01T00:00:00"/>
    <n v="10"/>
    <n v="2024"/>
    <s v="Bắc Trung Bộ"/>
    <s v="Doanh nghiệp"/>
    <x v="1"/>
    <s v="C"/>
    <n v="20.500364000000001"/>
  </r>
  <r>
    <s v="HUE"/>
    <s v="Tập đoàn 85"/>
    <s v="DVKT"/>
    <n v="346468909"/>
    <d v="2024-10-01T00:00:00"/>
    <n v="10"/>
    <n v="2024"/>
    <s v="Bắc Trung Bộ"/>
    <s v="Doanh nghiệp"/>
    <x v="0"/>
    <s v="L"/>
    <n v="346.468909"/>
  </r>
  <r>
    <s v="TVH"/>
    <s v="Tập đoàn 89"/>
    <s v="ICT"/>
    <n v="880877727"/>
    <d v="2024-10-01T00:00:00"/>
    <n v="10"/>
    <n v="2024"/>
    <s v="ĐB Sông Cửu Long"/>
    <s v="Doanh nghiệp"/>
    <x v="1"/>
    <s v="B"/>
    <n v="880.87772700000005"/>
  </r>
  <r>
    <s v="DBN"/>
    <s v="Tập đoàn 91"/>
    <s v="NLMT"/>
    <n v="63636364"/>
    <d v="2024-10-01T00:00:00"/>
    <n v="10"/>
    <n v="2024"/>
    <s v="Tây Bắc Bộ"/>
    <s v="Doanh nghiệp"/>
    <x v="0"/>
    <s v="K"/>
    <n v="63.636364"/>
  </r>
  <r>
    <s v="CBG"/>
    <s v="Tập đoàn 92"/>
    <s v="NLMT"/>
    <n v="217367273"/>
    <d v="2024-10-01T00:00:00"/>
    <n v="10"/>
    <n v="2024"/>
    <s v="Đông Bắc Bộ"/>
    <s v="Doanh nghiệp"/>
    <x v="1"/>
    <s v="K"/>
    <n v="217.36727300000001"/>
  </r>
  <r>
    <s v="BGG"/>
    <s v="Tập đoàn 93"/>
    <s v="ME"/>
    <n v="43280000"/>
    <d v="2024-10-01T00:00:00"/>
    <n v="10"/>
    <n v="2024"/>
    <s v="Đông Bắc Bộ"/>
    <s v="Doanh nghiệp"/>
    <x v="0"/>
    <s v="O"/>
    <n v="43.28"/>
  </r>
  <r>
    <s v="YBI"/>
    <s v="Tập đoàn 94"/>
    <s v="DVKT"/>
    <n v="75836364"/>
    <d v="2024-10-01T00:00:00"/>
    <n v="10"/>
    <n v="2024"/>
    <s v="Tây Bắc Bộ"/>
    <s v="Doanh nghiệp"/>
    <x v="1"/>
    <s v="B"/>
    <n v="75.836364000000003"/>
  </r>
  <r>
    <s v="BTN"/>
    <s v="Tập đoàn 92"/>
    <s v="ME"/>
    <n v="538770000"/>
    <d v="2024-10-01T00:00:00"/>
    <n v="10"/>
    <n v="2024"/>
    <s v="Duyên hải Nam Trung Bộ"/>
    <s v="Doanh nghiệp"/>
    <x v="0"/>
    <s v="O"/>
    <n v="538.77"/>
  </r>
  <r>
    <s v="NAN"/>
    <s v="Tập đoàn 93"/>
    <s v="ICT"/>
    <n v="13181818"/>
    <d v="2024-10-01T00:00:00"/>
    <n v="10"/>
    <n v="2024"/>
    <s v="Bắc Trung Bộ"/>
    <s v="Doanh nghiệp"/>
    <x v="1"/>
    <s v="F"/>
    <n v="13.181818"/>
  </r>
  <r>
    <s v="CBG"/>
    <s v="Tập đoàn 92"/>
    <s v="ICT"/>
    <n v="7327273"/>
    <d v="2024-10-01T00:00:00"/>
    <n v="10"/>
    <n v="2024"/>
    <s v="Đông Bắc Bộ"/>
    <s v="Doanh nghiệp"/>
    <x v="0"/>
    <s v="B"/>
    <n v="7.3272729999999999"/>
  </r>
  <r>
    <s v="TGG"/>
    <s v="BỘ CHỈ HUY BỘ ĐỘI BIÊN PHÒNG TIỀN GIANG"/>
    <s v="ICT"/>
    <n v="271110000"/>
    <d v="2024-10-01T00:00:00"/>
    <n v="10"/>
    <n v="2024"/>
    <s v="ĐB Sông Cửu Long"/>
    <s v="Sở ban ngành"/>
    <x v="1"/>
    <s v="A"/>
    <n v="271.11"/>
  </r>
  <r>
    <s v="LAN"/>
    <s v="BỘ CHỈ HUY BỘ ĐỘI BIÊN PHÒNG TỈNH LONG AN"/>
    <s v="DVKT"/>
    <n v="43740000"/>
    <d v="2024-10-01T00:00:00"/>
    <n v="10"/>
    <n v="2024"/>
    <s v="ĐB Sông Cửu Long"/>
    <s v="Sở ban ngành"/>
    <x v="0"/>
    <s v="A"/>
    <n v="43.74"/>
  </r>
  <r>
    <s v="DTP"/>
    <s v="Bộ Chỉ Huy Quân Sự Tỉnh Đồng Tháp"/>
    <s v="ICT"/>
    <n v="83636364"/>
    <d v="2024-10-01T00:00:00"/>
    <n v="10"/>
    <n v="2024"/>
    <s v="ĐB Sông Cửu Long"/>
    <s v="Sở ban ngành"/>
    <x v="1"/>
    <s v="F"/>
    <n v="83.636364"/>
  </r>
  <r>
    <s v="HGG"/>
    <s v="CÔNG AN HUYỆN ĐỒNG VĂN"/>
    <s v="ICT"/>
    <n v="36363636"/>
    <d v="2024-10-01T00:00:00"/>
    <n v="10"/>
    <n v="2024"/>
    <s v="Đông Bắc Bộ"/>
    <s v="Sở ban ngành"/>
    <x v="0"/>
    <s v="B"/>
    <n v="36.363636"/>
  </r>
  <r>
    <s v="HGG"/>
    <s v="CÔNG AN HUYỆN ĐỒNG VĂN"/>
    <s v="ICT"/>
    <n v="54545455"/>
    <d v="2024-10-01T00:00:00"/>
    <n v="10"/>
    <n v="2024"/>
    <s v="Đông Bắc Bộ"/>
    <s v="Sở ban ngành"/>
    <x v="1"/>
    <s v="B"/>
    <n v="54.545454999999997"/>
  </r>
  <r>
    <s v="HGG"/>
    <s v="CÔNG AN HUYỆN ĐỒNG VĂN"/>
    <s v="ICT"/>
    <n v="54545455"/>
    <d v="2024-10-01T00:00:00"/>
    <n v="10"/>
    <n v="2024"/>
    <s v="Đông Bắc Bộ"/>
    <s v="Sở ban ngành"/>
    <x v="0"/>
    <s v="B"/>
    <n v="54.545454999999997"/>
  </r>
  <r>
    <s v="HGG"/>
    <s v="CÔNG AN HUYỆN ĐỒNG VĂN"/>
    <s v="ICT"/>
    <n v="36363636"/>
    <d v="2024-10-01T00:00:00"/>
    <n v="10"/>
    <n v="2024"/>
    <s v="Đông Bắc Bộ"/>
    <s v="Sở ban ngành"/>
    <x v="1"/>
    <s v="B"/>
    <n v="36.363636"/>
  </r>
  <r>
    <s v="CMU"/>
    <s v="CÔNG AN TỈNH CÀ MAU"/>
    <s v="ICT"/>
    <n v="35614873"/>
    <d v="2024-10-01T00:00:00"/>
    <n v="10"/>
    <n v="2024"/>
    <s v="ĐB Sông Cửu Long"/>
    <s v="Sở ban ngành"/>
    <x v="0"/>
    <s v="B"/>
    <n v="35.614873000000003"/>
  </r>
  <r>
    <s v="VLG"/>
    <s v="Công An Tỉnh Vĩnh Long"/>
    <s v="ICT"/>
    <n v="19743802"/>
    <d v="2024-10-01T00:00:00"/>
    <n v="10"/>
    <n v="2024"/>
    <s v="ĐB Sông Cửu Long"/>
    <s v="Sở ban ngành"/>
    <x v="1"/>
    <s v="B"/>
    <n v="19.743801999999999"/>
  </r>
  <r>
    <s v="HNI"/>
    <s v="Cục An Ninh Nội Địa – Bộ Công An"/>
    <s v="ICT"/>
    <n v="843960000"/>
    <d v="2024-10-01T00:00:00"/>
    <n v="10"/>
    <n v="2024"/>
    <s v="ĐB Sông Hồng"/>
    <s v="Sở ban ngành"/>
    <x v="0"/>
    <s v="F"/>
    <n v="843.96"/>
  </r>
  <r>
    <s v="QTI"/>
    <s v="Cục Công Nghệ Thông Tin – Kho Bạc Nhà Nước"/>
    <s v="ICT"/>
    <n v="5842500000"/>
    <d v="2024-10-01T00:00:00"/>
    <n v="10"/>
    <n v="2024"/>
    <s v="Bắc Trung Bộ"/>
    <s v="Sở ban ngành"/>
    <x v="1"/>
    <s v="F"/>
    <n v="5842.5"/>
  </r>
  <r>
    <s v="HUG"/>
    <s v="Học Viện Công Nghệ Bưu Chính Viễn Thông"/>
    <s v="ME"/>
    <n v="2170171818"/>
    <d v="2024-10-01T00:00:00"/>
    <n v="10"/>
    <n v="2024"/>
    <s v="ĐB Sông Cửu Long"/>
    <s v="Trường học"/>
    <x v="0"/>
    <s v="C"/>
    <n v="2170.1718179999998"/>
  </r>
  <r>
    <s v="TGG"/>
    <s v="Hội Người Cao Tuổi Tỉnh Tiền Giang"/>
    <s v="ICT"/>
    <n v="261837091"/>
    <d v="2024-10-01T00:00:00"/>
    <n v="10"/>
    <n v="2024"/>
    <s v="ĐB Sông Cửu Long"/>
    <s v="Sở ban ngành"/>
    <x v="1"/>
    <s v="F"/>
    <n v="261.83709099999999"/>
  </r>
  <r>
    <s v="HUE"/>
    <s v="HỘI NÔNG DÂN TỈNH THỪA THIÊN HUẾ"/>
    <s v="ME"/>
    <n v="134272727"/>
    <d v="2024-10-01T00:00:00"/>
    <n v="10"/>
    <n v="2024"/>
    <s v="Bắc Trung Bộ"/>
    <s v="Sở ban ngành"/>
    <x v="0"/>
    <s v="Q"/>
    <n v="134.272727"/>
  </r>
  <r>
    <s v="LDG"/>
    <s v="Ngân Hàng Nông Nghiệp Và Phát Triển Nông Thôn Việt Nam – Chi Nhánh Huyện Lạc Dương, Lâm Đồng"/>
    <s v="DVKT"/>
    <n v="17476364"/>
    <d v="2024-10-01T00:00:00"/>
    <n v="10"/>
    <n v="2024"/>
    <s v="Tây Nguyên"/>
    <s v="Ngân hàng"/>
    <x v="1"/>
    <s v="C"/>
    <n v="17.476364"/>
  </r>
  <r>
    <s v="NAN"/>
    <s v="Ngân Hàng Nông Nghiệp Và Phát Triển Nông Thôn Việt Nam - Chi Nhánh Nam Nghệ An"/>
    <s v="ICT"/>
    <n v="162510465"/>
    <d v="2024-10-01T00:00:00"/>
    <n v="10"/>
    <n v="2024"/>
    <s v="Bắc Trung Bộ"/>
    <s v="Ngân hàng"/>
    <x v="0"/>
    <s v="P"/>
    <n v="162.51046500000001"/>
  </r>
  <r>
    <s v="CBG"/>
    <s v="PHÒNG VĂN HOÁ THÔNG TIN HUYỆN HÀ QUẢNG"/>
    <s v="ICT"/>
    <n v="618438182"/>
    <d v="2024-10-01T00:00:00"/>
    <n v="10"/>
    <n v="2024"/>
    <s v="Đông Bắc Bộ"/>
    <s v="Sở ban ngành"/>
    <x v="1"/>
    <s v="T"/>
    <n v="618.43818199999998"/>
  </r>
  <r>
    <s v="TBH"/>
    <s v="Quỹ tín dụng Chí Hòa"/>
    <s v="ME"/>
    <n v="25636364"/>
    <d v="2024-10-01T00:00:00"/>
    <n v="10"/>
    <n v="2024"/>
    <s v="ĐB Sông Hồng"/>
    <s v="Sở ban ngành"/>
    <x v="0"/>
    <s v="O"/>
    <n v="25.636364"/>
  </r>
  <r>
    <s v="BDH"/>
    <s v="SỞ KẾ HOẠCH VÀ ĐẦU TƯ TỈNH BÌNH ĐỊNH"/>
    <s v="ICT"/>
    <n v="16663636"/>
    <d v="2024-10-01T00:00:00"/>
    <n v="10"/>
    <n v="2024"/>
    <s v="Duyên hải Nam Trung Bộ"/>
    <s v="Sở ban ngành"/>
    <x v="1"/>
    <s v="A"/>
    <n v="16.663636"/>
  </r>
  <r>
    <s v="TGG"/>
    <s v="Sở Tài Chính Tỉnh Tiền Giang"/>
    <s v="ICT"/>
    <n v="354127102"/>
    <d v="2024-10-01T00:00:00"/>
    <n v="10"/>
    <n v="2024"/>
    <s v="ĐB Sông Cửu Long"/>
    <s v="Sở ban ngành"/>
    <x v="0"/>
    <s v="F"/>
    <n v="354.12710199999998"/>
  </r>
  <r>
    <s v="CMU"/>
    <s v="Sở Xây Dựng Tỉnh Cà Mau"/>
    <s v="ICT"/>
    <n v="36990000"/>
    <d v="2024-10-01T00:00:00"/>
    <n v="10"/>
    <n v="2024"/>
    <s v="ĐB Sông Cửu Long"/>
    <s v="Sở ban ngành"/>
    <x v="1"/>
    <s v="B"/>
    <n v="36.99"/>
  </r>
  <r>
    <s v="AGG"/>
    <s v="TRUNG TÂM CHÍNH TRỊ HUYỆN CHÂU THÀNH"/>
    <s v="ME"/>
    <n v="71956364"/>
    <d v="2024-10-01T00:00:00"/>
    <n v="10"/>
    <n v="2024"/>
    <s v="ĐB Sông Cửu Long"/>
    <s v="Sở ban ngành"/>
    <x v="0"/>
    <s v="C"/>
    <n v="71.956363999999994"/>
  </r>
  <r>
    <s v="BKN"/>
    <s v="Trung Tâm Y Tế Huyện Bạch Thông"/>
    <s v="ME"/>
    <n v="165283636"/>
    <d v="2024-10-01T00:00:00"/>
    <n v="10"/>
    <n v="2024"/>
    <s v="Đông Bắc Bộ"/>
    <s v="Sở ban ngành"/>
    <x v="1"/>
    <s v="C"/>
    <n v="165.283636"/>
  </r>
  <r>
    <s v="LDG"/>
    <s v="TRUNG TÂM Y TẾ HUYỆN LẠC DƯƠNG"/>
    <s v="ICT"/>
    <n v="90000000"/>
    <d v="2024-10-01T00:00:00"/>
    <n v="10"/>
    <n v="2024"/>
    <s v="Tây Nguyên"/>
    <s v="Sở ban ngành"/>
    <x v="0"/>
    <s v="P"/>
    <n v="90"/>
  </r>
  <r>
    <s v="PYN"/>
    <s v="Trung Tâm Y Tế Thành Phố Tuy Hòa"/>
    <s v="ME"/>
    <n v="98410000"/>
    <d v="2024-10-01T00:00:00"/>
    <n v="10"/>
    <n v="2024"/>
    <s v="Duyên hải Nam Trung Bộ"/>
    <s v="Sở ban ngành"/>
    <x v="1"/>
    <s v="Q"/>
    <n v="98.41"/>
  </r>
  <r>
    <s v="KHA"/>
    <s v="Ubnd Thị Trấn Vạn Giã"/>
    <s v="NLMT"/>
    <n v="22727273"/>
    <d v="2024-10-01T00:00:00"/>
    <n v="10"/>
    <n v="2024"/>
    <s v="Duyên hải Nam Trung Bộ"/>
    <s v="Sở ban ngành"/>
    <x v="0"/>
    <s v="K"/>
    <n v="22.727273"/>
  </r>
  <r>
    <s v="KHA"/>
    <s v="Ubnd Thị Trấn Vạn Giã"/>
    <s v="DVKT"/>
    <n v="18181818"/>
    <d v="2024-10-01T00:00:00"/>
    <n v="10"/>
    <n v="2024"/>
    <s v="Duyên hải Nam Trung Bộ"/>
    <s v="Sở ban ngành"/>
    <x v="1"/>
    <s v="K"/>
    <n v="18.181818"/>
  </r>
  <r>
    <s v="TQG"/>
    <s v="Ubnd Xã Bình An"/>
    <s v="NLMT"/>
    <n v="89957363"/>
    <d v="2024-10-01T00:00:00"/>
    <n v="10"/>
    <n v="2024"/>
    <s v="Đông Bắc Bộ"/>
    <s v="Sở ban ngành"/>
    <x v="0"/>
    <s v="K"/>
    <n v="89.957363000000001"/>
  </r>
  <r>
    <s v="TQG"/>
    <s v="Ubnd Xã Bình An"/>
    <s v="NLMT"/>
    <n v="89957363"/>
    <d v="2024-10-01T00:00:00"/>
    <n v="10"/>
    <n v="2024"/>
    <s v="Đông Bắc Bộ"/>
    <s v="Sở ban ngành"/>
    <x v="1"/>
    <s v="K"/>
    <n v="89.957363000000001"/>
  </r>
  <r>
    <s v="TVH"/>
    <s v="UBND XÃ LONG KHÁNH"/>
    <s v="DVKT"/>
    <n v="45157091"/>
    <d v="2024-10-01T00:00:00"/>
    <n v="10"/>
    <n v="2024"/>
    <s v="ĐB Sông Cửu Long"/>
    <s v="Sở ban ngành"/>
    <x v="0"/>
    <s v="B"/>
    <n v="45.157091000000001"/>
  </r>
  <r>
    <s v="BTE"/>
    <s v="Ubnd Xã Mỹ An"/>
    <s v="ICT"/>
    <n v="16392727"/>
    <d v="2024-10-01T00:00:00"/>
    <n v="10"/>
    <n v="2024"/>
    <s v="ĐB Sông Cửu Long"/>
    <s v="Sở ban ngành"/>
    <x v="1"/>
    <s v="B"/>
    <n v="16.392727000000001"/>
  </r>
  <r>
    <s v="TGG"/>
    <s v="UBND XÃ TÂN TÂY"/>
    <s v="ICT"/>
    <n v="15505000"/>
    <d v="2024-10-01T00:00:00"/>
    <n v="10"/>
    <n v="2024"/>
    <s v="ĐB Sông Cửu Long"/>
    <s v="Sở ban ngành"/>
    <x v="0"/>
    <s v="B"/>
    <n v="15.505000000000001"/>
  </r>
  <r>
    <s v="BTN"/>
    <s v="Ubnd Xã Tân Tiến"/>
    <s v="NLMT"/>
    <n v="166800000"/>
    <d v="2024-10-01T00:00:00"/>
    <n v="10"/>
    <n v="2024"/>
    <s v="Duyên hải Nam Trung Bộ"/>
    <s v="Sở ban ngành"/>
    <x v="1"/>
    <s v="K"/>
    <n v="166.8"/>
  </r>
  <r>
    <s v="STG"/>
    <s v="Ubnd Xã Thạnh Thới An"/>
    <s v="NLMT"/>
    <n v="54545455"/>
    <d v="2024-10-01T00:00:00"/>
    <n v="10"/>
    <n v="2024"/>
    <s v="ĐB Sông Cửu Long"/>
    <s v="Sở ban ngành"/>
    <x v="0"/>
    <s v="K"/>
    <n v="54.545454999999997"/>
  </r>
  <r>
    <s v="BPC"/>
    <s v="UBND XÃ THỌ SƠN"/>
    <s v="ME"/>
    <n v="54477000"/>
    <d v="2024-10-01T00:00:00"/>
    <n v="10"/>
    <n v="2024"/>
    <s v="Đông Nam Bộ"/>
    <s v="Sở ban ngành"/>
    <x v="1"/>
    <s v="M"/>
    <n v="54.476999999999997"/>
  </r>
  <r>
    <s v="NDH"/>
    <s v="Ubnd Xã Trực Hưng"/>
    <s v="ICT"/>
    <n v="98240288"/>
    <d v="2024-10-01T00:00:00"/>
    <n v="10"/>
    <n v="2024"/>
    <s v="ĐB Sông Hồng"/>
    <s v="Sở ban ngành"/>
    <x v="0"/>
    <s v="B"/>
    <n v="98.240288000000007"/>
  </r>
  <r>
    <s v="BTN"/>
    <s v="Ủy ban nhân dân Thị trấn Lương Sơn"/>
    <s v="ICT"/>
    <n v="15246199"/>
    <d v="2024-10-01T00:00:00"/>
    <n v="10"/>
    <n v="2024"/>
    <s v="Duyên hải Nam Trung Bộ"/>
    <s v="Sở ban ngành"/>
    <x v="1"/>
    <s v="B"/>
    <n v="15.246199000000001"/>
  </r>
  <r>
    <s v="BTN"/>
    <s v="Ủy ban nhân dân Thị trấn Lương Sơn"/>
    <s v="ICT"/>
    <n v="69544600"/>
    <d v="2024-10-01T00:00:00"/>
    <n v="10"/>
    <n v="2024"/>
    <s v="Duyên hải Nam Trung Bộ"/>
    <s v="Sở ban ngành"/>
    <x v="0"/>
    <s v="B"/>
    <n v="69.544600000000003"/>
  </r>
  <r>
    <s v="BTN"/>
    <s v="Ủy ban nhân dân Thị trấn Lương Sơn"/>
    <s v="ICT"/>
    <n v="87203700"/>
    <d v="2024-10-01T00:00:00"/>
    <n v="10"/>
    <n v="2024"/>
    <s v="Duyên hải Nam Trung Bộ"/>
    <s v="Sở ban ngành"/>
    <x v="1"/>
    <s v="B"/>
    <n v="87.203699999999998"/>
  </r>
  <r>
    <s v="BTN"/>
    <s v="UỶ BAN NHÂN DÂN XÃ HÀM MỸ"/>
    <s v="NLMT"/>
    <n v="156005489"/>
    <d v="2024-10-01T00:00:00"/>
    <n v="10"/>
    <n v="2024"/>
    <s v="Duyên hải Nam Trung Bộ"/>
    <s v="Sở ban ngành"/>
    <x v="0"/>
    <s v="K"/>
    <n v="156.00548900000001"/>
  </r>
  <r>
    <s v="NDH"/>
    <s v="Ủy Ban Nhân Dân Xã Hoàng Nam"/>
    <s v="ICT"/>
    <n v="30877233"/>
    <d v="2024-10-01T00:00:00"/>
    <n v="10"/>
    <n v="2024"/>
    <s v="ĐB Sông Hồng"/>
    <s v="Sở ban ngành"/>
    <x v="1"/>
    <s v="B"/>
    <n v="30.877233"/>
  </r>
  <r>
    <s v="TQG"/>
    <s v="Ủy Ban Nhân Dân Xã Hợp Hòa"/>
    <s v="NLMT"/>
    <n v="68167273"/>
    <d v="2024-10-01T00:00:00"/>
    <n v="10"/>
    <n v="2024"/>
    <s v="Đông Bắc Bộ"/>
    <s v="Sở ban ngành"/>
    <x v="0"/>
    <s v="K"/>
    <n v="68.167272999999994"/>
  </r>
  <r>
    <s v="BGG"/>
    <s v="Uỷ Ban Nhân Dân Xã Kiên Lao"/>
    <s v="ICT"/>
    <n v="21900000"/>
    <d v="2024-10-01T00:00:00"/>
    <n v="10"/>
    <n v="2024"/>
    <s v="Đông Bắc Bộ"/>
    <s v="Sở ban ngành"/>
    <x v="1"/>
    <s v="F"/>
    <n v="21.9"/>
  </r>
  <r>
    <s v="TBH"/>
    <s v="Ủy Ban Nhân Dân Xã Vũ Đông"/>
    <s v="ICT"/>
    <n v="160233636"/>
    <d v="2024-10-01T00:00:00"/>
    <n v="10"/>
    <n v="2024"/>
    <s v="ĐB Sông Hồng"/>
    <s v="Sở ban ngành"/>
    <x v="0"/>
    <s v="B"/>
    <n v="160.23363599999999"/>
  </r>
  <r>
    <s v="BGG"/>
    <s v="VĂN PHÒNG HĐND-UBND HUYỆN HIỆP HÒA"/>
    <s v="ICT"/>
    <n v="90500000"/>
    <d v="2024-10-01T00:00:00"/>
    <n v="10"/>
    <n v="2024"/>
    <s v="Đông Bắc Bộ"/>
    <s v="Sở ban ngành"/>
    <x v="1"/>
    <s v="F"/>
    <n v="90.5"/>
  </r>
  <r>
    <s v="HNI"/>
    <s v="Viện Khoa Học Địa Chất Và Khoáng Sản"/>
    <s v="ICT"/>
    <n v="133450000"/>
    <d v="2024-10-01T00:00:00"/>
    <n v="10"/>
    <n v="2024"/>
    <s v="ĐB Sông Hồng"/>
    <s v="Sở ban ngành"/>
    <x v="0"/>
    <s v="F"/>
    <n v="133.44999999999999"/>
  </r>
  <r>
    <s v="HNI"/>
    <s v="Cục Nhà Trường/bộ Tổng Tham Mưu"/>
    <s v="ICT"/>
    <n v="144580000"/>
    <d v="2024-10-01T00:00:00"/>
    <n v="10"/>
    <n v="2024"/>
    <s v="ĐB Sông Hồng"/>
    <s v="Trường học"/>
    <x v="1"/>
    <s v="F"/>
    <n v="144.58000000000001"/>
  </r>
  <r>
    <s v="HUG"/>
    <s v="Trường Đại Học Đồng Tháp"/>
    <s v="ME"/>
    <n v="322954545"/>
    <d v="2024-10-01T00:00:00"/>
    <n v="10"/>
    <n v="2024"/>
    <s v="ĐB Sông Cửu Long"/>
    <s v="Trường học"/>
    <x v="0"/>
    <s v="O"/>
    <n v="322.954545"/>
  </r>
  <r>
    <s v="HUG"/>
    <s v="TRƯỜNG ĐẠI HỌC KIẾN TRÚC THÀNH PHỐ HỒ CHÍ MINH"/>
    <s v="Smarthome"/>
    <n v="580901818"/>
    <d v="2024-10-01T00:00:00"/>
    <n v="10"/>
    <n v="2024"/>
    <s v="ĐB Sông Cửu Long"/>
    <s v="Trường học"/>
    <x v="1"/>
    <s v="H"/>
    <n v="580.90181800000005"/>
  </r>
  <r>
    <s v="NAN"/>
    <s v="TRƯỜNG MẦM NON DIỄN HỒNG"/>
    <s v="ICT"/>
    <n v="5581818"/>
    <d v="2024-10-01T00:00:00"/>
    <n v="10"/>
    <n v="2024"/>
    <s v="Bắc Trung Bộ"/>
    <s v="Trường học"/>
    <x v="0"/>
    <s v="A"/>
    <n v="5.5818180000000002"/>
  </r>
  <r>
    <s v="BKN"/>
    <s v="TRƯỜNG MẦM NON HÀ HIỆU"/>
    <s v="DVKT"/>
    <n v="8063636"/>
    <d v="2024-10-01T00:00:00"/>
    <n v="10"/>
    <n v="2024"/>
    <s v="Đông Bắc Bộ"/>
    <s v="Trường học"/>
    <x v="1"/>
    <s v="F"/>
    <n v="8.0636360000000007"/>
  </r>
  <r>
    <s v="HNM"/>
    <s v="Trường Mầm Non Xã Bắc Lý"/>
    <s v="ME"/>
    <n v="34545455"/>
    <d v="2024-10-01T00:00:00"/>
    <n v="10"/>
    <n v="2024"/>
    <s v="ĐB Sông Hồng"/>
    <s v="Trường học"/>
    <x v="0"/>
    <s v="O"/>
    <n v="34.545454999999997"/>
  </r>
  <r>
    <s v="HNM"/>
    <s v="Trường Mầm Non Xã Chân Lý"/>
    <s v="ME"/>
    <n v="34545455"/>
    <d v="2024-10-01T00:00:00"/>
    <n v="10"/>
    <n v="2024"/>
    <s v="ĐB Sông Hồng"/>
    <s v="Trường học"/>
    <x v="1"/>
    <s v="O"/>
    <n v="34.545454999999997"/>
  </r>
  <r>
    <s v="HNM"/>
    <s v="Trường Mầm Non Xã Hợp Lý"/>
    <s v="ME"/>
    <n v="51818182"/>
    <d v="2024-10-01T00:00:00"/>
    <n v="10"/>
    <n v="2024"/>
    <s v="ĐB Sông Hồng"/>
    <s v="Trường học"/>
    <x v="0"/>
    <s v="O"/>
    <n v="51.818182"/>
  </r>
  <r>
    <s v="HNM"/>
    <s v="Trường Mầm Non Xã Nhân Bình"/>
    <s v="ME"/>
    <n v="34545455"/>
    <d v="2024-10-01T00:00:00"/>
    <n v="10"/>
    <n v="2024"/>
    <s v="ĐB Sông Hồng"/>
    <s v="Trường học"/>
    <x v="1"/>
    <s v="O"/>
    <n v="34.545454999999997"/>
  </r>
  <r>
    <s v="HNM"/>
    <s v="TRƯỜNG MẦM NON XÃ TIẾN THẮNG"/>
    <s v="ME"/>
    <n v="34545455"/>
    <d v="2024-10-01T00:00:00"/>
    <n v="10"/>
    <n v="2024"/>
    <s v="ĐB Sông Hồng"/>
    <s v="Trường học"/>
    <x v="0"/>
    <s v="O"/>
    <n v="34.545454999999997"/>
  </r>
  <r>
    <s v="BNH"/>
    <s v="TRƯỜNG THCS KINH BẮC"/>
    <s v="ME"/>
    <n v="88909091"/>
    <d v="2024-10-01T00:00:00"/>
    <n v="10"/>
    <n v="2024"/>
    <s v="ĐB Sông Hồng"/>
    <s v="Trường học"/>
    <x v="1"/>
    <s v="C"/>
    <n v="88.909091000000004"/>
  </r>
  <r>
    <s v="NAN"/>
    <s v="TRƯỜNG THCS QUỲNH PHƯƠNG"/>
    <s v="ICT"/>
    <n v="5181818"/>
    <d v="2024-10-01T00:00:00"/>
    <n v="10"/>
    <n v="2024"/>
    <s v="Bắc Trung Bộ"/>
    <s v="Trường học"/>
    <x v="0"/>
    <s v="A"/>
    <n v="5.1818179999999998"/>
  </r>
  <r>
    <s v="LCU"/>
    <s v="trường TIỂU HỌC ĐẠO LÝ"/>
    <s v="ICT"/>
    <n v="10527636"/>
    <d v="2024-10-01T00:00:00"/>
    <n v="10"/>
    <n v="2024"/>
    <s v="Tây Bắc Bộ"/>
    <s v="Trường học"/>
    <x v="1"/>
    <s v="B"/>
    <n v="10.527635999999999"/>
  </r>
  <r>
    <s v="CMU"/>
    <s v="Trường THPT Chuyên Phan Ngọc Hiển"/>
    <s v="ICT"/>
    <n v="61097000"/>
    <d v="2024-10-01T00:00:00"/>
    <n v="10"/>
    <n v="2024"/>
    <s v="ĐB Sông Cửu Long"/>
    <s v="Trường học"/>
    <x v="0"/>
    <s v="A"/>
    <n v="61.097000000000001"/>
  </r>
  <r>
    <s v="PTO"/>
    <s v="Trường Thpt Hùng Vương"/>
    <s v="Smarthome"/>
    <n v="89392727"/>
    <d v="2024-10-01T00:00:00"/>
    <n v="10"/>
    <n v="2024"/>
    <s v="Đông Bắc Bộ"/>
    <s v="Trường học"/>
    <x v="1"/>
    <s v="H"/>
    <n v="89.392726999999994"/>
  </r>
  <r>
    <s v="HNM"/>
    <s v="TRƯỜNG TIỂU HỌC A KIỆN KHÊ"/>
    <s v="ME"/>
    <n v="15800000"/>
    <d v="2024-10-01T00:00:00"/>
    <n v="10"/>
    <n v="2024"/>
    <s v="ĐB Sông Hồng"/>
    <s v="Trường học"/>
    <x v="0"/>
    <s v="O"/>
    <n v="15.8"/>
  </r>
  <r>
    <s v="TGG"/>
    <s v="TRƯỜNG TIỂU HỌC B AN HỮU"/>
    <s v="ICT"/>
    <n v="10309091"/>
    <d v="2024-10-01T00:00:00"/>
    <n v="10"/>
    <n v="2024"/>
    <s v="ĐB Sông Cửu Long"/>
    <s v="Trường học"/>
    <x v="1"/>
    <s v="B"/>
    <n v="10.309091"/>
  </r>
  <r>
    <s v="NAN"/>
    <s v="TRƯỜNG TIỂU HỌC DIỄN LÂM 1"/>
    <s v="ICT"/>
    <n v="18709091"/>
    <d v="2024-10-01T00:00:00"/>
    <n v="10"/>
    <n v="2024"/>
    <s v="Bắc Trung Bộ"/>
    <s v="Trường học"/>
    <x v="0"/>
    <s v="A"/>
    <n v="18.709091000000001"/>
  </r>
  <r>
    <s v="BKN"/>
    <s v="TRƯỜNG TIỂU HỌC HUYỀN TỤNG"/>
    <s v="DVKT"/>
    <n v="10900000"/>
    <d v="2024-10-01T00:00:00"/>
    <n v="10"/>
    <n v="2024"/>
    <s v="Đông Bắc Bộ"/>
    <s v="Trường học"/>
    <x v="1"/>
    <s v="A"/>
    <n v="10.9"/>
  </r>
  <r>
    <s v="BGG"/>
    <s v="TRƯỜNG TIỂU HỌC LƯƠNG PHONG SỐ 1"/>
    <s v="ICT"/>
    <n v="39980000"/>
    <d v="2024-10-01T00:00:00"/>
    <n v="10"/>
    <n v="2024"/>
    <s v="Đông Bắc Bộ"/>
    <s v="Trường học"/>
    <x v="0"/>
    <s v="A"/>
    <n v="39.979999999999997"/>
  </r>
  <r>
    <s v="DTP"/>
    <s v="TRƯỜNG TIỂU HỌC LÝ THƯỜNG KIỆT"/>
    <s v="ICT"/>
    <n v="10636364"/>
    <d v="2024-10-01T00:00:00"/>
    <n v="10"/>
    <n v="2024"/>
    <s v="ĐB Sông Cửu Long"/>
    <s v="Trường học"/>
    <x v="1"/>
    <s v="B"/>
    <n v="10.636364"/>
  </r>
  <r>
    <s v="NAN"/>
    <s v="Trường Tiểu Học Nghi Thạch"/>
    <s v="ICT"/>
    <n v="17370909"/>
    <d v="2024-10-01T00:00:00"/>
    <n v="10"/>
    <n v="2024"/>
    <s v="Bắc Trung Bộ"/>
    <s v="Trường học"/>
    <x v="0"/>
    <s v="A"/>
    <n v="17.370909000000001"/>
  </r>
  <r>
    <s v="NAN"/>
    <s v="TRƯỜNG TIỂU HỌC QUỲNH GIANG"/>
    <s v="ME"/>
    <n v="29727273"/>
    <d v="2024-10-01T00:00:00"/>
    <n v="10"/>
    <n v="2024"/>
    <s v="Bắc Trung Bộ"/>
    <s v="Trường học"/>
    <x v="1"/>
    <s v="O"/>
    <n v="29.727273"/>
  </r>
  <r>
    <s v="NAN"/>
    <s v="TRƯỜNG TIỂU HỌC QUỲNH GIANG"/>
    <s v="ME"/>
    <n v="31518182"/>
    <d v="2024-10-01T00:00:00"/>
    <n v="10"/>
    <n v="2024"/>
    <s v="Bắc Trung Bộ"/>
    <s v="Trường học"/>
    <x v="0"/>
    <s v="O"/>
    <n v="31.518181999999999"/>
  </r>
  <r>
    <s v="VLG"/>
    <s v="TRƯỜNG TIỂU HỌC TÂN QUỚI TRUNG A"/>
    <s v="ICT"/>
    <n v="13738636"/>
    <d v="2024-10-01T00:00:00"/>
    <n v="10"/>
    <n v="2024"/>
    <s v="ĐB Sông Cửu Long"/>
    <s v="Trường học"/>
    <x v="1"/>
    <s v="A"/>
    <n v="13.738636"/>
  </r>
  <r>
    <s v="DTP"/>
    <s v="TRƯỜNG TIỂU HỌC TÂN THUẬN TÂY"/>
    <s v="DVKT"/>
    <n v="36750000"/>
    <d v="2024-10-01T00:00:00"/>
    <n v="10"/>
    <n v="2024"/>
    <s v="ĐB Sông Cửu Long"/>
    <s v="Trường học"/>
    <x v="0"/>
    <s v="E"/>
    <n v="36.75"/>
  </r>
  <r>
    <s v="BNH"/>
    <s v="TRƯỜNG TIỂU HỌC THỊ CẦU"/>
    <s v="ME"/>
    <n v="280485123"/>
    <d v="2024-10-01T00:00:00"/>
    <n v="10"/>
    <n v="2024"/>
    <s v="ĐB Sông Hồng"/>
    <s v="Trường học"/>
    <x v="1"/>
    <s v="C"/>
    <n v="280.48512299999999"/>
  </r>
  <r>
    <s v="PTO"/>
    <s v="Trường Tiểu Học Văn Lương"/>
    <s v="ICT"/>
    <n v="25252327"/>
    <d v="2024-10-01T00:00:00"/>
    <n v="10"/>
    <n v="2024"/>
    <s v="Đông Bắc Bộ"/>
    <s v="Trường học"/>
    <x v="0"/>
    <s v="A"/>
    <n v="25.252327000000001"/>
  </r>
  <r>
    <s v="BNH"/>
    <s v="Trường Tiểu Học Vũ Ninh 2"/>
    <s v="ME"/>
    <n v="130739862"/>
    <d v="2024-10-01T00:00:00"/>
    <n v="10"/>
    <n v="2024"/>
    <s v="ĐB Sông Hồng"/>
    <s v="Trường học"/>
    <x v="1"/>
    <s v="C"/>
    <n v="130.73986199999999"/>
  </r>
  <r>
    <s v="PTO"/>
    <s v="Trường trung học cơ sở Hương Nộn"/>
    <s v="DVKT"/>
    <n v="32141236"/>
    <d v="2024-10-01T00:00:00"/>
    <n v="10"/>
    <n v="2024"/>
    <s v="Đông Bắc Bộ"/>
    <s v="Trường học"/>
    <x v="0"/>
    <s v="B"/>
    <n v="32.141235999999999"/>
  </r>
  <r>
    <s v="PTO"/>
    <s v="Trường Trung Học Sơ Sở Tam Thanh"/>
    <s v="ICT"/>
    <n v="80000000"/>
    <d v="2024-10-01T00:00:00"/>
    <n v="10"/>
    <n v="2024"/>
    <s v="Đông Bắc Bộ"/>
    <s v="Trường học"/>
    <x v="1"/>
    <s v="F"/>
    <n v="80"/>
  </r>
  <r>
    <s v="BDH"/>
    <s v="BỆNH VIỆN ĐA KHOA TỈNH BÌNH ĐỊNH"/>
    <s v="ICT"/>
    <n v="964209400"/>
    <d v="2024-11-01T00:00:00"/>
    <n v="11"/>
    <n v="2024"/>
    <s v="Duyên hải Nam Trung Bộ"/>
    <s v="Bệnh viện"/>
    <x v="0"/>
    <s v="U"/>
    <n v="964.20939999999996"/>
  </r>
  <r>
    <s v="NAN"/>
    <s v="Bệnh Viện Quân Y 4"/>
    <s v="ICT"/>
    <n v="8909091"/>
    <d v="2024-11-01T00:00:00"/>
    <n v="11"/>
    <n v="2024"/>
    <s v="Bắc Trung Bộ"/>
    <s v="Bệnh viện"/>
    <x v="1"/>
    <s v="A"/>
    <n v="8.9090910000000001"/>
  </r>
  <r>
    <s v="TQG"/>
    <s v="BỆNH VIỆN Y DƯỢC CỔ TRUYỀN TUYÊN QUANG"/>
    <s v="ICT"/>
    <n v="35938182"/>
    <d v="2024-11-01T00:00:00"/>
    <n v="11"/>
    <n v="2024"/>
    <s v="Đông Bắc Bộ"/>
    <s v="Bệnh viện"/>
    <x v="0"/>
    <s v="A"/>
    <n v="35.938181999999998"/>
  </r>
  <r>
    <s v="HCM"/>
    <s v="Công ty 25"/>
    <s v="NLMT"/>
    <n v="2324028867"/>
    <d v="2024-11-01T00:00:00"/>
    <n v="11"/>
    <n v="2024"/>
    <s v="Đông Nam Bộ"/>
    <s v="Doanh nghiệp"/>
    <x v="1"/>
    <s v="D"/>
    <n v="2324.028867"/>
  </r>
  <r>
    <s v="HCM"/>
    <s v="Công ty 26"/>
    <s v="DVKT"/>
    <n v="942257509"/>
    <d v="2024-11-01T00:00:00"/>
    <n v="11"/>
    <n v="2024"/>
    <s v="Đông Nam Bộ"/>
    <s v="Doanh nghiệp"/>
    <x v="0"/>
    <s v="D"/>
    <n v="942.25750900000003"/>
  </r>
  <r>
    <s v="HNM"/>
    <s v="Công ty 27"/>
    <s v="ME"/>
    <n v="12545455"/>
    <d v="2024-11-01T00:00:00"/>
    <n v="11"/>
    <n v="2024"/>
    <s v="ĐB Sông Hồng"/>
    <s v="Doanh nghiệp"/>
    <x v="1"/>
    <s v="C"/>
    <n v="12.545455"/>
  </r>
  <r>
    <s v="QBH"/>
    <s v="Công ty 35"/>
    <s v="NLMT"/>
    <n v="1439111000"/>
    <d v="2024-11-01T00:00:00"/>
    <n v="11"/>
    <n v="2024"/>
    <s v="Bắc Trung Bộ"/>
    <s v="Doanh nghiệp"/>
    <x v="0"/>
    <s v="D"/>
    <n v="1439.1110000000001"/>
  </r>
  <r>
    <s v="TGG"/>
    <s v="Công ty 25"/>
    <s v="NLMT"/>
    <n v="297462597"/>
    <d v="2024-11-01T00:00:00"/>
    <n v="11"/>
    <n v="2024"/>
    <s v="ĐB Sông Cửu Long"/>
    <s v="Doanh nghiệp"/>
    <x v="1"/>
    <s v="D"/>
    <n v="297.46259700000002"/>
  </r>
  <r>
    <s v="YBI"/>
    <s v="Công ty 14"/>
    <s v="ICT"/>
    <n v="65550000"/>
    <d v="2024-11-01T00:00:00"/>
    <n v="11"/>
    <n v="2024"/>
    <s v="Tây Bắc Bộ"/>
    <s v="Doanh nghiệp"/>
    <x v="0"/>
    <s v="A"/>
    <n v="65.55"/>
  </r>
  <r>
    <s v="GLI"/>
    <s v="Công ty 31"/>
    <s v="NLMT"/>
    <n v="47536636"/>
    <d v="2024-11-01T00:00:00"/>
    <n v="11"/>
    <n v="2024"/>
    <s v="Tây Nguyên"/>
    <s v="Doanh nghiệp"/>
    <x v="1"/>
    <s v="D"/>
    <n v="47.536636000000001"/>
  </r>
  <r>
    <s v="QTI"/>
    <s v="Công ty 36"/>
    <s v="ME"/>
    <n v="706406337"/>
    <d v="2024-11-01T00:00:00"/>
    <n v="11"/>
    <n v="2024"/>
    <s v="Bắc Trung Bộ"/>
    <s v="Doanh nghiệp"/>
    <x v="0"/>
    <s v="C"/>
    <n v="706.40633700000001"/>
  </r>
  <r>
    <s v="HNI"/>
    <s v="Công ty 61"/>
    <s v="ICT"/>
    <n v="232450000"/>
    <d v="2024-11-01T00:00:00"/>
    <n v="11"/>
    <n v="2024"/>
    <s v="ĐB Sông Hồng"/>
    <s v="Doanh nghiệp"/>
    <x v="1"/>
    <s v="F"/>
    <n v="232.45"/>
  </r>
  <r>
    <s v="HNI"/>
    <s v="Công ty 62"/>
    <s v="ICT"/>
    <n v="329150000"/>
    <d v="2024-11-01T00:00:00"/>
    <n v="11"/>
    <n v="2024"/>
    <s v="ĐB Sông Hồng"/>
    <s v="Doanh nghiệp"/>
    <x v="0"/>
    <s v="F"/>
    <n v="329.15"/>
  </r>
  <r>
    <s v="KHA"/>
    <s v="Công ty 83"/>
    <s v="ME"/>
    <n v="42499545"/>
    <d v="2024-11-01T00:00:00"/>
    <n v="11"/>
    <n v="2024"/>
    <s v="Duyên hải Nam Trung Bộ"/>
    <s v="Doanh nghiệp"/>
    <x v="1"/>
    <s v="C"/>
    <n v="42.499544999999998"/>
  </r>
  <r>
    <s v="PTO"/>
    <s v="Công ty 86"/>
    <s v="ME"/>
    <n v="37407273"/>
    <d v="2024-11-01T00:00:00"/>
    <n v="11"/>
    <n v="2024"/>
    <s v="Đông Bắc Bộ"/>
    <s v="Doanh nghiệp"/>
    <x v="0"/>
    <s v="C"/>
    <n v="37.407273000000004"/>
  </r>
  <r>
    <s v="BKN"/>
    <s v="Công ty 42"/>
    <s v="ICT"/>
    <n v="288176458"/>
    <d v="2024-11-01T00:00:00"/>
    <n v="11"/>
    <n v="2024"/>
    <s v="Đông Bắc Bộ"/>
    <s v="Doanh nghiệp"/>
    <x v="1"/>
    <s v="A"/>
    <n v="288.17645800000003"/>
  </r>
  <r>
    <s v="BNH"/>
    <s v="Công ty 70"/>
    <s v="NLMT"/>
    <n v="17456341286"/>
    <d v="2024-11-01T00:00:00"/>
    <n v="11"/>
    <n v="2024"/>
    <s v="ĐB Sông Hồng"/>
    <s v="Doanh nghiệp"/>
    <x v="0"/>
    <s v="D"/>
    <n v="17456.341285999999"/>
  </r>
  <r>
    <s v="PTO"/>
    <s v="Công ty 93"/>
    <s v="DVKT"/>
    <n v="160078300"/>
    <d v="2024-11-01T00:00:00"/>
    <n v="11"/>
    <n v="2024"/>
    <s v="Đông Bắc Bộ"/>
    <s v="Doanh nghiệp"/>
    <x v="1"/>
    <s v="B"/>
    <n v="160.07830000000001"/>
  </r>
  <r>
    <s v="PTO"/>
    <s v="Công ty 94"/>
    <s v="ME"/>
    <n v="74439214"/>
    <d v="2024-11-01T00:00:00"/>
    <n v="11"/>
    <n v="2024"/>
    <s v="Đông Bắc Bộ"/>
    <s v="Doanh nghiệp"/>
    <x v="0"/>
    <s v="E"/>
    <n v="74.439214000000007"/>
  </r>
  <r>
    <s v="LDG"/>
    <s v="Công ty 11"/>
    <s v="ME"/>
    <n v="310485455"/>
    <d v="2024-11-01T00:00:00"/>
    <n v="11"/>
    <n v="2024"/>
    <s v="Tây Nguyên"/>
    <s v="Doanh nghiệp"/>
    <x v="1"/>
    <s v="M"/>
    <n v="310.485455"/>
  </r>
  <r>
    <s v="GLI"/>
    <s v="Công ty 17"/>
    <s v="DVKT"/>
    <n v="25463636"/>
    <d v="2024-11-01T00:00:00"/>
    <n v="11"/>
    <n v="2024"/>
    <s v="Tây Nguyên"/>
    <s v="Doanh nghiệp"/>
    <x v="0"/>
    <s v="A"/>
    <n v="25.463636000000001"/>
  </r>
  <r>
    <s v="DNG"/>
    <s v="Công ty 46"/>
    <s v="NLMT"/>
    <n v="293385000"/>
    <d v="2024-11-01T00:00:00"/>
    <n v="11"/>
    <n v="2024"/>
    <s v="Duyên hải Nam Trung Bộ"/>
    <s v="Doanh nghiệp"/>
    <x v="1"/>
    <s v="D"/>
    <n v="293.38499999999999"/>
  </r>
  <r>
    <s v="PTO"/>
    <s v="Công ty 66"/>
    <s v="ICT"/>
    <n v="408031122"/>
    <d v="2024-11-01T00:00:00"/>
    <n v="11"/>
    <n v="2024"/>
    <s v="Đông Bắc Bộ"/>
    <s v="Doanh nghiệp"/>
    <x v="0"/>
    <s v="B"/>
    <n v="408.03112199999998"/>
  </r>
  <r>
    <s v="DLK"/>
    <s v="Công ty 67"/>
    <s v="DVKT"/>
    <n v="6381818"/>
    <d v="2024-11-01T00:00:00"/>
    <n v="11"/>
    <n v="2024"/>
    <s v="Tây Nguyên"/>
    <s v="Doanh nghiệp"/>
    <x v="1"/>
    <s v="C"/>
    <n v="6.381818"/>
  </r>
  <r>
    <s v="VTU"/>
    <s v="Công ty 90"/>
    <s v="ME"/>
    <n v="18026852078"/>
    <d v="2024-11-01T00:00:00"/>
    <n v="11"/>
    <n v="2024"/>
    <s v="Đông Nam Bộ"/>
    <s v="Doanh nghiệp"/>
    <x v="0"/>
    <s v="E"/>
    <n v="18026.852078"/>
  </r>
  <r>
    <s v="NAN"/>
    <s v="Công ty 95"/>
    <s v="NLMT"/>
    <n v="74545455"/>
    <d v="2024-11-01T00:00:00"/>
    <n v="11"/>
    <n v="2024"/>
    <s v="Bắc Trung Bộ"/>
    <s v="Doanh nghiệp"/>
    <x v="1"/>
    <s v="D"/>
    <n v="74.545455000000004"/>
  </r>
  <r>
    <s v="NAN"/>
    <s v="Công ty 6"/>
    <s v="ICT"/>
    <n v="22965455"/>
    <d v="2024-11-01T00:00:00"/>
    <n v="11"/>
    <n v="2024"/>
    <s v="Bắc Trung Bộ"/>
    <s v="Doanh nghiệp"/>
    <x v="0"/>
    <s v="B"/>
    <n v="22.965454999999999"/>
  </r>
  <r>
    <s v="DTP"/>
    <s v="Công ty 7"/>
    <s v="ICT"/>
    <n v="127841818"/>
    <d v="2024-11-01T00:00:00"/>
    <n v="11"/>
    <n v="2024"/>
    <s v="ĐB Sông Cửu Long"/>
    <s v="Doanh nghiệp"/>
    <x v="1"/>
    <s v="B"/>
    <n v="127.841818"/>
  </r>
  <r>
    <s v="NAN"/>
    <s v="Công ty 12"/>
    <s v="ICT"/>
    <n v="10985455"/>
    <d v="2024-11-01T00:00:00"/>
    <n v="11"/>
    <n v="2024"/>
    <s v="Bắc Trung Bộ"/>
    <s v="Doanh nghiệp"/>
    <x v="0"/>
    <s v="B"/>
    <n v="10.985455"/>
  </r>
  <r>
    <s v="TQG"/>
    <s v="Công ty 26"/>
    <s v="DVKT"/>
    <n v="6319964"/>
    <d v="2024-11-01T00:00:00"/>
    <n v="11"/>
    <n v="2024"/>
    <s v="Đông Bắc Bộ"/>
    <s v="Doanh nghiệp"/>
    <x v="1"/>
    <s v="C"/>
    <n v="6.3199639999999997"/>
  </r>
  <r>
    <s v="HUG"/>
    <s v="Công ty 34"/>
    <s v="ME"/>
    <n v="105663283"/>
    <d v="2024-11-01T00:00:00"/>
    <n v="11"/>
    <n v="2024"/>
    <s v="ĐB Sông Cửu Long"/>
    <s v="Doanh nghiệp"/>
    <x v="0"/>
    <s v="M"/>
    <n v="105.66328300000001"/>
  </r>
  <r>
    <s v="HUG"/>
    <s v="Công ty 35"/>
    <s v="DVKT"/>
    <n v="26454545"/>
    <d v="2024-11-01T00:00:00"/>
    <n v="11"/>
    <n v="2024"/>
    <s v="ĐB Sông Cửu Long"/>
    <s v="Doanh nghiệp"/>
    <x v="1"/>
    <s v="C"/>
    <n v="26.454545"/>
  </r>
  <r>
    <s v="LCU"/>
    <s v="Công ty 37"/>
    <s v="ICT"/>
    <n v="5311727"/>
    <d v="2024-11-01T00:00:00"/>
    <n v="11"/>
    <n v="2024"/>
    <s v="Tây Bắc Bộ"/>
    <s v="Doanh nghiệp"/>
    <x v="0"/>
    <s v="B"/>
    <n v="5.3117270000000003"/>
  </r>
  <r>
    <s v="NAN"/>
    <s v="Công ty 44"/>
    <s v="ICT"/>
    <n v="10181818"/>
    <d v="2024-11-01T00:00:00"/>
    <n v="11"/>
    <n v="2024"/>
    <s v="Bắc Trung Bộ"/>
    <s v="Doanh nghiệp"/>
    <x v="1"/>
    <s v="F"/>
    <n v="10.181818"/>
  </r>
  <r>
    <s v="KGG"/>
    <s v="Công ty 63"/>
    <s v="DVKT"/>
    <n v="30371000"/>
    <d v="2024-11-01T00:00:00"/>
    <n v="11"/>
    <n v="2024"/>
    <s v="ĐB Sông Cửu Long"/>
    <s v="Doanh nghiệp"/>
    <x v="0"/>
    <s v="A"/>
    <n v="30.370999999999999"/>
  </r>
  <r>
    <s v="QNI"/>
    <s v="Công ty 75"/>
    <s v="ICT"/>
    <n v="27706773"/>
    <d v="2024-11-01T00:00:00"/>
    <n v="11"/>
    <n v="2024"/>
    <s v="Duyên hải Nam Trung Bộ"/>
    <s v="Doanh nghiệp"/>
    <x v="1"/>
    <s v="B"/>
    <n v="27.706772999999998"/>
  </r>
  <r>
    <s v="KHA"/>
    <s v="Công ty 76"/>
    <s v="NLMT"/>
    <n v="5738467149"/>
    <d v="2024-11-01T00:00:00"/>
    <n v="11"/>
    <n v="2024"/>
    <s v="Duyên hải Nam Trung Bộ"/>
    <s v="Doanh nghiệp"/>
    <x v="0"/>
    <s v="D"/>
    <n v="5738.4671490000001"/>
  </r>
  <r>
    <s v="NTN"/>
    <s v="Công ty 78"/>
    <s v="NLMT"/>
    <n v="152545455"/>
    <d v="2024-11-01T00:00:00"/>
    <n v="11"/>
    <n v="2024"/>
    <s v="Duyên hải Nam Trung Bộ"/>
    <s v="Doanh nghiệp"/>
    <x v="1"/>
    <s v="D"/>
    <n v="152.545455"/>
  </r>
  <r>
    <s v="BPC"/>
    <s v="Công ty 88"/>
    <s v="ICT"/>
    <n v="25201364"/>
    <d v="2024-11-01T00:00:00"/>
    <n v="11"/>
    <n v="2024"/>
    <s v="Đông Nam Bộ"/>
    <s v="Doanh nghiệp"/>
    <x v="0"/>
    <s v="A"/>
    <n v="25.201364000000002"/>
  </r>
  <r>
    <s v="BPC"/>
    <s v="Công ty 90"/>
    <s v="ICT"/>
    <n v="32841818"/>
    <d v="2024-11-01T00:00:00"/>
    <n v="11"/>
    <n v="2024"/>
    <s v="Đông Nam Bộ"/>
    <s v="Doanh nghiệp"/>
    <x v="1"/>
    <s v="A"/>
    <n v="32.841818000000004"/>
  </r>
  <r>
    <s v="HNI"/>
    <s v="Công ty 93"/>
    <s v="NLMT"/>
    <n v="905974800"/>
    <d v="2024-11-01T00:00:00"/>
    <n v="11"/>
    <n v="2024"/>
    <s v="ĐB Sông Hồng"/>
    <s v="Doanh nghiệp"/>
    <x v="0"/>
    <s v="D"/>
    <n v="905.97479999999996"/>
  </r>
  <r>
    <s v="AGG"/>
    <s v="Công ty 4"/>
    <s v="ICT"/>
    <n v="450763000"/>
    <d v="2024-11-01T00:00:00"/>
    <n v="11"/>
    <n v="2024"/>
    <s v="ĐB Sông Cửu Long"/>
    <s v="Doanh nghiệp"/>
    <x v="1"/>
    <s v="B"/>
    <n v="450.76299999999998"/>
  </r>
  <r>
    <s v="DNG"/>
    <s v="Công ty 18"/>
    <s v="ICT"/>
    <n v="135109000"/>
    <d v="2024-11-01T00:00:00"/>
    <n v="11"/>
    <n v="2024"/>
    <s v="Duyên hải Nam Trung Bộ"/>
    <s v="Doanh nghiệp"/>
    <x v="0"/>
    <s v="F"/>
    <n v="135.10900000000001"/>
  </r>
  <r>
    <s v="BTN"/>
    <s v="Công ty 31"/>
    <s v="ICT"/>
    <n v="33718300"/>
    <d v="2024-11-01T00:00:00"/>
    <n v="11"/>
    <n v="2024"/>
    <s v="Duyên hải Nam Trung Bộ"/>
    <s v="Doanh nghiệp"/>
    <x v="1"/>
    <s v="B"/>
    <n v="33.718299999999999"/>
  </r>
  <r>
    <s v="QNM"/>
    <s v="Công ty 39"/>
    <s v="ICT"/>
    <n v="35592500"/>
    <d v="2024-11-01T00:00:00"/>
    <n v="11"/>
    <n v="2024"/>
    <s v="Duyên hải Nam Trung Bộ"/>
    <s v="Doanh nghiệp"/>
    <x v="0"/>
    <s v="B"/>
    <n v="35.592500000000001"/>
  </r>
  <r>
    <s v="BPC"/>
    <s v="Công ty 59"/>
    <s v="ICT"/>
    <n v="62165636"/>
    <d v="2024-11-01T00:00:00"/>
    <n v="11"/>
    <n v="2024"/>
    <s v="Đông Nam Bộ"/>
    <s v="Doanh nghiệp"/>
    <x v="1"/>
    <s v="A"/>
    <n v="62.165635999999999"/>
  </r>
  <r>
    <s v="QTI"/>
    <s v="Công ty 76"/>
    <s v="ME"/>
    <n v="2609852753"/>
    <d v="2024-11-01T00:00:00"/>
    <n v="11"/>
    <n v="2024"/>
    <s v="Bắc Trung Bộ"/>
    <s v="Doanh nghiệp"/>
    <x v="0"/>
    <s v="M"/>
    <n v="2609.8527530000001"/>
  </r>
  <r>
    <s v="NAN"/>
    <s v="Công ty 20"/>
    <s v="ICT"/>
    <n v="23804545"/>
    <d v="2024-11-01T00:00:00"/>
    <n v="11"/>
    <n v="2024"/>
    <s v="Bắc Trung Bộ"/>
    <s v="Doanh nghiệp"/>
    <x v="1"/>
    <s v="B"/>
    <n v="23.804545000000001"/>
  </r>
  <r>
    <s v="BDH"/>
    <s v="Công ty 25"/>
    <s v="DVKT"/>
    <n v="61957091"/>
    <d v="2024-11-01T00:00:00"/>
    <n v="11"/>
    <n v="2024"/>
    <s v="Duyên hải Nam Trung Bộ"/>
    <s v="Doanh nghiệp"/>
    <x v="0"/>
    <s v="A"/>
    <n v="61.957090999999998"/>
  </r>
  <r>
    <s v="HCM"/>
    <s v="Công ty 30"/>
    <s v="NLMT"/>
    <n v="8370494224"/>
    <d v="2024-11-01T00:00:00"/>
    <n v="11"/>
    <n v="2024"/>
    <s v="Đông Nam Bộ"/>
    <s v="Doanh nghiệp"/>
    <x v="1"/>
    <s v="D"/>
    <n v="8370.494224"/>
  </r>
  <r>
    <s v="BPC"/>
    <s v="Công ty 40"/>
    <s v="ICT"/>
    <n v="12046909"/>
    <d v="2024-11-01T00:00:00"/>
    <n v="11"/>
    <n v="2024"/>
    <s v="Đông Nam Bộ"/>
    <s v="Doanh nghiệp"/>
    <x v="0"/>
    <s v="A"/>
    <n v="12.046908999999999"/>
  </r>
  <r>
    <s v="BPC"/>
    <s v="Công ty 41"/>
    <s v="ME"/>
    <n v="192000000"/>
    <d v="2024-11-01T00:00:00"/>
    <n v="11"/>
    <n v="2024"/>
    <s v="Đông Nam Bộ"/>
    <s v="Doanh nghiệp"/>
    <x v="1"/>
    <s v="C"/>
    <n v="192"/>
  </r>
  <r>
    <s v="BPC"/>
    <s v="Công ty 43"/>
    <s v="ICT"/>
    <n v="7200000"/>
    <d v="2024-11-01T00:00:00"/>
    <n v="11"/>
    <n v="2024"/>
    <s v="Đông Nam Bộ"/>
    <s v="Doanh nghiệp"/>
    <x v="0"/>
    <s v="A"/>
    <n v="7.2"/>
  </r>
  <r>
    <s v="HCM"/>
    <s v="Công ty 44"/>
    <s v="NLMT"/>
    <n v="60442273"/>
    <d v="2024-11-01T00:00:00"/>
    <n v="11"/>
    <n v="2024"/>
    <s v="Đông Nam Bộ"/>
    <s v="Doanh nghiệp"/>
    <x v="1"/>
    <s v="D"/>
    <n v="60.442273"/>
  </r>
  <r>
    <s v="HTH"/>
    <s v="Công ty 51"/>
    <s v="ME"/>
    <n v="9860000"/>
    <d v="2024-11-01T00:00:00"/>
    <n v="11"/>
    <n v="2024"/>
    <s v="Bắc Trung Bộ"/>
    <s v="Doanh nghiệp"/>
    <x v="0"/>
    <s v="C"/>
    <n v="9.86"/>
  </r>
  <r>
    <s v="HNM"/>
    <s v="Công ty 77"/>
    <s v="ME"/>
    <n v="34150909"/>
    <d v="2024-11-01T00:00:00"/>
    <n v="11"/>
    <n v="2024"/>
    <s v="ĐB Sông Hồng"/>
    <s v="Doanh nghiệp"/>
    <x v="1"/>
    <s v="C"/>
    <n v="34.150908999999999"/>
  </r>
  <r>
    <s v="BLU"/>
    <s v="Công ty 91"/>
    <s v="ICT"/>
    <n v="78181818"/>
    <d v="2024-11-01T00:00:00"/>
    <n v="11"/>
    <n v="2024"/>
    <s v="ĐB Sông Cửu Long"/>
    <s v="Doanh nghiệp"/>
    <x v="0"/>
    <s v="B"/>
    <n v="78.181818000000007"/>
  </r>
  <r>
    <s v="GLI"/>
    <s v="Công ty 19"/>
    <s v="NLMT"/>
    <n v="591221551"/>
    <d v="2024-11-01T00:00:00"/>
    <n v="11"/>
    <n v="2024"/>
    <s v="Tây Nguyên"/>
    <s v="Doanh nghiệp"/>
    <x v="1"/>
    <s v="D"/>
    <n v="591.22155099999998"/>
  </r>
  <r>
    <s v="CTO"/>
    <s v="Công ty 28"/>
    <s v="NLMT"/>
    <n v="275067273"/>
    <d v="2024-11-01T00:00:00"/>
    <n v="11"/>
    <n v="2024"/>
    <s v="ĐB Sông Cửu Long"/>
    <s v="Doanh nghiệp"/>
    <x v="0"/>
    <s v="D"/>
    <n v="275.067273"/>
  </r>
  <r>
    <s v="TNN"/>
    <s v="Công ty 31"/>
    <s v="ICT"/>
    <n v="187200000"/>
    <d v="2024-11-01T00:00:00"/>
    <n v="11"/>
    <n v="2024"/>
    <s v="Đông Bắc Bộ"/>
    <s v="Doanh nghiệp"/>
    <x v="1"/>
    <s v="F"/>
    <n v="187.2"/>
  </r>
  <r>
    <s v="HNI"/>
    <s v="Công ty 33"/>
    <s v="ICT"/>
    <n v="2972272727"/>
    <d v="2024-11-01T00:00:00"/>
    <n v="11"/>
    <n v="2024"/>
    <s v="ĐB Sông Hồng"/>
    <s v="Doanh nghiệp"/>
    <x v="0"/>
    <s v="G"/>
    <n v="2972.272727"/>
  </r>
  <r>
    <s v="DCN"/>
    <s v="Công ty 39"/>
    <s v="ICT"/>
    <n v="197203636"/>
    <d v="2024-11-01T00:00:00"/>
    <n v="11"/>
    <n v="2024"/>
    <s v="Tây Nguyên"/>
    <s v="Doanh nghiệp"/>
    <x v="1"/>
    <s v="A"/>
    <n v="197.20363599999999"/>
  </r>
  <r>
    <s v="HPG"/>
    <s v="Công ty 66"/>
    <s v="ME"/>
    <n v="434330909"/>
    <d v="2024-11-01T00:00:00"/>
    <n v="11"/>
    <n v="2024"/>
    <s v="ĐB Sông Hồng"/>
    <s v="Doanh nghiệp"/>
    <x v="0"/>
    <s v="C"/>
    <n v="434.33090900000002"/>
  </r>
  <r>
    <s v="TQG"/>
    <s v="Công ty 74"/>
    <s v="ICT"/>
    <n v="13926364"/>
    <d v="2024-11-01T00:00:00"/>
    <n v="11"/>
    <n v="2024"/>
    <s v="Đông Bắc Bộ"/>
    <s v="Doanh nghiệp"/>
    <x v="1"/>
    <s v="B"/>
    <n v="13.926364"/>
  </r>
  <r>
    <s v="VLG"/>
    <s v="Công ty 85"/>
    <s v="ME"/>
    <n v="47571636"/>
    <d v="2024-11-01T00:00:00"/>
    <n v="11"/>
    <n v="2024"/>
    <s v="ĐB Sông Cửu Long"/>
    <s v="Doanh nghiệp"/>
    <x v="0"/>
    <s v="C"/>
    <n v="47.571635999999998"/>
  </r>
  <r>
    <s v="CTO"/>
    <s v="Công ty 92"/>
    <s v="ME"/>
    <n v="125763636"/>
    <d v="2024-11-01T00:00:00"/>
    <n v="11"/>
    <n v="2024"/>
    <s v="ĐB Sông Cửu Long"/>
    <s v="Doanh nghiệp"/>
    <x v="1"/>
    <s v="C"/>
    <n v="125.76363600000001"/>
  </r>
  <r>
    <s v="QTI"/>
    <s v="Công ty 5"/>
    <s v="DVKT"/>
    <n v="520391657"/>
    <d v="2024-11-01T00:00:00"/>
    <n v="11"/>
    <n v="2024"/>
    <s v="Bắc Trung Bộ"/>
    <s v="Doanh nghiệp"/>
    <x v="0"/>
    <s v="E"/>
    <n v="520.39165700000001"/>
  </r>
  <r>
    <s v="VPC"/>
    <s v="Công ty 6"/>
    <s v="NLMT"/>
    <n v="98722727"/>
    <d v="2024-11-01T00:00:00"/>
    <n v="11"/>
    <n v="2024"/>
    <s v="ĐB Sông Hồng"/>
    <s v="Doanh nghiệp"/>
    <x v="1"/>
    <s v="D"/>
    <n v="98.722727000000006"/>
  </r>
  <r>
    <s v="HCM"/>
    <s v="Công ty 18"/>
    <s v="NLMT"/>
    <n v="1335775513"/>
    <d v="2024-11-01T00:00:00"/>
    <n v="11"/>
    <n v="2024"/>
    <s v="Đông Nam Bộ"/>
    <s v="Doanh nghiệp"/>
    <x v="0"/>
    <s v="D"/>
    <n v="1335.775513"/>
  </r>
  <r>
    <s v="HCM"/>
    <s v="Công ty 24"/>
    <s v="NLMT"/>
    <n v="241769091"/>
    <d v="2024-11-01T00:00:00"/>
    <n v="11"/>
    <n v="2024"/>
    <s v="Đông Nam Bộ"/>
    <s v="Doanh nghiệp"/>
    <x v="1"/>
    <s v="D"/>
    <n v="241.769091"/>
  </r>
  <r>
    <s v="HDG"/>
    <s v="Công ty 76"/>
    <s v="NLMT"/>
    <n v="23170200"/>
    <d v="2024-11-01T00:00:00"/>
    <n v="11"/>
    <n v="2024"/>
    <s v="ĐB Sông Hồng"/>
    <s v="Doanh nghiệp"/>
    <x v="0"/>
    <s v="D"/>
    <n v="23.170200000000001"/>
  </r>
  <r>
    <s v="NDH"/>
    <s v="Công ty 25"/>
    <s v="NLMT"/>
    <n v="86250172"/>
    <d v="2024-11-01T00:00:00"/>
    <n v="11"/>
    <n v="2024"/>
    <s v="ĐB Sông Hồng"/>
    <s v="Doanh nghiệp"/>
    <x v="1"/>
    <s v="D"/>
    <n v="86.250172000000006"/>
  </r>
  <r>
    <s v="VLG"/>
    <s v="Công ty 32"/>
    <s v="ICT"/>
    <n v="55582836"/>
    <d v="2024-11-01T00:00:00"/>
    <n v="11"/>
    <n v="2024"/>
    <s v="ĐB Sông Cửu Long"/>
    <s v="Doanh nghiệp"/>
    <x v="0"/>
    <s v="T"/>
    <n v="55.582836"/>
  </r>
  <r>
    <s v="NAN"/>
    <s v="Công ty 76"/>
    <s v="ICT"/>
    <n v="13155455"/>
    <d v="2024-11-01T00:00:00"/>
    <n v="11"/>
    <n v="2024"/>
    <s v="Bắc Trung Bộ"/>
    <s v="Doanh nghiệp"/>
    <x v="1"/>
    <s v="F"/>
    <n v="13.155455"/>
  </r>
  <r>
    <s v="DNG"/>
    <s v="Công ty 32"/>
    <s v="DVKT"/>
    <n v="46813636"/>
    <d v="2024-11-01T00:00:00"/>
    <n v="11"/>
    <n v="2024"/>
    <s v="Duyên hải Nam Trung Bộ"/>
    <s v="Doanh nghiệp"/>
    <x v="0"/>
    <s v="B"/>
    <n v="46.813636000000002"/>
  </r>
  <r>
    <s v="HNI"/>
    <s v="Công ty 49"/>
    <s v="ME"/>
    <n v="213258866"/>
    <d v="2024-11-01T00:00:00"/>
    <n v="11"/>
    <n v="2024"/>
    <s v="ĐB Sông Hồng"/>
    <s v="Doanh nghiệp"/>
    <x v="1"/>
    <s v="E"/>
    <n v="213.25886600000001"/>
  </r>
  <r>
    <s v="TGG"/>
    <s v="Công ty 56"/>
    <s v="ICT"/>
    <n v="10293564"/>
    <d v="2024-11-01T00:00:00"/>
    <n v="11"/>
    <n v="2024"/>
    <s v="ĐB Sông Cửu Long"/>
    <s v="Doanh nghiệp"/>
    <x v="0"/>
    <s v="B"/>
    <n v="10.293564"/>
  </r>
  <r>
    <s v="TGG"/>
    <s v="Công ty 57"/>
    <s v="ICT"/>
    <n v="25136364"/>
    <d v="2024-11-01T00:00:00"/>
    <n v="11"/>
    <n v="2024"/>
    <s v="ĐB Sông Cửu Long"/>
    <s v="Doanh nghiệp"/>
    <x v="1"/>
    <s v="B"/>
    <n v="25.136364"/>
  </r>
  <r>
    <s v="TGG"/>
    <s v="Công ty 58"/>
    <s v="ICT"/>
    <n v="18477273"/>
    <d v="2024-11-01T00:00:00"/>
    <n v="11"/>
    <n v="2024"/>
    <s v="ĐB Sông Cửu Long"/>
    <s v="Doanh nghiệp"/>
    <x v="0"/>
    <s v="B"/>
    <n v="18.477273"/>
  </r>
  <r>
    <s v="SLA"/>
    <s v="Công ty 68"/>
    <s v="NLMT"/>
    <n v="120545455"/>
    <d v="2024-11-01T00:00:00"/>
    <n v="11"/>
    <n v="2024"/>
    <s v="Tây Bắc Bộ"/>
    <s v="Doanh nghiệp"/>
    <x v="1"/>
    <s v="K"/>
    <n v="120.545455"/>
  </r>
  <r>
    <s v="VPC"/>
    <s v="Công ty 77"/>
    <s v="NLMT"/>
    <n v="136365864"/>
    <d v="2024-11-01T00:00:00"/>
    <n v="11"/>
    <n v="2024"/>
    <s v="ĐB Sông Hồng"/>
    <s v="Doanh nghiệp"/>
    <x v="0"/>
    <s v="D"/>
    <n v="136.36586399999999"/>
  </r>
  <r>
    <s v="DNG"/>
    <s v="Công ty 87"/>
    <s v="ICT"/>
    <n v="89289000"/>
    <d v="2024-11-01T00:00:00"/>
    <n v="11"/>
    <n v="2024"/>
    <s v="Duyên hải Nam Trung Bộ"/>
    <s v="Doanh nghiệp"/>
    <x v="1"/>
    <s v="B"/>
    <n v="89.289000000000001"/>
  </r>
  <r>
    <s v="DNG"/>
    <s v="Công ty 88"/>
    <s v="DVKT"/>
    <n v="32186000"/>
    <d v="2024-11-01T00:00:00"/>
    <n v="11"/>
    <n v="2024"/>
    <s v="Duyên hải Nam Trung Bộ"/>
    <s v="Doanh nghiệp"/>
    <x v="0"/>
    <s v="B"/>
    <n v="32.186"/>
  </r>
  <r>
    <s v="AGG"/>
    <s v="Công ty 91"/>
    <s v="DVKT"/>
    <n v="86400000"/>
    <d v="2024-11-01T00:00:00"/>
    <n v="11"/>
    <n v="2024"/>
    <s v="ĐB Sông Cửu Long"/>
    <s v="Doanh nghiệp"/>
    <x v="1"/>
    <s v="A"/>
    <n v="86.4"/>
  </r>
  <r>
    <s v="VLG"/>
    <s v="Công ty 87"/>
    <s v="NLMT"/>
    <n v="139090909"/>
    <d v="2024-11-01T00:00:00"/>
    <n v="11"/>
    <n v="2024"/>
    <s v="ĐB Sông Cửu Long"/>
    <s v="Doanh nghiệp"/>
    <x v="0"/>
    <s v="D"/>
    <n v="139.09090900000001"/>
  </r>
  <r>
    <s v="BLU"/>
    <s v="Công ty 95"/>
    <s v="ME"/>
    <n v="11818182"/>
    <d v="2024-11-01T00:00:00"/>
    <n v="11"/>
    <n v="2024"/>
    <s v="ĐB Sông Cửu Long"/>
    <s v="Doanh nghiệp"/>
    <x v="1"/>
    <s v="C"/>
    <n v="11.818182"/>
  </r>
  <r>
    <s v="QNM"/>
    <s v="Doanh nghiệp 21"/>
    <s v="ME"/>
    <n v="3063579855"/>
    <d v="2024-11-01T00:00:00"/>
    <n v="11"/>
    <n v="2024"/>
    <s v="Duyên hải Nam Trung Bộ"/>
    <s v="Doanh nghiệp"/>
    <x v="0"/>
    <s v="E"/>
    <n v="3063.579855"/>
  </r>
  <r>
    <s v="TNN"/>
    <s v="Doanh nghiệp 23"/>
    <s v="NLMT"/>
    <n v="141391591"/>
    <d v="2024-11-01T00:00:00"/>
    <n v="11"/>
    <n v="2024"/>
    <s v="Đông Bắc Bộ"/>
    <s v="Doanh nghiệp"/>
    <x v="1"/>
    <s v="D"/>
    <n v="141.39159100000001"/>
  </r>
  <r>
    <s v="DTP"/>
    <s v="Doanh nghiệp 18"/>
    <s v="ME"/>
    <n v="14700000"/>
    <d v="2024-11-01T00:00:00"/>
    <n v="11"/>
    <n v="2024"/>
    <s v="ĐB Sông Cửu Long"/>
    <s v="Doanh nghiệp"/>
    <x v="0"/>
    <s v="C"/>
    <n v="14.7"/>
  </r>
  <r>
    <s v="AGG"/>
    <s v="Doanh nghiệp 1"/>
    <s v="ME"/>
    <n v="62150000"/>
    <d v="2024-11-01T00:00:00"/>
    <n v="11"/>
    <n v="2024"/>
    <s v="ĐB Sông Cửu Long"/>
    <s v="Doanh nghiệp"/>
    <x v="1"/>
    <s v="C"/>
    <n v="62.15"/>
  </r>
  <r>
    <s v="BKN"/>
    <s v="Doanh nghiệp 9"/>
    <s v="ME"/>
    <n v="66363636"/>
    <d v="2024-11-01T00:00:00"/>
    <n v="11"/>
    <n v="2024"/>
    <s v="Đông Bắc Bộ"/>
    <s v="Doanh nghiệp"/>
    <x v="0"/>
    <s v="O"/>
    <n v="66.363636"/>
  </r>
  <r>
    <s v="BKN"/>
    <s v="Doanh nghiệp 10"/>
    <s v="ME"/>
    <n v="170454545"/>
    <d v="2024-11-01T00:00:00"/>
    <n v="11"/>
    <n v="2024"/>
    <s v="Đông Bắc Bộ"/>
    <s v="Doanh nghiệp"/>
    <x v="1"/>
    <s v="O"/>
    <n v="170.454545"/>
  </r>
  <r>
    <s v="CTO"/>
    <s v="Doanh nghiệp 26"/>
    <s v="ICT"/>
    <n v="36434818"/>
    <d v="2024-11-01T00:00:00"/>
    <n v="11"/>
    <n v="2024"/>
    <s v="ĐB Sông Cửu Long"/>
    <s v="Doanh nghiệp"/>
    <x v="0"/>
    <s v="B"/>
    <n v="36.434818"/>
  </r>
  <r>
    <s v="DBN"/>
    <s v="Tập đoàn 5"/>
    <s v="ICT"/>
    <n v="76020982"/>
    <d v="2024-11-01T00:00:00"/>
    <n v="11"/>
    <n v="2024"/>
    <s v="Tây Bắc Bộ"/>
    <s v="Doanh nghiệp"/>
    <x v="1"/>
    <s v="A"/>
    <n v="76.020982000000004"/>
  </r>
  <r>
    <s v="GLI"/>
    <s v="Tập đoàn 8"/>
    <s v="ME"/>
    <n v="200477455"/>
    <d v="2024-11-01T00:00:00"/>
    <n v="11"/>
    <n v="2024"/>
    <s v="Tây Nguyên"/>
    <s v="Doanh nghiệp"/>
    <x v="0"/>
    <s v="O"/>
    <n v="200.47745499999999"/>
  </r>
  <r>
    <s v="HDG"/>
    <s v="Tập đoàn 15"/>
    <s v="ICT"/>
    <n v="515533464"/>
    <d v="2024-11-01T00:00:00"/>
    <n v="11"/>
    <n v="2024"/>
    <s v="ĐB Sông Hồng"/>
    <s v="Doanh nghiệp"/>
    <x v="1"/>
    <s v="F"/>
    <n v="515.53346399999998"/>
  </r>
  <r>
    <s v="HUG"/>
    <s v="Tập đoàn 16"/>
    <s v="Smarthome"/>
    <n v="78900727"/>
    <d v="2024-11-01T00:00:00"/>
    <n v="11"/>
    <n v="2024"/>
    <s v="ĐB Sông Cửu Long"/>
    <s v="Doanh nghiệp"/>
    <x v="0"/>
    <s v="H"/>
    <n v="78.900727000000003"/>
  </r>
  <r>
    <s v="LCU"/>
    <s v="Tập đoàn 23"/>
    <s v="ME"/>
    <n v="229132909"/>
    <d v="2024-11-01T00:00:00"/>
    <n v="11"/>
    <n v="2024"/>
    <s v="Tây Bắc Bộ"/>
    <s v="Doanh nghiệp"/>
    <x v="1"/>
    <s v="O"/>
    <n v="229.13290900000001"/>
  </r>
  <r>
    <s v="LAN"/>
    <s v="Tập đoàn 36"/>
    <s v="ICT"/>
    <n v="72690000"/>
    <d v="2024-11-01T00:00:00"/>
    <n v="11"/>
    <n v="2024"/>
    <s v="ĐB Sông Cửu Long"/>
    <s v="Doanh nghiệp"/>
    <x v="0"/>
    <s v="B"/>
    <n v="72.69"/>
  </r>
  <r>
    <s v="NDH"/>
    <s v="Tập đoàn 54"/>
    <s v="Smarthome"/>
    <n v="75620000"/>
    <d v="2024-11-01T00:00:00"/>
    <n v="11"/>
    <n v="2024"/>
    <s v="ĐB Sông Hồng"/>
    <s v="Doanh nghiệp"/>
    <x v="1"/>
    <s v="U"/>
    <n v="75.62"/>
  </r>
  <r>
    <s v="NDH"/>
    <s v="Tập đoàn 55"/>
    <s v="ICT"/>
    <n v="75337727"/>
    <d v="2024-11-01T00:00:00"/>
    <n v="11"/>
    <n v="2024"/>
    <s v="ĐB Sông Hồng"/>
    <s v="Doanh nghiệp"/>
    <x v="0"/>
    <s v="U"/>
    <n v="75.337727000000001"/>
  </r>
  <r>
    <s v="NAN"/>
    <s v="Tập đoàn 72"/>
    <s v="DVKT"/>
    <n v="20146909"/>
    <d v="2024-11-01T00:00:00"/>
    <n v="11"/>
    <n v="2024"/>
    <s v="Bắc Trung Bộ"/>
    <s v="Doanh nghiệp"/>
    <x v="1"/>
    <s v="O"/>
    <n v="20.146909000000001"/>
  </r>
  <r>
    <s v="PTO"/>
    <s v="Tập đoàn 85"/>
    <s v="ME"/>
    <n v="5091364"/>
    <d v="2024-11-01T00:00:00"/>
    <n v="11"/>
    <n v="2024"/>
    <s v="Đông Bắc Bộ"/>
    <s v="Doanh nghiệp"/>
    <x v="0"/>
    <s v="M"/>
    <n v="5.0913639999999996"/>
  </r>
  <r>
    <s v="STG"/>
    <s v="Tập đoàn 93"/>
    <s v="ICT"/>
    <n v="19800000"/>
    <d v="2024-11-01T00:00:00"/>
    <n v="11"/>
    <n v="2024"/>
    <s v="ĐB Sông Cửu Long"/>
    <s v="Doanh nghiệp"/>
    <x v="1"/>
    <s v="B"/>
    <n v="19.8"/>
  </r>
  <r>
    <s v="STG"/>
    <s v="Tập đoàn 94"/>
    <s v="ICT"/>
    <n v="4950000"/>
    <d v="2024-11-01T00:00:00"/>
    <n v="11"/>
    <n v="2024"/>
    <s v="ĐB Sông Cửu Long"/>
    <s v="Doanh nghiệp"/>
    <x v="0"/>
    <s v="B"/>
    <n v="4.95"/>
  </r>
  <r>
    <s v="CTO"/>
    <s v="Tập đoàn 94"/>
    <s v="NLMT"/>
    <n v="325930545"/>
    <d v="2024-11-01T00:00:00"/>
    <n v="11"/>
    <n v="2024"/>
    <s v="ĐB Sông Cửu Long"/>
    <s v="Doanh nghiệp"/>
    <x v="1"/>
    <s v="D"/>
    <n v="325.930545"/>
  </r>
  <r>
    <s v="BKN"/>
    <s v="Tập đoàn 94"/>
    <s v="NLMT"/>
    <n v="11345455"/>
    <d v="2024-11-01T00:00:00"/>
    <n v="11"/>
    <n v="2024"/>
    <s v="Đông Bắc Bộ"/>
    <s v="Doanh nghiệp"/>
    <x v="0"/>
    <s v="K"/>
    <n v="11.345454999999999"/>
  </r>
  <r>
    <s v="VLG"/>
    <s v="Tập đoàn 93"/>
    <s v="ICT"/>
    <n v="4029091"/>
    <d v="2024-11-01T00:00:00"/>
    <n v="11"/>
    <n v="2024"/>
    <s v="ĐB Sông Cửu Long"/>
    <s v="Doanh nghiệp"/>
    <x v="1"/>
    <s v="B"/>
    <n v="4.0290910000000002"/>
  </r>
  <r>
    <s v="QNM"/>
    <s v="Tập đoàn 93"/>
    <s v="ICT"/>
    <n v="63636364"/>
    <d v="2024-11-01T00:00:00"/>
    <n v="11"/>
    <n v="2024"/>
    <s v="Duyên hải Nam Trung Bộ"/>
    <s v="Doanh nghiệp"/>
    <x v="0"/>
    <s v="B"/>
    <n v="63.636364"/>
  </r>
  <r>
    <s v="BTE"/>
    <s v="Tập đoàn 93"/>
    <s v="DVKT"/>
    <n v="322779091"/>
    <d v="2024-11-01T00:00:00"/>
    <n v="11"/>
    <n v="2024"/>
    <s v="ĐB Sông Cửu Long"/>
    <s v="Doanh nghiệp"/>
    <x v="1"/>
    <s v="F"/>
    <n v="322.77909099999999"/>
  </r>
  <r>
    <s v="BKN"/>
    <s v="Tập đoàn 92"/>
    <s v="DVKT"/>
    <n v="1859400000"/>
    <d v="2024-11-01T00:00:00"/>
    <n v="11"/>
    <n v="2024"/>
    <s v="Đông Bắc Bộ"/>
    <s v="Doanh nghiệp"/>
    <x v="0"/>
    <s v="O"/>
    <n v="1859.4"/>
  </r>
  <r>
    <s v="LCU"/>
    <s v="Tập đoàn 94"/>
    <s v="NLMT"/>
    <n v="60000000"/>
    <d v="2024-11-01T00:00:00"/>
    <n v="11"/>
    <n v="2024"/>
    <s v="Tây Bắc Bộ"/>
    <s v="Doanh nghiệp"/>
    <x v="1"/>
    <s v="K"/>
    <n v="60"/>
  </r>
  <r>
    <s v="SLA"/>
    <s v="CHI CỤC KIỂM LÂM"/>
    <s v="ME"/>
    <n v="2218736364"/>
    <d v="2024-11-01T00:00:00"/>
    <n v="11"/>
    <n v="2024"/>
    <s v="Tây Bắc Bộ"/>
    <s v="Sở ban ngành"/>
    <x v="0"/>
    <s v="M"/>
    <n v="2218.7363639999999"/>
  </r>
  <r>
    <s v="NDH"/>
    <s v="CHI CỤC THỦY SẢN NAM ĐỊNH"/>
    <s v="DVKT"/>
    <n v="12208909"/>
    <d v="2024-11-01T00:00:00"/>
    <n v="11"/>
    <n v="2024"/>
    <s v="ĐB Sông Hồng"/>
    <s v="Sở ban ngành"/>
    <x v="1"/>
    <s v="L"/>
    <n v="12.208909"/>
  </r>
  <r>
    <s v="KTM"/>
    <s v="Công ty 40"/>
    <s v="ICT"/>
    <n v="41750000"/>
    <d v="2024-11-01T00:00:00"/>
    <n v="11"/>
    <n v="2024"/>
    <s v="Tây Nguyên"/>
    <s v="Doanh nghiệp"/>
    <x v="0"/>
    <s v="B"/>
    <n v="41.75"/>
  </r>
  <r>
    <s v="DBN"/>
    <s v="Công ty 84"/>
    <s v="NLMT"/>
    <n v="132461818"/>
    <d v="2024-11-01T00:00:00"/>
    <n v="11"/>
    <n v="2024"/>
    <s v="Tây Bắc Bộ"/>
    <s v="Doanh nghiệp"/>
    <x v="1"/>
    <s v="K"/>
    <n v="132.46181799999999"/>
  </r>
  <r>
    <s v="DBN"/>
    <s v="Công ty 85"/>
    <s v="NLMT"/>
    <n v="3890909"/>
    <d v="2024-11-01T00:00:00"/>
    <n v="11"/>
    <n v="2024"/>
    <s v="Tây Bắc Bộ"/>
    <s v="Doanh nghiệp"/>
    <x v="0"/>
    <s v="K"/>
    <n v="3.8909090000000002"/>
  </r>
  <r>
    <s v="DBN"/>
    <s v="Công ty 86"/>
    <s v="NLMT"/>
    <n v="209783636"/>
    <d v="2024-11-01T00:00:00"/>
    <n v="11"/>
    <n v="2024"/>
    <s v="Tây Bắc Bộ"/>
    <s v="Doanh nghiệp"/>
    <x v="1"/>
    <s v="K"/>
    <n v="209.783636"/>
  </r>
  <r>
    <s v="BGG"/>
    <s v="Công an huyện Lục Ngạn tỉnh Bắc Giang"/>
    <s v="DVKT"/>
    <n v="85500000"/>
    <d v="2024-11-01T00:00:00"/>
    <n v="11"/>
    <n v="2024"/>
    <s v="Đông Bắc Bộ"/>
    <s v="Sở ban ngành"/>
    <x v="0"/>
    <s v="B"/>
    <n v="85.5"/>
  </r>
  <r>
    <s v="LDG"/>
    <s v="Công An Thành Phố Bảo Lộc"/>
    <s v="Smarthome"/>
    <n v="89015000"/>
    <d v="2024-11-01T00:00:00"/>
    <n v="11"/>
    <n v="2024"/>
    <s v="Tây Nguyên"/>
    <s v="Sở ban ngành"/>
    <x v="1"/>
    <s v="W"/>
    <n v="89.015000000000001"/>
  </r>
  <r>
    <s v="CMU"/>
    <s v="Công An Tỉnh Cà Mau"/>
    <s v="ICT"/>
    <n v="36363236"/>
    <d v="2024-11-01T00:00:00"/>
    <n v="11"/>
    <n v="2024"/>
    <s v="ĐB Sông Cửu Long"/>
    <s v="Sở ban ngành"/>
    <x v="0"/>
    <s v="B"/>
    <n v="36.363236000000001"/>
  </r>
  <r>
    <s v="BKN"/>
    <s v="Công ty 3"/>
    <s v="NLMT"/>
    <n v="36818182"/>
    <d v="2024-11-01T00:00:00"/>
    <n v="11"/>
    <n v="2024"/>
    <s v="Đông Bắc Bộ"/>
    <s v="Doanh nghiệp"/>
    <x v="1"/>
    <s v="K"/>
    <n v="36.818182"/>
  </r>
  <r>
    <s v="BKN"/>
    <s v="Công ty 6"/>
    <s v="NLMT"/>
    <n v="36818182"/>
    <d v="2024-11-01T00:00:00"/>
    <n v="11"/>
    <n v="2024"/>
    <s v="Đông Bắc Bộ"/>
    <s v="Doanh nghiệp"/>
    <x v="0"/>
    <s v="K"/>
    <n v="36.818182"/>
  </r>
  <r>
    <s v="BKN"/>
    <s v="Công ty 8"/>
    <s v="NLMT"/>
    <n v="36363636"/>
    <d v="2024-11-01T00:00:00"/>
    <n v="11"/>
    <n v="2024"/>
    <s v="Đông Bắc Bộ"/>
    <s v="Doanh nghiệp"/>
    <x v="1"/>
    <s v="K"/>
    <n v="36.363636"/>
  </r>
  <r>
    <s v="BKN"/>
    <s v="Công ty 11"/>
    <s v="NLMT"/>
    <n v="36818182"/>
    <d v="2024-11-01T00:00:00"/>
    <n v="11"/>
    <n v="2024"/>
    <s v="Đông Bắc Bộ"/>
    <s v="Doanh nghiệp"/>
    <x v="0"/>
    <s v="K"/>
    <n v="36.818182"/>
  </r>
  <r>
    <s v="BKN"/>
    <s v="Công ty 18"/>
    <s v="NLMT"/>
    <n v="36256364"/>
    <d v="2024-11-01T00:00:00"/>
    <n v="11"/>
    <n v="2024"/>
    <s v="Đông Bắc Bộ"/>
    <s v="Doanh nghiệp"/>
    <x v="1"/>
    <s v="K"/>
    <n v="36.256363999999998"/>
  </r>
  <r>
    <s v="BKN"/>
    <s v="Công ty 21"/>
    <s v="NLMT"/>
    <n v="36256364"/>
    <d v="2024-11-01T00:00:00"/>
    <n v="11"/>
    <n v="2024"/>
    <s v="Đông Bắc Bộ"/>
    <s v="Doanh nghiệp"/>
    <x v="0"/>
    <s v="K"/>
    <n v="36.256363999999998"/>
  </r>
  <r>
    <s v="YBI"/>
    <s v="Công ty 21"/>
    <s v="NLMT"/>
    <n v="28363636"/>
    <d v="2024-11-01T00:00:00"/>
    <n v="11"/>
    <n v="2024"/>
    <s v="Tây Bắc Bộ"/>
    <s v="Doanh nghiệp"/>
    <x v="1"/>
    <s v="K"/>
    <n v="28.363636"/>
  </r>
  <r>
    <s v="BTE"/>
    <s v="Công ty 21"/>
    <s v="ME"/>
    <n v="175600000"/>
    <d v="2024-11-01T00:00:00"/>
    <n v="11"/>
    <n v="2024"/>
    <s v="ĐB Sông Cửu Long"/>
    <s v="Doanh nghiệp"/>
    <x v="0"/>
    <s v="O"/>
    <n v="175.6"/>
  </r>
  <r>
    <s v="CBG"/>
    <s v="KHỐI ĐOÀN THỂ HUYỆN THẠCH AN TỈNH CAO BẰNG"/>
    <s v="NLMT"/>
    <n v="12727273"/>
    <d v="2024-11-01T00:00:00"/>
    <n v="11"/>
    <n v="2024"/>
    <s v="Đông Bắc Bộ"/>
    <s v="Sở ban ngành"/>
    <x v="1"/>
    <s v="K"/>
    <n v="12.727273"/>
  </r>
  <r>
    <s v="NAN"/>
    <s v="Ngân Hàng Nông Nghiệp Và Phát Triển Nông Thôn Việt Nam - Chi Nhánh Nam Nghệ An"/>
    <s v="ICT"/>
    <n v="6231818"/>
    <d v="2024-11-01T00:00:00"/>
    <n v="11"/>
    <n v="2024"/>
    <s v="Bắc Trung Bộ"/>
    <s v="Ngân hàng"/>
    <x v="0"/>
    <s v="P"/>
    <n v="6.2318179999999996"/>
  </r>
  <r>
    <s v="LSN"/>
    <s v="Phòng Giao Dịch Ngân Hàng Chính Sách Xã Hội (nhcsxh) Huyện Hữu Lũng"/>
    <s v="ICT"/>
    <n v="1928000"/>
    <d v="2024-11-01T00:00:00"/>
    <n v="11"/>
    <n v="2024"/>
    <s v="Đông Bắc Bộ"/>
    <s v="Ngân hàng"/>
    <x v="1"/>
    <s v="B"/>
    <n v="1.9279999999999999"/>
  </r>
  <r>
    <s v="CBG"/>
    <s v="PHÒNG KINH TẾ HẠ TẦNG"/>
    <s v="NLMT"/>
    <n v="433636364"/>
    <d v="2024-11-01T00:00:00"/>
    <n v="11"/>
    <n v="2024"/>
    <s v="Đông Bắc Bộ"/>
    <s v="Sở ban ngành"/>
    <x v="0"/>
    <s v="K"/>
    <n v="433.63636400000001"/>
  </r>
  <r>
    <s v="CBG"/>
    <s v="Phòng Kinh Tế Và Hạ Tầng Huyện Quảng Hòa"/>
    <s v="NLMT"/>
    <n v="90245455"/>
    <d v="2024-11-01T00:00:00"/>
    <n v="11"/>
    <n v="2024"/>
    <s v="Đông Bắc Bộ"/>
    <s v="Sở ban ngành"/>
    <x v="1"/>
    <s v="K"/>
    <n v="90.245455000000007"/>
  </r>
  <r>
    <s v="DCN"/>
    <s v="PHÒNG VĂN HOÁ THÔNG TIN"/>
    <s v="ICT"/>
    <n v="398209091"/>
    <d v="2024-11-01T00:00:00"/>
    <n v="11"/>
    <n v="2024"/>
    <s v="Tây Nguyên"/>
    <s v="Sở ban ngành"/>
    <x v="0"/>
    <s v="F"/>
    <n v="398.209091"/>
  </r>
  <r>
    <s v="QNM"/>
    <s v="PHÒNG VĂN HOÁ THÔNG TIN HUYỆN ĐÔNG GIANG"/>
    <s v="Smarthome"/>
    <n v="816000000"/>
    <d v="2024-11-01T00:00:00"/>
    <n v="11"/>
    <n v="2024"/>
    <s v="Duyên hải Nam Trung Bộ"/>
    <s v="Sở ban ngành"/>
    <x v="1"/>
    <s v="U"/>
    <n v="816"/>
  </r>
  <r>
    <s v="PYN"/>
    <s v="PHÒNG VĂN HÓA VÀ THÔNG TIN HUYỆN SÔNG HINH"/>
    <s v="ICT"/>
    <n v="27100000"/>
    <d v="2024-11-01T00:00:00"/>
    <n v="11"/>
    <n v="2024"/>
    <s v="Duyên hải Nam Trung Bộ"/>
    <s v="Sở ban ngành"/>
    <x v="0"/>
    <s v="F"/>
    <n v="27.1"/>
  </r>
  <r>
    <s v="YBI"/>
    <s v="PHÒNG VĂN HOÁ VÀ THÔNG TIN HUYỆN TRẠM TẤU"/>
    <s v="ICT"/>
    <n v="270245455"/>
    <d v="2024-11-01T00:00:00"/>
    <n v="11"/>
    <n v="2024"/>
    <s v="Tây Bắc Bộ"/>
    <s v="Sở ban ngành"/>
    <x v="1"/>
    <s v="T"/>
    <n v="270.24545499999999"/>
  </r>
  <r>
    <s v="YBI"/>
    <s v="PHÒNG VĂN HOÁ VÀ THÔNG TIN HUYỆN TRẠM TẤU"/>
    <s v="ICT"/>
    <n v="394431818"/>
    <d v="2024-11-01T00:00:00"/>
    <n v="11"/>
    <n v="2024"/>
    <s v="Tây Bắc Bộ"/>
    <s v="Sở ban ngành"/>
    <x v="0"/>
    <s v="T"/>
    <n v="394.43181800000002"/>
  </r>
  <r>
    <s v="SLA"/>
    <s v="Sở Thông Tin Và Truyền Thông Tỉnh Sơn La"/>
    <s v="ICT"/>
    <n v="391479091"/>
    <d v="2024-11-01T00:00:00"/>
    <n v="11"/>
    <n v="2024"/>
    <s v="Tây Bắc Bộ"/>
    <s v="Sở ban ngành"/>
    <x v="1"/>
    <s v="F"/>
    <n v="391.47909099999998"/>
  </r>
  <r>
    <s v="LSN"/>
    <s v="TẬP ĐOÀN CÔNG NGHIỆP - VIỄN THÔNG QUÂN ĐỘI"/>
    <s v="DVKT"/>
    <n v="456417170"/>
    <d v="2024-11-01T00:00:00"/>
    <n v="11"/>
    <n v="2024"/>
    <s v="Đông Bắc Bộ"/>
    <s v="Doanh nghiệp"/>
    <x v="0"/>
    <s v="A"/>
    <n v="456.41717"/>
  </r>
  <r>
    <s v="DLK"/>
    <s v="Thanh Tra Thị Xã Buôn Hồ"/>
    <s v="ICT"/>
    <n v="9011818"/>
    <d v="2024-11-01T00:00:00"/>
    <n v="11"/>
    <n v="2024"/>
    <s v="Tây Nguyên"/>
    <s v="Sở ban ngành"/>
    <x v="1"/>
    <s v="B"/>
    <n v="9.0118179999999999"/>
  </r>
  <r>
    <s v="LSN"/>
    <s v="Trung Tâm Quản Lý Cửa Khẩu"/>
    <s v="ICT"/>
    <n v="157098182"/>
    <d v="2024-11-01T00:00:00"/>
    <n v="11"/>
    <n v="2024"/>
    <s v="Đông Bắc Bộ"/>
    <s v="Sở ban ngành"/>
    <x v="0"/>
    <s v="A"/>
    <n v="157.09818200000001"/>
  </r>
  <r>
    <s v="SLA"/>
    <s v="TRUNG TÂM THÔNG TIN"/>
    <s v="ICT"/>
    <n v="518400000"/>
    <d v="2024-11-01T00:00:00"/>
    <n v="11"/>
    <n v="2024"/>
    <s v="Tây Bắc Bộ"/>
    <s v="Sở ban ngành"/>
    <x v="1"/>
    <s v="F"/>
    <n v="518.4"/>
  </r>
  <r>
    <s v="BDH"/>
    <s v="Trung tâm y tế huyện Phù Mỹ"/>
    <s v="ICT"/>
    <n v="26265909"/>
    <d v="2024-11-01T00:00:00"/>
    <n v="11"/>
    <n v="2024"/>
    <s v="Duyên hải Nam Trung Bộ"/>
    <s v="Sở ban ngành"/>
    <x v="0"/>
    <s v="A"/>
    <n v="26.265909000000001"/>
  </r>
  <r>
    <s v="PYN"/>
    <s v="Trung Tâm Y Tế Thành Phố Tuy Hòa"/>
    <s v="ME"/>
    <n v="81419091"/>
    <d v="2024-11-01T00:00:00"/>
    <n v="11"/>
    <n v="2024"/>
    <s v="Duyên hải Nam Trung Bộ"/>
    <s v="Sở ban ngành"/>
    <x v="1"/>
    <s v="M"/>
    <n v="81.419090999999995"/>
  </r>
  <r>
    <s v="BGG"/>
    <s v="Trung Tâm Y Tế Thị Xã Việt Yên"/>
    <s v="DVKT"/>
    <n v="24745455"/>
    <d v="2024-11-01T00:00:00"/>
    <n v="11"/>
    <n v="2024"/>
    <s v="Đông Bắc Bộ"/>
    <s v="Sở ban ngành"/>
    <x v="0"/>
    <s v="C"/>
    <n v="24.745455"/>
  </r>
  <r>
    <s v="KHA"/>
    <s v="Ubnd Thị Trấn Diên Khánh"/>
    <s v="ICT"/>
    <n v="19900000"/>
    <d v="2024-11-01T00:00:00"/>
    <n v="11"/>
    <n v="2024"/>
    <s v="Duyên hải Nam Trung Bộ"/>
    <s v="Sở ban ngành"/>
    <x v="1"/>
    <s v="A"/>
    <n v="19.899999999999999"/>
  </r>
  <r>
    <s v="BKN"/>
    <s v="UBND THỊ TRẤN PHỦ THÔNG"/>
    <s v="ME"/>
    <n v="38682450"/>
    <d v="2024-11-01T00:00:00"/>
    <n v="11"/>
    <n v="2024"/>
    <s v="Đông Bắc Bộ"/>
    <s v="Sở ban ngành"/>
    <x v="0"/>
    <s v="E"/>
    <n v="38.682450000000003"/>
  </r>
  <r>
    <s v="BTN"/>
    <s v="UBND THỊ TRẤN TÂN MINH"/>
    <s v="ICT"/>
    <n v="185502800"/>
    <d v="2024-11-01T00:00:00"/>
    <n v="11"/>
    <n v="2024"/>
    <s v="Duyên hải Nam Trung Bộ"/>
    <s v="Sở ban ngành"/>
    <x v="1"/>
    <s v="U"/>
    <n v="185.50280000000001"/>
  </r>
  <r>
    <s v="TQG"/>
    <s v="Ubnd Xã Chân Sơn"/>
    <s v="NLMT"/>
    <n v="90689491"/>
    <d v="2024-11-01T00:00:00"/>
    <n v="11"/>
    <n v="2024"/>
    <s v="Đông Bắc Bộ"/>
    <s v="Sở ban ngành"/>
    <x v="0"/>
    <s v="K"/>
    <n v="90.689491000000004"/>
  </r>
  <r>
    <s v="CBG"/>
    <s v="UBND XÃ ĐỒNG LOAN"/>
    <s v="NLMT"/>
    <n v="52272727"/>
    <d v="2024-11-01T00:00:00"/>
    <n v="11"/>
    <n v="2024"/>
    <s v="Đông Bắc Bộ"/>
    <s v="Sở ban ngành"/>
    <x v="1"/>
    <s v="K"/>
    <n v="52.272727000000003"/>
  </r>
  <r>
    <s v="KTM"/>
    <s v="UBND Xã Hơ Mông"/>
    <s v="NLMT"/>
    <n v="43982830"/>
    <d v="2024-11-01T00:00:00"/>
    <n v="11"/>
    <n v="2024"/>
    <s v="Tây Nguyên"/>
    <s v="Sở ban ngành"/>
    <x v="0"/>
    <s v="K"/>
    <n v="43.98283"/>
  </r>
  <r>
    <s v="KTM"/>
    <s v="UBND Xã Hơ Mông"/>
    <s v="NLMT"/>
    <n v="40067802"/>
    <d v="2024-11-01T00:00:00"/>
    <n v="11"/>
    <n v="2024"/>
    <s v="Tây Nguyên"/>
    <s v="Sở ban ngành"/>
    <x v="1"/>
    <s v="K"/>
    <n v="40.067802"/>
  </r>
  <r>
    <s v="PTO"/>
    <s v="UBND XÃ HY CƯƠNG"/>
    <s v="Smarthome"/>
    <n v="79427473"/>
    <d v="2024-11-01T00:00:00"/>
    <n v="11"/>
    <n v="2024"/>
    <s v="Đông Bắc Bộ"/>
    <s v="Sở ban ngành"/>
    <x v="0"/>
    <s v="H"/>
    <n v="79.427473000000006"/>
  </r>
  <r>
    <s v="PTO"/>
    <s v="UBND XÃ HY CƯƠNG"/>
    <s v="ME"/>
    <n v="65018182"/>
    <d v="2024-11-01T00:00:00"/>
    <n v="11"/>
    <n v="2024"/>
    <s v="Đông Bắc Bộ"/>
    <s v="Sở ban ngành"/>
    <x v="1"/>
    <s v="L"/>
    <n v="65.018181999999996"/>
  </r>
  <r>
    <s v="CBG"/>
    <s v="Ubnd Xã Kim Loan"/>
    <s v="NLMT"/>
    <n v="22727273"/>
    <d v="2024-11-01T00:00:00"/>
    <n v="11"/>
    <n v="2024"/>
    <s v="Đông Bắc Bộ"/>
    <s v="Sở ban ngành"/>
    <x v="0"/>
    <s v="K"/>
    <n v="22.727273"/>
  </r>
  <r>
    <s v="BKN"/>
    <s v="UBND XÃ LIÊM THUỶ"/>
    <s v="NLMT"/>
    <n v="54511856"/>
    <d v="2024-11-01T00:00:00"/>
    <n v="11"/>
    <n v="2024"/>
    <s v="Đông Bắc Bộ"/>
    <s v="Sở ban ngành"/>
    <x v="1"/>
    <s v="K"/>
    <n v="54.511856000000002"/>
  </r>
  <r>
    <s v="BGG"/>
    <s v="UBND XÃ LIÊN CHUNG"/>
    <s v="ICT"/>
    <n v="24110000"/>
    <d v="2024-11-01T00:00:00"/>
    <n v="11"/>
    <n v="2024"/>
    <s v="Đông Bắc Bộ"/>
    <s v="Sở ban ngành"/>
    <x v="0"/>
    <s v="A"/>
    <n v="24.11"/>
  </r>
  <r>
    <s v="BGG"/>
    <s v="UBND XÃ MAI TRUNG"/>
    <s v="ICT"/>
    <n v="14440000"/>
    <d v="2024-11-01T00:00:00"/>
    <n v="11"/>
    <n v="2024"/>
    <s v="Đông Bắc Bộ"/>
    <s v="Sở ban ngành"/>
    <x v="1"/>
    <s v="F"/>
    <n v="14.44"/>
  </r>
  <r>
    <s v="BGG"/>
    <s v="UBND XÃ NGỌC CHÂU"/>
    <s v="ICT"/>
    <n v="2190000"/>
    <d v="2024-11-01T00:00:00"/>
    <n v="11"/>
    <n v="2024"/>
    <s v="Đông Bắc Bộ"/>
    <s v="Sở ban ngành"/>
    <x v="0"/>
    <s v="F"/>
    <n v="2.19"/>
  </r>
  <r>
    <s v="DTP"/>
    <s v="UBND XÃ PHÚ HỰU"/>
    <s v="NLMT"/>
    <n v="29000000"/>
    <d v="2024-11-01T00:00:00"/>
    <n v="11"/>
    <n v="2024"/>
    <s v="ĐB Sông Cửu Long"/>
    <s v="Sở ban ngành"/>
    <x v="1"/>
    <s v="K"/>
    <n v="29"/>
  </r>
  <r>
    <s v="QNM"/>
    <s v="Ubnd Xã Tam Sơn"/>
    <s v="Smarthome"/>
    <n v="84960000"/>
    <d v="2024-11-01T00:00:00"/>
    <n v="11"/>
    <n v="2024"/>
    <s v="Duyên hải Nam Trung Bộ"/>
    <s v="Sở ban ngành"/>
    <x v="0"/>
    <s v="U"/>
    <n v="84.96"/>
  </r>
  <r>
    <s v="BTN"/>
    <s v="UBND XÃ TÂN PHÚC"/>
    <s v="Smarthome"/>
    <n v="207725500"/>
    <d v="2024-11-01T00:00:00"/>
    <n v="11"/>
    <n v="2024"/>
    <s v="Duyên hải Nam Trung Bộ"/>
    <s v="Sở ban ngành"/>
    <x v="1"/>
    <s v="U"/>
    <n v="207.72550000000001"/>
  </r>
  <r>
    <s v="BTN"/>
    <s v="UBND XÃ TÂN XUÂN"/>
    <s v="Smarthome"/>
    <n v="207356900"/>
    <d v="2024-11-01T00:00:00"/>
    <n v="11"/>
    <n v="2024"/>
    <s v="Duyên hải Nam Trung Bộ"/>
    <s v="Sở ban ngành"/>
    <x v="0"/>
    <s v="U"/>
    <n v="207.3569"/>
  </r>
  <r>
    <s v="TQG"/>
    <s v="Ubnd Xã Thái Bình"/>
    <s v="NLMT"/>
    <n v="90638982"/>
    <d v="2024-11-01T00:00:00"/>
    <n v="11"/>
    <n v="2024"/>
    <s v="Đông Bắc Bộ"/>
    <s v="Sở ban ngành"/>
    <x v="1"/>
    <s v="K"/>
    <n v="90.638981999999999"/>
  </r>
  <r>
    <s v="BTN"/>
    <s v="UBND XÃ THẮNG HẢI"/>
    <s v="Smarthome"/>
    <n v="205067700"/>
    <d v="2024-11-01T00:00:00"/>
    <n v="11"/>
    <n v="2024"/>
    <s v="Duyên hải Nam Trung Bộ"/>
    <s v="Sở ban ngành"/>
    <x v="0"/>
    <s v="U"/>
    <n v="205.0677"/>
  </r>
  <r>
    <s v="BPC"/>
    <s v="UBND XÃ THỌ SƠN"/>
    <s v="ME"/>
    <n v="54477000"/>
    <d v="2024-11-01T00:00:00"/>
    <n v="11"/>
    <n v="2024"/>
    <s v="Đông Nam Bộ"/>
    <s v="Sở ban ngành"/>
    <x v="1"/>
    <s v="M"/>
    <n v="54.476999999999997"/>
  </r>
  <r>
    <s v="QNM"/>
    <s v="UBND XÃ TIÊN THỌ"/>
    <s v="DVKT"/>
    <n v="191350000"/>
    <d v="2024-11-01T00:00:00"/>
    <n v="11"/>
    <n v="2024"/>
    <s v="Duyên hải Nam Trung Bộ"/>
    <s v="Sở ban ngành"/>
    <x v="0"/>
    <s v="K"/>
    <n v="191.35"/>
  </r>
  <r>
    <s v="YBI"/>
    <s v="Ủy Ban Mặt Trận Tổ Quốc Việt Nam"/>
    <s v="NLMT"/>
    <n v="136363636"/>
    <d v="2024-11-01T00:00:00"/>
    <n v="11"/>
    <n v="2024"/>
    <s v="Tây Bắc Bộ"/>
    <s v="Sở ban ngành"/>
    <x v="1"/>
    <s v="D"/>
    <n v="136.36363600000001"/>
  </r>
  <r>
    <s v="NAN"/>
    <s v="Ủy Ban Mttq Việt Nam Xã Nghĩa Trung"/>
    <s v="ICT"/>
    <n v="109373633"/>
    <d v="2024-11-01T00:00:00"/>
    <n v="11"/>
    <n v="2024"/>
    <s v="Bắc Trung Bộ"/>
    <s v="Sở ban ngành"/>
    <x v="0"/>
    <s v="B"/>
    <n v="109.373633"/>
  </r>
  <r>
    <s v="CBG"/>
    <s v="Ủy ban nhân dân Thị trấn Lương Sơn"/>
    <s v="NLMT"/>
    <n v="36427273"/>
    <d v="2024-11-01T00:00:00"/>
    <n v="11"/>
    <n v="2024"/>
    <s v="Đông Bắc Bộ"/>
    <s v="Sở ban ngành"/>
    <x v="1"/>
    <s v="K"/>
    <n v="36.427273"/>
  </r>
  <r>
    <s v="BGG"/>
    <s v="Uỷ Ban Nhân Dân Xã Kiên Thành"/>
    <s v="Smarthome"/>
    <n v="21900000"/>
    <d v="2024-11-01T00:00:00"/>
    <n v="11"/>
    <n v="2024"/>
    <s v="Đông Bắc Bộ"/>
    <s v="Sở ban ngành"/>
    <x v="0"/>
    <s v="W"/>
    <n v="21.9"/>
  </r>
  <r>
    <s v="TQG"/>
    <s v="ỦY BAN NHÂN DÂN XÃ LANG QUÁN"/>
    <s v="NLMT"/>
    <n v="90638982"/>
    <d v="2024-11-01T00:00:00"/>
    <n v="11"/>
    <n v="2024"/>
    <s v="Đông Bắc Bộ"/>
    <s v="Sở ban ngành"/>
    <x v="1"/>
    <s v="K"/>
    <n v="90.638981999999999"/>
  </r>
  <r>
    <s v="PTO"/>
    <s v="UỶ BAN NHÂN DÂN XÃ MINH TÂN"/>
    <s v="Smarthome"/>
    <n v="72727273"/>
    <d v="2024-11-01T00:00:00"/>
    <n v="11"/>
    <n v="2024"/>
    <s v="Đông Bắc Bộ"/>
    <s v="Sở ban ngành"/>
    <x v="0"/>
    <s v="H"/>
    <n v="72.727272999999997"/>
  </r>
  <r>
    <s v="NTN"/>
    <s v="Ủy Ban Nhân Dân Xã Phước Diêm"/>
    <s v="ME"/>
    <n v="81804545"/>
    <d v="2024-11-01T00:00:00"/>
    <n v="11"/>
    <n v="2024"/>
    <s v="Duyên hải Nam Trung Bộ"/>
    <s v="Sở ban ngành"/>
    <x v="1"/>
    <s v="L"/>
    <n v="81.804545000000005"/>
  </r>
  <r>
    <s v="PTO"/>
    <s v="Ủy Ban Nhân Dân Xã Phượng Vỹ"/>
    <s v="Smarthome"/>
    <n v="72727273"/>
    <d v="2024-11-01T00:00:00"/>
    <n v="11"/>
    <n v="2024"/>
    <s v="Đông Bắc Bộ"/>
    <s v="Sở ban ngành"/>
    <x v="0"/>
    <s v="H"/>
    <n v="72.727272999999997"/>
  </r>
  <r>
    <s v="QNM"/>
    <s v="ỦY BAN NHÂN DÂN XÃ TAM LÃNH"/>
    <s v="ICT"/>
    <n v="89747273"/>
    <d v="2024-11-01T00:00:00"/>
    <n v="11"/>
    <n v="2024"/>
    <s v="Duyên hải Nam Trung Bộ"/>
    <s v="Sở ban ngành"/>
    <x v="1"/>
    <s v="B"/>
    <n v="89.747273000000007"/>
  </r>
  <r>
    <s v="PTO"/>
    <s v="Ủy Ban Nhân Dân Xã Vạn Xuân"/>
    <s v="ICT"/>
    <n v="11219091"/>
    <d v="2024-11-01T00:00:00"/>
    <n v="11"/>
    <n v="2024"/>
    <s v="Đông Bắc Bộ"/>
    <s v="Sở ban ngành"/>
    <x v="0"/>
    <s v="B"/>
    <n v="11.219091000000001"/>
  </r>
  <r>
    <s v="LSN"/>
    <s v="Uỷ Ban Nhân Dân Xã Yên Thịnh"/>
    <s v="ME"/>
    <n v="36512000"/>
    <d v="2024-11-01T00:00:00"/>
    <n v="11"/>
    <n v="2024"/>
    <s v="Đông Bắc Bộ"/>
    <s v="Sở ban ngành"/>
    <x v="1"/>
    <s v="K"/>
    <n v="36.512"/>
  </r>
  <r>
    <s v="DNG"/>
    <s v="VĂN PHÒNG ĐĂNG KÝ ĐẤT ĐAI THÀNH PHỐ ĐÀ NẴNG"/>
    <s v="ICT"/>
    <n v="795454545"/>
    <d v="2024-11-01T00:00:00"/>
    <n v="11"/>
    <n v="2024"/>
    <s v="Duyên hải Nam Trung Bộ"/>
    <s v="Sở ban ngành"/>
    <x v="0"/>
    <s v="F"/>
    <n v="795.45454500000005"/>
  </r>
  <r>
    <s v="DNG"/>
    <s v="VĂN PHÒNG ĐĂNG KÝ ĐẤT ĐAI THÀNH PHỐ ĐÀ NẴNG"/>
    <s v="ICT"/>
    <n v="795454545"/>
    <d v="2024-11-01T00:00:00"/>
    <n v="11"/>
    <n v="2024"/>
    <s v="Duyên hải Nam Trung Bộ"/>
    <s v="Sở ban ngành"/>
    <x v="1"/>
    <s v="F"/>
    <n v="795.45454500000005"/>
  </r>
  <r>
    <s v="NAN"/>
    <s v="VĂN PHÒNG UBND HUYỆN QUỲ HỢP"/>
    <s v="ICT"/>
    <n v="90181818"/>
    <d v="2024-11-01T00:00:00"/>
    <n v="11"/>
    <n v="2024"/>
    <s v="Bắc Trung Bộ"/>
    <s v="Sở ban ngành"/>
    <x v="0"/>
    <s v="A"/>
    <n v="90.181818000000007"/>
  </r>
  <r>
    <s v="TGG"/>
    <s v="Văn Phòng Uỷ Ban Nhân Dân Tỉnh Tiền Giang"/>
    <s v="DVKT"/>
    <n v="83754208"/>
    <d v="2024-11-01T00:00:00"/>
    <n v="11"/>
    <n v="2024"/>
    <s v="ĐB Sông Cửu Long"/>
    <s v="Sở ban ngành"/>
    <x v="1"/>
    <s v="O"/>
    <n v="83.754208000000006"/>
  </r>
  <r>
    <s v="HTH"/>
    <s v="Viettel Hà Tĩnh-Chi nhánh Tập đoàn Viễn thông Quân đội"/>
    <s v="ICT"/>
    <n v="816754274"/>
    <d v="2024-11-01T00:00:00"/>
    <n v="11"/>
    <n v="2024"/>
    <s v="Bắc Trung Bộ"/>
    <s v="Doanh nghiệp"/>
    <x v="0"/>
    <s v="B"/>
    <n v="816.75427400000001"/>
  </r>
  <r>
    <s v="CMU"/>
    <s v="Cục Quản Lý Thị Trường Tỉnh Cà Mau"/>
    <s v="ICT"/>
    <n v="22372364"/>
    <d v="2024-11-01T00:00:00"/>
    <n v="11"/>
    <n v="2024"/>
    <s v="ĐB Sông Cửu Long"/>
    <s v="Trường học"/>
    <x v="1"/>
    <s v="A"/>
    <n v="22.372364000000001"/>
  </r>
  <r>
    <s v="HNI"/>
    <s v="Học Viện Chính Sách Và Phát Triển"/>
    <s v="ICT"/>
    <n v="89650000"/>
    <d v="2024-11-01T00:00:00"/>
    <n v="11"/>
    <n v="2024"/>
    <s v="ĐB Sông Hồng"/>
    <s v="Trường học"/>
    <x v="0"/>
    <s v="A"/>
    <n v="89.65"/>
  </r>
  <r>
    <s v="HUG"/>
    <s v="Sở Tài Nguyên Và Môi Trường Tỉnh Hậu Giang"/>
    <s v="ICT"/>
    <n v="90301000"/>
    <d v="2024-11-01T00:00:00"/>
    <n v="11"/>
    <n v="2024"/>
    <s v="ĐB Sông Cửu Long"/>
    <s v="Trường học"/>
    <x v="1"/>
    <s v="P"/>
    <n v="90.301000000000002"/>
  </r>
  <r>
    <s v="HNI"/>
    <s v="TRƯỜNG CAO ĐẲNG ĐIỆN LỰC MIỀN BẮC"/>
    <s v="ME"/>
    <n v="99275400"/>
    <d v="2024-11-01T00:00:00"/>
    <n v="11"/>
    <n v="2024"/>
    <s v="ĐB Sông Hồng"/>
    <s v="Trường học"/>
    <x v="0"/>
    <s v="O"/>
    <n v="99.275400000000005"/>
  </r>
  <r>
    <s v="HNI"/>
    <s v="TRƯỜNG CAO ĐẲNG ĐIỆN LỰC MIỀN BẮC"/>
    <s v="ICT"/>
    <n v="635454545"/>
    <d v="2024-11-01T00:00:00"/>
    <n v="11"/>
    <n v="2024"/>
    <s v="ĐB Sông Hồng"/>
    <s v="Trường học"/>
    <x v="1"/>
    <s v="F"/>
    <n v="635.45454500000005"/>
  </r>
  <r>
    <s v="BDH"/>
    <s v="Trường Cao Đẳng Y Tế Bình Định"/>
    <s v="ICT"/>
    <n v="560000000"/>
    <d v="2024-11-01T00:00:00"/>
    <n v="11"/>
    <n v="2024"/>
    <s v="Duyên hải Nam Trung Bộ"/>
    <s v="Trường học"/>
    <x v="0"/>
    <s v="F"/>
    <n v="560"/>
  </r>
  <r>
    <s v="CBG"/>
    <s v="Trường Mầm Non Chí Viễn"/>
    <s v="NLMT"/>
    <n v="16947273"/>
    <d v="2024-11-01T00:00:00"/>
    <n v="11"/>
    <n v="2024"/>
    <s v="Đông Bắc Bộ"/>
    <s v="Trường học"/>
    <x v="1"/>
    <s v="K"/>
    <n v="16.947272999999999"/>
  </r>
  <r>
    <s v="BTE"/>
    <s v="Trường MN Hưng Lễ"/>
    <s v="DVKT"/>
    <n v="10545455"/>
    <d v="2024-11-01T00:00:00"/>
    <n v="11"/>
    <n v="2024"/>
    <s v="ĐB Sông Cửu Long"/>
    <s v="Trường học"/>
    <x v="0"/>
    <s v="A"/>
    <n v="10.545455"/>
  </r>
  <r>
    <s v="PTO"/>
    <s v="Trường Phổ Thông DTBT THCS Kim Thượng"/>
    <s v="ICT"/>
    <n v="44338680"/>
    <d v="2024-11-01T00:00:00"/>
    <n v="11"/>
    <n v="2024"/>
    <s v="Đông Bắc Bộ"/>
    <s v="Trường học"/>
    <x v="1"/>
    <s v="B"/>
    <n v="44.338679999999997"/>
  </r>
  <r>
    <s v="BKN"/>
    <s v="Trường Phổ Thông Dtnt Thcs Pác Nặm"/>
    <s v="ICT"/>
    <n v="26928182"/>
    <d v="2024-11-01T00:00:00"/>
    <n v="11"/>
    <n v="2024"/>
    <s v="Đông Bắc Bộ"/>
    <s v="Trường học"/>
    <x v="0"/>
    <s v="A"/>
    <n v="26.928182"/>
  </r>
  <r>
    <s v="DCN"/>
    <s v="Trường Th &amp; Thcs Nguyễn Du"/>
    <s v="ICT"/>
    <n v="27145455"/>
    <d v="2024-11-01T00:00:00"/>
    <n v="11"/>
    <n v="2024"/>
    <s v="Tây Nguyên"/>
    <s v="Trường học"/>
    <x v="1"/>
    <s v="B"/>
    <n v="27.145454999999998"/>
  </r>
  <r>
    <s v="NAN"/>
    <s v="TRƯỜNG THCS HÀ HUY TẬP"/>
    <s v="ICT"/>
    <n v="25931818"/>
    <d v="2024-11-01T00:00:00"/>
    <n v="11"/>
    <n v="2024"/>
    <s v="Bắc Trung Bộ"/>
    <s v="Trường học"/>
    <x v="0"/>
    <s v="A"/>
    <n v="25.931818"/>
  </r>
  <r>
    <s v="BTE"/>
    <s v="TRƯỜNG THCS NGUYỄN VĂN TƯ"/>
    <s v="DVKT"/>
    <n v="13409091"/>
    <d v="2024-11-01T00:00:00"/>
    <n v="11"/>
    <n v="2024"/>
    <s v="ĐB Sông Cửu Long"/>
    <s v="Trường học"/>
    <x v="1"/>
    <s v="A"/>
    <n v="13.409091"/>
  </r>
  <r>
    <s v="LCI"/>
    <s v="TRƯỜNG THCS SỐ 2 VÕ LAO"/>
    <s v="ICT"/>
    <n v="161343483"/>
    <d v="2024-11-01T00:00:00"/>
    <n v="11"/>
    <n v="2024"/>
    <s v="Tây Bắc Bộ"/>
    <s v="Trường học"/>
    <x v="0"/>
    <s v="F"/>
    <n v="161.34348299999999"/>
  </r>
  <r>
    <s v="HNI"/>
    <s v="Trường Thcs Tam Đồng"/>
    <s v="ICT"/>
    <n v="44474000"/>
    <d v="2024-11-01T00:00:00"/>
    <n v="11"/>
    <n v="2024"/>
    <s v="ĐB Sông Hồng"/>
    <s v="Trường học"/>
    <x v="1"/>
    <s v="A"/>
    <n v="44.473999999999997"/>
  </r>
  <r>
    <s v="BGG"/>
    <s v="Trường Thcs Thân Nhân Trung"/>
    <s v="ICT"/>
    <n v="26503800"/>
    <d v="2024-11-01T00:00:00"/>
    <n v="11"/>
    <n v="2024"/>
    <s v="Đông Bắc Bộ"/>
    <s v="Trường học"/>
    <x v="0"/>
    <s v="A"/>
    <n v="26.503799999999998"/>
  </r>
  <r>
    <s v="BPC"/>
    <s v="Trường Thcs Thanh Bình"/>
    <s v="ME"/>
    <n v="16060000"/>
    <d v="2024-11-01T00:00:00"/>
    <n v="11"/>
    <n v="2024"/>
    <s v="Đông Nam Bộ"/>
    <s v="Trường học"/>
    <x v="1"/>
    <s v="M"/>
    <n v="16.059999999999999"/>
  </r>
  <r>
    <s v="BTE"/>
    <s v="Trường Tiểu Học Long Hòa"/>
    <s v="ICT"/>
    <n v="15622727"/>
    <d v="2024-11-01T00:00:00"/>
    <n v="11"/>
    <n v="2024"/>
    <s v="ĐB Sông Cửu Long"/>
    <s v="Trường học"/>
    <x v="0"/>
    <s v="A"/>
    <n v="15.622726999999999"/>
  </r>
  <r>
    <s v="BTN"/>
    <s v="Trường Tiểu Học Phú Trinh 2"/>
    <s v="ICT"/>
    <n v="4254545"/>
    <d v="2024-11-01T00:00:00"/>
    <n v="11"/>
    <n v="2024"/>
    <s v="Duyên hải Nam Trung Bộ"/>
    <s v="Trường học"/>
    <x v="1"/>
    <s v="B"/>
    <n v="4.2545450000000002"/>
  </r>
  <r>
    <s v="BGG"/>
    <s v="Trường Tiểu Học Tân Dĩnh"/>
    <s v="ICT"/>
    <n v="30185000"/>
    <d v="2024-11-01T00:00:00"/>
    <n v="11"/>
    <n v="2024"/>
    <s v="Đông Bắc Bộ"/>
    <s v="Trường học"/>
    <x v="0"/>
    <s v="A"/>
    <n v="30.184999999999999"/>
  </r>
  <r>
    <s v="BGG"/>
    <s v="TRƯỜNG TIỀU HỌC THỊ TRẤN THẮNG"/>
    <s v="ICT"/>
    <n v="32345000"/>
    <d v="2024-11-01T00:00:00"/>
    <n v="11"/>
    <n v="2024"/>
    <s v="Đông Bắc Bộ"/>
    <s v="Trường học"/>
    <x v="1"/>
    <s v="A"/>
    <n v="32.344999999999999"/>
  </r>
  <r>
    <s v="KGG"/>
    <s v="TRƯỜNG TIỂU HỌC TRƯNG VƯƠNG"/>
    <s v="DVKT"/>
    <n v="23870000"/>
    <d v="2024-11-01T00:00:00"/>
    <n v="11"/>
    <n v="2024"/>
    <s v="ĐB Sông Cửu Long"/>
    <s v="Trường học"/>
    <x v="0"/>
    <s v="A"/>
    <n v="23.87"/>
  </r>
  <r>
    <s v="BDH"/>
    <s v="Trường Trung Học Cơ Sở Đào Duy Từ"/>
    <s v="ICT"/>
    <n v="11120909"/>
    <d v="2024-11-01T00:00:00"/>
    <n v="11"/>
    <n v="2024"/>
    <s v="Duyên hải Nam Trung Bộ"/>
    <s v="Trường học"/>
    <x v="1"/>
    <s v="A"/>
    <n v="11.120908999999999"/>
  </r>
  <r>
    <s v="LCI"/>
    <s v="Trường trung học cơ sở Nậm Mả"/>
    <s v="ICT"/>
    <n v="124509091"/>
    <d v="2024-11-01T00:00:00"/>
    <n v="11"/>
    <n v="2024"/>
    <s v="Tây Bắc Bộ"/>
    <s v="Trường học"/>
    <x v="0"/>
    <s v="F"/>
    <n v="124.509091"/>
  </r>
  <r>
    <s v="HUG"/>
    <s v="BỆNH VIỆN ĐA KHOA BƯU ĐIỆN."/>
    <s v="ME"/>
    <n v="534666364"/>
    <d v="2024-12-01T00:00:00"/>
    <n v="12"/>
    <n v="2024"/>
    <s v="ĐB Sông Cửu Long"/>
    <s v="Bệnh viện"/>
    <x v="1"/>
    <s v="C"/>
    <n v="534.66636400000004"/>
  </r>
  <r>
    <s v="DNG"/>
    <s v="Công ty 1"/>
    <s v="ME"/>
    <n v="293385000"/>
    <d v="2024-12-01T00:00:00"/>
    <n v="12"/>
    <n v="2024"/>
    <s v="Duyên hải Nam Trung Bộ"/>
    <s v="Doanh nghiệp"/>
    <x v="0"/>
    <s v="L"/>
    <n v="293.38499999999999"/>
  </r>
  <r>
    <s v="LCU"/>
    <s v="Công ty 1"/>
    <s v="NLMT"/>
    <n v="271818182"/>
    <d v="2024-12-01T00:00:00"/>
    <n v="12"/>
    <n v="2024"/>
    <s v="Tây Bắc Bộ"/>
    <s v="Doanh nghiệp"/>
    <x v="1"/>
    <s v="K"/>
    <n v="271.81818199999998"/>
  </r>
  <r>
    <s v="HUG"/>
    <s v="Công ty 1"/>
    <s v="ME"/>
    <n v="250580909"/>
    <d v="2024-12-01T00:00:00"/>
    <n v="12"/>
    <n v="2024"/>
    <s v="ĐB Sông Cửu Long"/>
    <s v="Doanh nghiệp"/>
    <x v="0"/>
    <s v="C"/>
    <n v="250.58090899999999"/>
  </r>
  <r>
    <s v="HNM"/>
    <s v="Công ty 1"/>
    <s v="NLMT"/>
    <n v="201994545"/>
    <d v="2024-12-01T00:00:00"/>
    <n v="12"/>
    <n v="2024"/>
    <s v="ĐB Sông Hồng"/>
    <s v="Doanh nghiệp"/>
    <x v="1"/>
    <s v="D"/>
    <n v="201.99454499999999"/>
  </r>
  <r>
    <s v="TBH"/>
    <s v="Công ty 28"/>
    <s v="ME"/>
    <n v="1075213761"/>
    <d v="2024-12-01T00:00:00"/>
    <n v="12"/>
    <n v="2024"/>
    <s v="ĐB Sông Hồng"/>
    <s v="Doanh nghiệp"/>
    <x v="0"/>
    <s v="E"/>
    <n v="1075.213761"/>
  </r>
  <r>
    <s v="HNI"/>
    <s v="Công ty 97"/>
    <s v="ICT"/>
    <n v="104800000"/>
    <d v="2024-12-01T00:00:00"/>
    <n v="12"/>
    <n v="2024"/>
    <s v="ĐB Sông Hồng"/>
    <s v="Doanh nghiệp"/>
    <x v="1"/>
    <s v="F"/>
    <n v="104.8"/>
  </r>
  <r>
    <s v="HDG"/>
    <s v="Công ty 27"/>
    <s v="ICT"/>
    <n v="33387273"/>
    <d v="2024-12-01T00:00:00"/>
    <n v="12"/>
    <n v="2024"/>
    <s v="ĐB Sông Hồng"/>
    <s v="Doanh nghiệp"/>
    <x v="0"/>
    <s v="F"/>
    <n v="33.387273"/>
  </r>
  <r>
    <s v="VPC"/>
    <s v="Công ty 39"/>
    <s v="NLMT"/>
    <n v="527361199"/>
    <d v="2024-12-01T00:00:00"/>
    <n v="12"/>
    <n v="2024"/>
    <s v="ĐB Sông Hồng"/>
    <s v="Doanh nghiệp"/>
    <x v="1"/>
    <s v="D"/>
    <n v="527.36119900000006"/>
  </r>
  <r>
    <s v="LDG"/>
    <s v="Công ty 51"/>
    <s v="DVKT"/>
    <n v="87172864"/>
    <d v="2024-12-01T00:00:00"/>
    <n v="12"/>
    <n v="2024"/>
    <s v="Tây Nguyên"/>
    <s v="Doanh nghiệp"/>
    <x v="0"/>
    <s v="M"/>
    <n v="87.172864000000004"/>
  </r>
  <r>
    <s v="HNI"/>
    <s v="Công ty 52"/>
    <s v="NLMT"/>
    <n v="11088780300"/>
    <d v="2024-12-01T00:00:00"/>
    <n v="12"/>
    <n v="2024"/>
    <s v="ĐB Sông Hồng"/>
    <s v="Doanh nghiệp"/>
    <x v="1"/>
    <s v="D"/>
    <n v="11088.7803"/>
  </r>
  <r>
    <s v="DNG"/>
    <s v="Công ty 67"/>
    <s v="ICT"/>
    <n v="1412663630"/>
    <d v="2024-12-01T00:00:00"/>
    <n v="12"/>
    <n v="2024"/>
    <s v="Duyên hải Nam Trung Bộ"/>
    <s v="Doanh nghiệp"/>
    <x v="0"/>
    <s v="F"/>
    <n v="1412.66363"/>
  </r>
  <r>
    <s v="LAN"/>
    <s v="Công ty 76"/>
    <s v="NLMT"/>
    <n v="20567273"/>
    <d v="2024-12-01T00:00:00"/>
    <n v="12"/>
    <n v="2024"/>
    <s v="ĐB Sông Cửu Long"/>
    <s v="Doanh nghiệp"/>
    <x v="1"/>
    <s v="K"/>
    <n v="20.567273"/>
  </r>
  <r>
    <s v="HUE"/>
    <s v="Công ty 90"/>
    <s v="ME"/>
    <n v="104480182"/>
    <d v="2024-12-01T00:00:00"/>
    <n v="12"/>
    <n v="2024"/>
    <s v="Bắc Trung Bộ"/>
    <s v="Doanh nghiệp"/>
    <x v="0"/>
    <s v="L"/>
    <n v="104.480182"/>
  </r>
  <r>
    <s v="HCM"/>
    <s v="Công ty 93"/>
    <s v="DVKT"/>
    <n v="7159440"/>
    <d v="2024-12-01T00:00:00"/>
    <n v="12"/>
    <n v="2024"/>
    <s v="Đông Nam Bộ"/>
    <s v="Doanh nghiệp"/>
    <x v="1"/>
    <s v="H"/>
    <n v="7.15944"/>
  </r>
  <r>
    <s v="HCM"/>
    <s v="Công ty 94"/>
    <s v="DVKT"/>
    <n v="6805640"/>
    <d v="2024-12-01T00:00:00"/>
    <n v="12"/>
    <n v="2024"/>
    <s v="Đông Nam Bộ"/>
    <s v="Doanh nghiệp"/>
    <x v="0"/>
    <s v="H"/>
    <n v="6.8056400000000004"/>
  </r>
  <r>
    <s v="HNI"/>
    <s v="Công ty 9"/>
    <s v="NLMT"/>
    <n v="15750203700"/>
    <d v="2024-12-01T00:00:00"/>
    <n v="12"/>
    <n v="2024"/>
    <s v="ĐB Sông Hồng"/>
    <s v="Doanh nghiệp"/>
    <x v="1"/>
    <s v="D"/>
    <n v="15750.2037"/>
  </r>
  <r>
    <s v="HNI"/>
    <s v="Công ty 11"/>
    <s v="NLMT"/>
    <n v="10759037300"/>
    <d v="2024-12-01T00:00:00"/>
    <n v="12"/>
    <n v="2024"/>
    <s v="ĐB Sông Hồng"/>
    <s v="Doanh nghiệp"/>
    <x v="0"/>
    <s v="D"/>
    <n v="10759.0373"/>
  </r>
  <r>
    <s v="PTO"/>
    <s v="Công ty 26"/>
    <s v="DVKT"/>
    <n v="186433994"/>
    <d v="2024-12-01T00:00:00"/>
    <n v="12"/>
    <n v="2024"/>
    <s v="Đông Bắc Bộ"/>
    <s v="Doanh nghiệp"/>
    <x v="1"/>
    <s v="T"/>
    <n v="186.43399400000001"/>
  </r>
  <r>
    <s v="PTO"/>
    <s v="Công ty 27"/>
    <s v="DVKT"/>
    <n v="209333994"/>
    <d v="2024-12-01T00:00:00"/>
    <n v="12"/>
    <n v="2024"/>
    <s v="Đông Bắc Bộ"/>
    <s v="Doanh nghiệp"/>
    <x v="0"/>
    <s v="F"/>
    <n v="209.33399399999999"/>
  </r>
  <r>
    <s v="BPC"/>
    <s v="Công ty 48"/>
    <s v="ICT"/>
    <n v="8283100"/>
    <d v="2024-12-01T00:00:00"/>
    <n v="12"/>
    <n v="2024"/>
    <s v="Đông Nam Bộ"/>
    <s v="Doanh nghiệp"/>
    <x v="1"/>
    <s v="F"/>
    <n v="8.2830999999999992"/>
  </r>
  <r>
    <s v="BDG"/>
    <s v="Công ty 57"/>
    <s v="NLMT"/>
    <n v="1256206167"/>
    <d v="2024-12-01T00:00:00"/>
    <n v="12"/>
    <n v="2024"/>
    <s v="Đông Nam Bộ"/>
    <s v="Doanh nghiệp"/>
    <x v="0"/>
    <s v="D"/>
    <n v="1256.2061670000001"/>
  </r>
  <r>
    <s v="QNM"/>
    <s v="Công ty 72"/>
    <s v="ICT"/>
    <n v="259671500"/>
    <d v="2024-12-01T00:00:00"/>
    <n v="12"/>
    <n v="2024"/>
    <s v="Duyên hải Nam Trung Bộ"/>
    <s v="Doanh nghiệp"/>
    <x v="1"/>
    <s v="B"/>
    <n v="259.67149999999998"/>
  </r>
  <r>
    <s v="NAN"/>
    <s v="Công ty 74"/>
    <s v="DVKT"/>
    <n v="145734727"/>
    <d v="2024-12-01T00:00:00"/>
    <n v="12"/>
    <n v="2024"/>
    <s v="Bắc Trung Bộ"/>
    <s v="Doanh nghiệp"/>
    <x v="0"/>
    <s v="L"/>
    <n v="145.73472699999999"/>
  </r>
  <r>
    <s v="HUE"/>
    <s v="Công ty 75"/>
    <s v="NLMT"/>
    <n v="3164327533"/>
    <d v="2024-12-01T00:00:00"/>
    <n v="12"/>
    <n v="2024"/>
    <s v="Bắc Trung Bộ"/>
    <s v="Doanh nghiệp"/>
    <x v="1"/>
    <s v="D"/>
    <n v="3164.3275330000001"/>
  </r>
  <r>
    <s v="HNI"/>
    <s v="Công ty 1"/>
    <s v="ICT"/>
    <n v="181783636"/>
    <d v="2024-12-01T00:00:00"/>
    <n v="12"/>
    <n v="2024"/>
    <s v="ĐB Sông Hồng"/>
    <s v="Doanh nghiệp"/>
    <x v="0"/>
    <s v="A"/>
    <n v="181.783636"/>
  </r>
  <r>
    <s v="DTP"/>
    <s v="Công ty 7"/>
    <s v="ICT"/>
    <n v="17130000"/>
    <d v="2024-12-01T00:00:00"/>
    <n v="12"/>
    <n v="2024"/>
    <s v="ĐB Sông Cửu Long"/>
    <s v="Doanh nghiệp"/>
    <x v="1"/>
    <s v="B"/>
    <n v="17.13"/>
  </r>
  <r>
    <s v="QTI"/>
    <s v="Công ty 40"/>
    <s v="DVKT"/>
    <n v="181636364"/>
    <d v="2024-12-01T00:00:00"/>
    <n v="12"/>
    <n v="2024"/>
    <s v="Bắc Trung Bộ"/>
    <s v="Doanh nghiệp"/>
    <x v="0"/>
    <s v="E"/>
    <n v="181.63636399999999"/>
  </r>
  <r>
    <s v="NAN"/>
    <s v="Công ty 3"/>
    <s v="NLMT"/>
    <n v="174941364"/>
    <d v="2024-12-01T00:00:00"/>
    <n v="12"/>
    <n v="2024"/>
    <s v="Bắc Trung Bộ"/>
    <s v="Doanh nghiệp"/>
    <x v="1"/>
    <s v="D"/>
    <n v="174.94136399999999"/>
  </r>
  <r>
    <s v="VPC"/>
    <s v="Công ty 24"/>
    <s v="ICT"/>
    <n v="18245091"/>
    <d v="2024-12-01T00:00:00"/>
    <n v="12"/>
    <n v="2024"/>
    <s v="ĐB Sông Hồng"/>
    <s v="Doanh nghiệp"/>
    <x v="0"/>
    <s v="B"/>
    <n v="18.245090999999999"/>
  </r>
  <r>
    <s v="NAN"/>
    <s v="Công ty 29"/>
    <s v="NLMT"/>
    <n v="140909091"/>
    <d v="2024-12-01T00:00:00"/>
    <n v="12"/>
    <n v="2024"/>
    <s v="Bắc Trung Bộ"/>
    <s v="Doanh nghiệp"/>
    <x v="1"/>
    <s v="D"/>
    <n v="140.90909099999999"/>
  </r>
  <r>
    <s v="LDG"/>
    <s v="Công ty 39"/>
    <s v="ICT"/>
    <n v="187699000"/>
    <d v="2024-12-01T00:00:00"/>
    <n v="12"/>
    <n v="2024"/>
    <s v="Tây Nguyên"/>
    <s v="Doanh nghiệp"/>
    <x v="0"/>
    <s v="A"/>
    <n v="187.69900000000001"/>
  </r>
  <r>
    <s v="PYN"/>
    <s v="Công ty 43"/>
    <s v="ME"/>
    <n v="20454545"/>
    <d v="2024-12-01T00:00:00"/>
    <n v="12"/>
    <n v="2024"/>
    <s v="Duyên hải Nam Trung Bộ"/>
    <s v="Doanh nghiệp"/>
    <x v="1"/>
    <s v="E"/>
    <n v="20.454545"/>
  </r>
  <r>
    <s v="PTO"/>
    <s v="Công ty 54"/>
    <s v="DVKT"/>
    <n v="42182500"/>
    <d v="2024-12-01T00:00:00"/>
    <n v="12"/>
    <n v="2024"/>
    <s v="Đông Bắc Bộ"/>
    <s v="Doanh nghiệp"/>
    <x v="0"/>
    <s v="L"/>
    <n v="42.182499999999997"/>
  </r>
  <r>
    <s v="LCI"/>
    <s v="Công ty 59"/>
    <s v="NLMT"/>
    <n v="22781818"/>
    <d v="2024-12-01T00:00:00"/>
    <n v="12"/>
    <n v="2024"/>
    <s v="Tây Bắc Bộ"/>
    <s v="Doanh nghiệp"/>
    <x v="1"/>
    <s v="K"/>
    <n v="22.781818000000001"/>
  </r>
  <r>
    <s v="VPC"/>
    <s v="Công ty 89"/>
    <s v="NLMT"/>
    <n v="1355435345"/>
    <d v="2024-12-01T00:00:00"/>
    <n v="12"/>
    <n v="2024"/>
    <s v="ĐB Sông Hồng"/>
    <s v="Doanh nghiệp"/>
    <x v="0"/>
    <s v="D"/>
    <n v="1355.4353450000001"/>
  </r>
  <r>
    <s v="HNM"/>
    <s v="Công ty 91"/>
    <s v="ME"/>
    <n v="4490650765"/>
    <d v="2024-12-01T00:00:00"/>
    <n v="12"/>
    <n v="2024"/>
    <s v="ĐB Sông Hồng"/>
    <s v="Doanh nghiệp"/>
    <x v="1"/>
    <s v="E"/>
    <n v="4490.6507650000003"/>
  </r>
  <r>
    <s v="NBH"/>
    <s v="Công ty 93"/>
    <s v="ME"/>
    <n v="15227273"/>
    <d v="2024-12-01T00:00:00"/>
    <n v="12"/>
    <n v="2024"/>
    <s v="ĐB Sông Hồng"/>
    <s v="Doanh nghiệp"/>
    <x v="0"/>
    <s v="C"/>
    <n v="15.227273"/>
  </r>
  <r>
    <s v="TGG"/>
    <s v="Công ty 98"/>
    <s v="NLMT"/>
    <n v="9818182"/>
    <d v="2024-12-01T00:00:00"/>
    <n v="12"/>
    <n v="2024"/>
    <s v="ĐB Sông Cửu Long"/>
    <s v="Doanh nghiệp"/>
    <x v="1"/>
    <s v="D"/>
    <n v="9.8181820000000002"/>
  </r>
  <r>
    <s v="VLG"/>
    <s v="Công ty 50"/>
    <s v="ICT"/>
    <n v="820854545"/>
    <d v="2024-12-01T00:00:00"/>
    <n v="12"/>
    <n v="2024"/>
    <s v="ĐB Sông Cửu Long"/>
    <s v="Doanh nghiệp"/>
    <x v="0"/>
    <s v="F"/>
    <n v="820.85454500000003"/>
  </r>
  <r>
    <s v="DTP"/>
    <s v="Công ty 58"/>
    <s v="ICT"/>
    <n v="398225000"/>
    <d v="2024-12-01T00:00:00"/>
    <n v="12"/>
    <n v="2024"/>
    <s v="ĐB Sông Cửu Long"/>
    <s v="Doanh nghiệp"/>
    <x v="1"/>
    <s v="A"/>
    <n v="398.22500000000002"/>
  </r>
  <r>
    <s v="KHA"/>
    <s v="Công ty 77"/>
    <s v="NLMT"/>
    <n v="932200800"/>
    <d v="2024-12-01T00:00:00"/>
    <n v="12"/>
    <n v="2024"/>
    <s v="Duyên hải Nam Trung Bộ"/>
    <s v="Doanh nghiệp"/>
    <x v="0"/>
    <s v="D"/>
    <n v="932.20079999999996"/>
  </r>
  <r>
    <s v="AGG"/>
    <s v="Công ty 91"/>
    <s v="ME"/>
    <n v="184152000"/>
    <d v="2024-12-01T00:00:00"/>
    <n v="12"/>
    <n v="2024"/>
    <s v="ĐB Sông Cửu Long"/>
    <s v="Doanh nghiệp"/>
    <x v="1"/>
    <s v="C"/>
    <n v="184.15199999999999"/>
  </r>
  <r>
    <s v="LAN"/>
    <s v="Công ty 92"/>
    <s v="ICT"/>
    <n v="12132727"/>
    <d v="2024-12-01T00:00:00"/>
    <n v="12"/>
    <n v="2024"/>
    <s v="ĐB Sông Cửu Long"/>
    <s v="Doanh nghiệp"/>
    <x v="0"/>
    <s v="A"/>
    <n v="12.132726999999999"/>
  </r>
  <r>
    <s v="AGG"/>
    <s v="Công ty 5"/>
    <s v="ME"/>
    <n v="193711000"/>
    <d v="2024-12-01T00:00:00"/>
    <n v="12"/>
    <n v="2024"/>
    <s v="ĐB Sông Cửu Long"/>
    <s v="Doanh nghiệp"/>
    <x v="1"/>
    <s v="C"/>
    <n v="193.71100000000001"/>
  </r>
  <r>
    <s v="AGG"/>
    <s v="Công ty 22"/>
    <s v="ICT"/>
    <n v="22737982"/>
    <d v="2024-12-01T00:00:00"/>
    <n v="12"/>
    <n v="2024"/>
    <s v="ĐB Sông Cửu Long"/>
    <s v="Doanh nghiệp"/>
    <x v="0"/>
    <s v="B"/>
    <n v="22.737981999999999"/>
  </r>
  <r>
    <s v="AGG"/>
    <s v="Công ty 23"/>
    <s v="ME"/>
    <n v="192824000"/>
    <d v="2024-12-01T00:00:00"/>
    <n v="12"/>
    <n v="2024"/>
    <s v="ĐB Sông Cửu Long"/>
    <s v="Doanh nghiệp"/>
    <x v="1"/>
    <s v="C"/>
    <n v="192.82400000000001"/>
  </r>
  <r>
    <s v="HNI"/>
    <s v="Công ty 51"/>
    <s v="NLMT"/>
    <n v="229926400"/>
    <d v="2024-12-01T00:00:00"/>
    <n v="12"/>
    <n v="2024"/>
    <s v="ĐB Sông Hồng"/>
    <s v="Doanh nghiệp"/>
    <x v="0"/>
    <s v="D"/>
    <n v="229.9264"/>
  </r>
  <r>
    <s v="LDG"/>
    <s v="Công ty 55"/>
    <s v="ICT"/>
    <n v="39338843"/>
    <d v="2024-12-01T00:00:00"/>
    <n v="12"/>
    <n v="2024"/>
    <s v="Tây Nguyên"/>
    <s v="Doanh nghiệp"/>
    <x v="1"/>
    <s v="B"/>
    <n v="39.338842999999997"/>
  </r>
  <r>
    <s v="BDH"/>
    <s v="Công ty 93"/>
    <s v="ICT"/>
    <n v="27567400"/>
    <d v="2024-12-01T00:00:00"/>
    <n v="12"/>
    <n v="2024"/>
    <s v="Duyên hải Nam Trung Bộ"/>
    <s v="Doanh nghiệp"/>
    <x v="0"/>
    <s v="A"/>
    <n v="27.567399999999999"/>
  </r>
  <r>
    <s v="KGG"/>
    <s v="Công ty 16"/>
    <s v="DVKT"/>
    <n v="14727273"/>
    <d v="2024-12-01T00:00:00"/>
    <n v="12"/>
    <n v="2024"/>
    <s v="ĐB Sông Cửu Long"/>
    <s v="Doanh nghiệp"/>
    <x v="1"/>
    <s v="D"/>
    <n v="14.727273"/>
  </r>
  <r>
    <s v="NAN"/>
    <s v="Công ty 21"/>
    <s v="NLMT"/>
    <n v="177783381"/>
    <d v="2024-12-01T00:00:00"/>
    <n v="12"/>
    <n v="2024"/>
    <s v="Bắc Trung Bộ"/>
    <s v="Doanh nghiệp"/>
    <x v="0"/>
    <s v="D"/>
    <n v="177.78338099999999"/>
  </r>
  <r>
    <s v="BDH"/>
    <s v="Công ty 26"/>
    <s v="ICT"/>
    <n v="191114091"/>
    <d v="2024-12-01T00:00:00"/>
    <n v="12"/>
    <n v="2024"/>
    <s v="Duyên hải Nam Trung Bộ"/>
    <s v="Doanh nghiệp"/>
    <x v="1"/>
    <s v="B"/>
    <n v="191.114091"/>
  </r>
  <r>
    <s v="CTO"/>
    <s v="Công ty 66"/>
    <s v="ICT"/>
    <n v="184610000"/>
    <d v="2024-12-01T00:00:00"/>
    <n v="12"/>
    <n v="2024"/>
    <s v="ĐB Sông Cửu Long"/>
    <s v="Doanh nghiệp"/>
    <x v="0"/>
    <s v="B"/>
    <n v="184.61"/>
  </r>
  <r>
    <s v="GLI"/>
    <s v="Công ty 9"/>
    <s v="NLMT"/>
    <n v="85054545"/>
    <d v="2024-12-01T00:00:00"/>
    <n v="12"/>
    <n v="2024"/>
    <s v="Tây Nguyên"/>
    <s v="Doanh nghiệp"/>
    <x v="1"/>
    <s v="K"/>
    <n v="85.054545000000005"/>
  </r>
  <r>
    <s v="KGG"/>
    <s v="Công ty 12"/>
    <s v="NLMT"/>
    <n v="63325455"/>
    <d v="2024-12-01T00:00:00"/>
    <n v="12"/>
    <n v="2024"/>
    <s v="ĐB Sông Cửu Long"/>
    <s v="Doanh nghiệp"/>
    <x v="0"/>
    <s v="D"/>
    <n v="63.325454999999998"/>
  </r>
  <r>
    <s v="LCI"/>
    <s v="Công ty 24"/>
    <s v="DVKT"/>
    <n v="102147273"/>
    <d v="2024-12-01T00:00:00"/>
    <n v="12"/>
    <n v="2024"/>
    <s v="Tây Bắc Bộ"/>
    <s v="Doanh nghiệp"/>
    <x v="1"/>
    <s v="A"/>
    <n v="102.147273"/>
  </r>
  <r>
    <s v="GLI"/>
    <s v="Công ty 37"/>
    <s v="ICT"/>
    <n v="390000000"/>
    <d v="2024-12-01T00:00:00"/>
    <n v="12"/>
    <n v="2024"/>
    <s v="Tây Nguyên"/>
    <s v="Doanh nghiệp"/>
    <x v="0"/>
    <s v="A"/>
    <n v="390"/>
  </r>
  <r>
    <s v="DCN"/>
    <s v="Công ty 40"/>
    <s v="DVKT"/>
    <n v="361818182"/>
    <d v="2024-12-01T00:00:00"/>
    <n v="12"/>
    <n v="2024"/>
    <s v="Tây Nguyên"/>
    <s v="Doanh nghiệp"/>
    <x v="1"/>
    <s v="O"/>
    <n v="361.81818199999998"/>
  </r>
  <r>
    <s v="DLK"/>
    <s v="Công ty 64"/>
    <s v="ME"/>
    <n v="38319000"/>
    <d v="2024-12-01T00:00:00"/>
    <n v="12"/>
    <n v="2024"/>
    <s v="Tây Nguyên"/>
    <s v="Doanh nghiệp"/>
    <x v="0"/>
    <s v="E"/>
    <n v="38.319000000000003"/>
  </r>
  <r>
    <s v="SLA"/>
    <s v="Công ty 68"/>
    <s v="NLMT"/>
    <n v="172090909"/>
    <d v="2024-12-01T00:00:00"/>
    <n v="12"/>
    <n v="2024"/>
    <s v="Tây Bắc Bộ"/>
    <s v="Doanh nghiệp"/>
    <x v="1"/>
    <s v="K"/>
    <n v="172.09090900000001"/>
  </r>
  <r>
    <s v="NDH"/>
    <s v="Công ty 45"/>
    <s v="NLMT"/>
    <n v="456489700"/>
    <d v="2024-12-01T00:00:00"/>
    <n v="12"/>
    <n v="2024"/>
    <s v="ĐB Sông Hồng"/>
    <s v="Doanh nghiệp"/>
    <x v="0"/>
    <s v="D"/>
    <n v="456.48970000000003"/>
  </r>
  <r>
    <s v="PTO"/>
    <s v="Công ty 50"/>
    <s v="ME"/>
    <n v="2639799309"/>
    <d v="2024-12-01T00:00:00"/>
    <n v="12"/>
    <n v="2024"/>
    <s v="Đông Bắc Bộ"/>
    <s v="Doanh nghiệp"/>
    <x v="1"/>
    <s v="C"/>
    <n v="2639.799309"/>
  </r>
  <r>
    <s v="NAN"/>
    <s v="Công ty 60"/>
    <s v="NLMT"/>
    <n v="165463737"/>
    <d v="2024-12-01T00:00:00"/>
    <n v="12"/>
    <n v="2024"/>
    <s v="Bắc Trung Bộ"/>
    <s v="Doanh nghiệp"/>
    <x v="0"/>
    <s v="D"/>
    <n v="165.46373700000001"/>
  </r>
  <r>
    <s v="NAN"/>
    <s v="Công ty 77"/>
    <s v="NLMT"/>
    <n v="86363636"/>
    <d v="2024-12-01T00:00:00"/>
    <n v="12"/>
    <n v="2024"/>
    <s v="Bắc Trung Bộ"/>
    <s v="Doanh nghiệp"/>
    <x v="1"/>
    <s v="D"/>
    <n v="86.363636"/>
  </r>
  <r>
    <s v="PTO"/>
    <s v="Công ty 85"/>
    <s v="ICT"/>
    <n v="1045497600"/>
    <d v="2024-12-01T00:00:00"/>
    <n v="12"/>
    <n v="2024"/>
    <s v="Đông Bắc Bộ"/>
    <s v="Doanh nghiệp"/>
    <x v="0"/>
    <s v="B"/>
    <n v="1045.4975999999999"/>
  </r>
  <r>
    <s v="PTO"/>
    <s v="Công ty 86"/>
    <s v="ICT"/>
    <n v="204784989"/>
    <d v="2024-12-01T00:00:00"/>
    <n v="12"/>
    <n v="2024"/>
    <s v="Đông Bắc Bộ"/>
    <s v="Doanh nghiệp"/>
    <x v="1"/>
    <s v="A"/>
    <n v="204.784989"/>
  </r>
  <r>
    <s v="VLG"/>
    <s v="Công ty 88"/>
    <s v="ICT"/>
    <n v="16409091"/>
    <d v="2024-12-01T00:00:00"/>
    <n v="12"/>
    <n v="2024"/>
    <s v="ĐB Sông Cửu Long"/>
    <s v="Doanh nghiệp"/>
    <x v="0"/>
    <s v="B"/>
    <n v="16.409091"/>
  </r>
  <r>
    <s v="KGG"/>
    <s v="Công ty 97"/>
    <s v="ME"/>
    <n v="881400000"/>
    <d v="2024-12-01T00:00:00"/>
    <n v="12"/>
    <n v="2024"/>
    <s v="ĐB Sông Cửu Long"/>
    <s v="Doanh nghiệp"/>
    <x v="1"/>
    <s v="C"/>
    <n v="881.4"/>
  </r>
  <r>
    <s v="KHA"/>
    <s v="Công ty 5"/>
    <s v="DVKT"/>
    <n v="88191545"/>
    <d v="2024-12-01T00:00:00"/>
    <n v="12"/>
    <n v="2024"/>
    <s v="Duyên hải Nam Trung Bộ"/>
    <s v="Doanh nghiệp"/>
    <x v="0"/>
    <s v="E"/>
    <n v="88.191545000000005"/>
  </r>
  <r>
    <s v="TGG"/>
    <s v="Công ty 14"/>
    <s v="ICT"/>
    <n v="40561252"/>
    <d v="2024-12-01T00:00:00"/>
    <n v="12"/>
    <n v="2024"/>
    <s v="ĐB Sông Cửu Long"/>
    <s v="Doanh nghiệp"/>
    <x v="1"/>
    <s v="B"/>
    <n v="40.561252000000003"/>
  </r>
  <r>
    <s v="BLU"/>
    <s v="Công ty 20"/>
    <s v="NLMT"/>
    <n v="226997500"/>
    <d v="2024-12-01T00:00:00"/>
    <n v="12"/>
    <n v="2024"/>
    <s v="ĐB Sông Cửu Long"/>
    <s v="Doanh nghiệp"/>
    <x v="0"/>
    <s v="K"/>
    <n v="226.9975"/>
  </r>
  <r>
    <s v="KHA"/>
    <s v="Công ty 33"/>
    <s v="NLMT"/>
    <n v="103132727"/>
    <d v="2024-12-01T00:00:00"/>
    <n v="12"/>
    <n v="2024"/>
    <s v="Duyên hải Nam Trung Bộ"/>
    <s v="Doanh nghiệp"/>
    <x v="1"/>
    <s v="D"/>
    <n v="103.132727"/>
  </r>
  <r>
    <s v="GLI"/>
    <s v="Công ty 50"/>
    <s v="ICT"/>
    <n v="468325318"/>
    <d v="2024-12-01T00:00:00"/>
    <n v="12"/>
    <n v="2024"/>
    <s v="Tây Nguyên"/>
    <s v="Doanh nghiệp"/>
    <x v="0"/>
    <s v="B"/>
    <n v="468.32531799999998"/>
  </r>
  <r>
    <s v="GLI"/>
    <s v="Công ty 51"/>
    <s v="ICT"/>
    <n v="260996091"/>
    <d v="2024-12-01T00:00:00"/>
    <n v="12"/>
    <n v="2024"/>
    <s v="Tây Nguyên"/>
    <s v="Doanh nghiệp"/>
    <x v="1"/>
    <s v="B"/>
    <n v="260.99609099999998"/>
  </r>
  <r>
    <s v="GLI"/>
    <s v="Công ty 52"/>
    <s v="ICT"/>
    <n v="240365409"/>
    <d v="2024-12-01T00:00:00"/>
    <n v="12"/>
    <n v="2024"/>
    <s v="Tây Nguyên"/>
    <s v="Doanh nghiệp"/>
    <x v="0"/>
    <s v="B"/>
    <n v="240.365409"/>
  </r>
  <r>
    <s v="HNI"/>
    <s v="Công ty 58"/>
    <s v="ME"/>
    <n v="270273400"/>
    <d v="2024-12-01T00:00:00"/>
    <n v="12"/>
    <n v="2024"/>
    <s v="ĐB Sông Hồng"/>
    <s v="Doanh nghiệp"/>
    <x v="1"/>
    <s v="E"/>
    <n v="270.27339999999998"/>
  </r>
  <r>
    <s v="BDH"/>
    <s v="Công ty 63"/>
    <s v="ICT"/>
    <n v="73050000"/>
    <d v="2024-12-01T00:00:00"/>
    <n v="12"/>
    <n v="2024"/>
    <s v="Duyên hải Nam Trung Bộ"/>
    <s v="Doanh nghiệp"/>
    <x v="0"/>
    <s v="A"/>
    <n v="73.05"/>
  </r>
  <r>
    <s v="TGG"/>
    <s v="Công ty 64"/>
    <s v="ICT"/>
    <n v="38761391"/>
    <d v="2024-12-01T00:00:00"/>
    <n v="12"/>
    <n v="2024"/>
    <s v="ĐB Sông Cửu Long"/>
    <s v="Doanh nghiệp"/>
    <x v="1"/>
    <s v="B"/>
    <n v="38.761391000000003"/>
  </r>
  <r>
    <s v="QNI"/>
    <s v="Công ty 72"/>
    <s v="ICT"/>
    <n v="33632727"/>
    <d v="2024-12-01T00:00:00"/>
    <n v="12"/>
    <n v="2024"/>
    <s v="Duyên hải Nam Trung Bộ"/>
    <s v="Doanh nghiệp"/>
    <x v="0"/>
    <s v="B"/>
    <n v="33.632727000000003"/>
  </r>
  <r>
    <s v="NAN"/>
    <s v="Công ty 77"/>
    <s v="ME"/>
    <n v="31970000"/>
    <d v="2024-12-01T00:00:00"/>
    <n v="12"/>
    <n v="2024"/>
    <s v="Bắc Trung Bộ"/>
    <s v="Doanh nghiệp"/>
    <x v="1"/>
    <s v="O"/>
    <n v="31.97"/>
  </r>
  <r>
    <s v="KGG"/>
    <s v="Công ty 81"/>
    <s v="NLMT"/>
    <n v="238680000"/>
    <d v="2024-12-01T00:00:00"/>
    <n v="12"/>
    <n v="2024"/>
    <s v="ĐB Sông Cửu Long"/>
    <s v="Doanh nghiệp"/>
    <x v="0"/>
    <s v="D"/>
    <n v="238.68"/>
  </r>
  <r>
    <s v="VPC"/>
    <s v="Công ty 5"/>
    <s v="ICT"/>
    <n v="223634618"/>
    <d v="2024-12-01T00:00:00"/>
    <n v="12"/>
    <n v="2024"/>
    <s v="ĐB Sông Hồng"/>
    <s v="Doanh nghiệp"/>
    <x v="1"/>
    <s v="B"/>
    <n v="223.63461799999999"/>
  </r>
  <r>
    <s v="HNI"/>
    <s v="Công ty 33"/>
    <s v="DVKT"/>
    <n v="207949091"/>
    <d v="2024-12-01T00:00:00"/>
    <n v="12"/>
    <n v="2024"/>
    <s v="ĐB Sông Hồng"/>
    <s v="Doanh nghiệp"/>
    <x v="0"/>
    <s v="C"/>
    <n v="207.94909100000001"/>
  </r>
  <r>
    <s v="STG"/>
    <s v="Công ty 46"/>
    <s v="ICT"/>
    <n v="15930000"/>
    <d v="2024-12-01T00:00:00"/>
    <n v="12"/>
    <n v="2024"/>
    <s v="ĐB Sông Cửu Long"/>
    <s v="Doanh nghiệp"/>
    <x v="1"/>
    <s v="B"/>
    <n v="15.93"/>
  </r>
  <r>
    <s v="NAN"/>
    <s v="Công ty 48"/>
    <s v="NLMT"/>
    <n v="95101278"/>
    <d v="2024-12-01T00:00:00"/>
    <n v="12"/>
    <n v="2024"/>
    <s v="Bắc Trung Bộ"/>
    <s v="Doanh nghiệp"/>
    <x v="0"/>
    <s v="D"/>
    <n v="95.101277999999994"/>
  </r>
  <r>
    <s v="TGG"/>
    <s v="Công ty 59"/>
    <s v="ICT"/>
    <n v="20972727"/>
    <d v="2024-12-01T00:00:00"/>
    <n v="12"/>
    <n v="2024"/>
    <s v="ĐB Sông Cửu Long"/>
    <s v="Doanh nghiệp"/>
    <x v="1"/>
    <s v="B"/>
    <n v="20.972726999999999"/>
  </r>
  <r>
    <s v="SLA"/>
    <s v="Công ty 69"/>
    <s v="NLMT"/>
    <n v="236363636"/>
    <d v="2024-12-01T00:00:00"/>
    <n v="12"/>
    <n v="2024"/>
    <s v="Tây Bắc Bộ"/>
    <s v="Doanh nghiệp"/>
    <x v="0"/>
    <s v="K"/>
    <n v="236.36363600000001"/>
  </r>
  <r>
    <s v="VPC"/>
    <s v="Công ty 87"/>
    <s v="NLMT"/>
    <n v="3494664000"/>
    <d v="2024-12-01T00:00:00"/>
    <n v="12"/>
    <n v="2024"/>
    <s v="ĐB Sông Hồng"/>
    <s v="Doanh nghiệp"/>
    <x v="1"/>
    <s v="D"/>
    <n v="3494.6640000000002"/>
  </r>
  <r>
    <s v="THA"/>
    <s v="Công ty 96"/>
    <s v="NLMT"/>
    <n v="450000000"/>
    <d v="2024-12-01T00:00:00"/>
    <n v="12"/>
    <n v="2024"/>
    <s v="Bắc Trung Bộ"/>
    <s v="Doanh nghiệp"/>
    <x v="0"/>
    <s v="D"/>
    <n v="450"/>
  </r>
  <r>
    <s v="TNN"/>
    <s v="Công ty 84"/>
    <s v="ME"/>
    <n v="7480000"/>
    <d v="2024-12-01T00:00:00"/>
    <n v="12"/>
    <n v="2024"/>
    <s v="Đông Bắc Bộ"/>
    <s v="Doanh nghiệp"/>
    <x v="1"/>
    <s v="L"/>
    <n v="7.48"/>
  </r>
  <r>
    <s v="GLI"/>
    <s v="Công ty 98"/>
    <s v="Smarthome"/>
    <n v="89492727"/>
    <d v="2024-12-01T00:00:00"/>
    <n v="12"/>
    <n v="2024"/>
    <s v="Tây Nguyên"/>
    <s v="Doanh nghiệp"/>
    <x v="0"/>
    <s v="H"/>
    <n v="89.492727000000002"/>
  </r>
  <r>
    <s v="AGG"/>
    <s v="Công ty 90"/>
    <s v="Smarthome"/>
    <n v="192531000"/>
    <d v="2024-12-01T00:00:00"/>
    <n v="12"/>
    <n v="2024"/>
    <s v="ĐB Sông Cửu Long"/>
    <s v="Doanh nghiệp"/>
    <x v="1"/>
    <s v="H"/>
    <n v="192.53100000000001"/>
  </r>
  <r>
    <s v="NTN"/>
    <s v="Công ty 93"/>
    <s v="NLMT"/>
    <n v="308439091"/>
    <d v="2024-12-01T00:00:00"/>
    <n v="12"/>
    <n v="2024"/>
    <s v="Duyên hải Nam Trung Bộ"/>
    <s v="Doanh nghiệp"/>
    <x v="0"/>
    <s v="K"/>
    <n v="308.43909100000002"/>
  </r>
  <r>
    <s v="TQG"/>
    <s v="Công ty 99"/>
    <s v="ICT"/>
    <n v="208621587"/>
    <d v="2024-12-01T00:00:00"/>
    <n v="12"/>
    <n v="2024"/>
    <s v="Đông Bắc Bộ"/>
    <s v="Doanh nghiệp"/>
    <x v="1"/>
    <s v="B"/>
    <n v="208.62158700000001"/>
  </r>
  <r>
    <s v="HNI"/>
    <s v="Công ty 95"/>
    <s v="ICT"/>
    <n v="270981818"/>
    <d v="2024-12-01T00:00:00"/>
    <n v="12"/>
    <n v="2024"/>
    <s v="ĐB Sông Hồng"/>
    <s v="Doanh nghiệp"/>
    <x v="0"/>
    <s v="P"/>
    <n v="270.98181799999998"/>
  </r>
  <r>
    <s v="HNI"/>
    <s v="Công ty 96"/>
    <s v="ICT"/>
    <n v="204600000"/>
    <d v="2024-12-01T00:00:00"/>
    <n v="12"/>
    <n v="2024"/>
    <s v="ĐB Sông Hồng"/>
    <s v="Doanh nghiệp"/>
    <x v="1"/>
    <s v="P"/>
    <n v="204.6"/>
  </r>
  <r>
    <s v="HNI"/>
    <s v="Công ty 97"/>
    <s v="ICT"/>
    <n v="320063636"/>
    <d v="2024-12-01T00:00:00"/>
    <n v="12"/>
    <n v="2024"/>
    <s v="ĐB Sông Hồng"/>
    <s v="Doanh nghiệp"/>
    <x v="0"/>
    <s v="F"/>
    <n v="320.06363599999997"/>
  </r>
  <r>
    <s v="NTN"/>
    <s v="Doanh nghiệp 17"/>
    <s v="ICT"/>
    <n v="357272727"/>
    <d v="2024-12-01T00:00:00"/>
    <n v="12"/>
    <n v="2024"/>
    <s v="Duyên hải Nam Trung Bộ"/>
    <s v="Doanh nghiệp"/>
    <x v="1"/>
    <s v="P"/>
    <n v="357.27272699999997"/>
  </r>
  <r>
    <s v="TNN"/>
    <s v="Doanh nghiệp 30"/>
    <s v="NLMT"/>
    <n v="160909091"/>
    <d v="2024-12-01T00:00:00"/>
    <n v="12"/>
    <n v="2024"/>
    <s v="Đông Bắc Bộ"/>
    <s v="Doanh nghiệp"/>
    <x v="0"/>
    <s v="D"/>
    <n v="160.90909099999999"/>
  </r>
  <r>
    <s v="TNN"/>
    <s v="Doanh nghiệp 27"/>
    <s v="DVKT"/>
    <n v="106363636"/>
    <d v="2024-12-01T00:00:00"/>
    <n v="12"/>
    <n v="2024"/>
    <s v="Đông Bắc Bộ"/>
    <s v="Doanh nghiệp"/>
    <x v="1"/>
    <s v="D"/>
    <n v="106.363636"/>
  </r>
  <r>
    <s v="LCU"/>
    <s v="Doanh nghiệp 8"/>
    <s v="NLMT"/>
    <n v="228327273"/>
    <d v="2024-12-01T00:00:00"/>
    <n v="12"/>
    <n v="2024"/>
    <s v="Tây Bắc Bộ"/>
    <s v="Doanh nghiệp"/>
    <x v="0"/>
    <s v="K"/>
    <n v="228.32727299999999"/>
  </r>
  <r>
    <s v="HNI"/>
    <s v="Doanh nghiệp 11"/>
    <s v="ICT"/>
    <n v="31473000"/>
    <d v="2024-12-01T00:00:00"/>
    <n v="12"/>
    <n v="2024"/>
    <s v="ĐB Sông Hồng"/>
    <s v="Doanh nghiệp"/>
    <x v="1"/>
    <s v="B"/>
    <n v="31.472999999999999"/>
  </r>
  <r>
    <s v="NTN"/>
    <s v="Doanh nghiệp 18"/>
    <s v="NLMT"/>
    <n v="96363636"/>
    <d v="2024-12-01T00:00:00"/>
    <n v="12"/>
    <n v="2024"/>
    <s v="Duyên hải Nam Trung Bộ"/>
    <s v="Doanh nghiệp"/>
    <x v="0"/>
    <s v="D"/>
    <n v="96.363636"/>
  </r>
  <r>
    <s v="HTH"/>
    <s v="Doanh nghiệp 22"/>
    <s v="NLMT"/>
    <n v="54443200"/>
    <d v="2024-12-01T00:00:00"/>
    <n v="12"/>
    <n v="2024"/>
    <s v="Bắc Trung Bộ"/>
    <s v="Doanh nghiệp"/>
    <x v="1"/>
    <s v="D"/>
    <n v="54.443199999999997"/>
  </r>
  <r>
    <s v="STG"/>
    <s v="Doanh nghiệp 31"/>
    <s v="ICT"/>
    <n v="2527333000"/>
    <d v="2024-12-01T00:00:00"/>
    <n v="12"/>
    <n v="2024"/>
    <s v="ĐB Sông Cửu Long"/>
    <s v="Doanh nghiệp"/>
    <x v="0"/>
    <s v="B"/>
    <n v="2527.3330000000001"/>
  </r>
  <r>
    <s v="BDH"/>
    <s v="Doanh nghiệp 1"/>
    <s v="ICT"/>
    <n v="771049127"/>
    <d v="2024-12-01T00:00:00"/>
    <n v="12"/>
    <n v="2024"/>
    <s v="Duyên hải Nam Trung Bộ"/>
    <s v="Doanh nghiệp"/>
    <x v="1"/>
    <s v="B"/>
    <n v="771.049127"/>
  </r>
  <r>
    <s v="BTE"/>
    <s v="Doanh nghiệp 2"/>
    <s v="Smarthome"/>
    <n v="79272727"/>
    <d v="2024-12-01T00:00:00"/>
    <n v="12"/>
    <n v="2024"/>
    <s v="ĐB Sông Cửu Long"/>
    <s v="Doanh nghiệp"/>
    <x v="0"/>
    <s v="U"/>
    <n v="79.272727000000003"/>
  </r>
  <r>
    <s v="NDH"/>
    <s v="Doanh nghiệp 3"/>
    <s v="ICT"/>
    <n v="332865455"/>
    <d v="2024-12-01T00:00:00"/>
    <n v="12"/>
    <n v="2024"/>
    <s v="ĐB Sông Hồng"/>
    <s v="Doanh nghiệp"/>
    <x v="1"/>
    <s v="F"/>
    <n v="332.865455"/>
  </r>
  <r>
    <s v="TVH"/>
    <s v="Doanh nghiệp 4"/>
    <s v="DVKT"/>
    <n v="318636364"/>
    <d v="2024-12-01T00:00:00"/>
    <n v="12"/>
    <n v="2024"/>
    <s v="ĐB Sông Cửu Long"/>
    <s v="Doanh nghiệp"/>
    <x v="0"/>
    <s v="G"/>
    <n v="318.63636400000001"/>
  </r>
  <r>
    <s v="CTO"/>
    <s v="Doanh nghiệp 15"/>
    <s v="Smarthome"/>
    <n v="244354545"/>
    <d v="2024-12-01T00:00:00"/>
    <n v="12"/>
    <n v="2024"/>
    <s v="ĐB Sông Cửu Long"/>
    <s v="Doanh nghiệp"/>
    <x v="1"/>
    <s v="H"/>
    <n v="244.354545"/>
  </r>
  <r>
    <s v="YBI"/>
    <s v="Doanh nghiệp 17"/>
    <s v="NLMT"/>
    <n v="62727273"/>
    <d v="2024-12-01T00:00:00"/>
    <n v="12"/>
    <n v="2024"/>
    <s v="Tây Bắc Bộ"/>
    <s v="Doanh nghiệp"/>
    <x v="0"/>
    <s v="K"/>
    <n v="62.727272999999997"/>
  </r>
  <r>
    <s v="TVH"/>
    <s v="Doanh nghiệp 19"/>
    <s v="ME"/>
    <n v="8088182"/>
    <d v="2024-12-01T00:00:00"/>
    <n v="12"/>
    <n v="2024"/>
    <s v="ĐB Sông Cửu Long"/>
    <s v="Doanh nghiệp"/>
    <x v="1"/>
    <s v="C"/>
    <n v="8.0881819999999998"/>
  </r>
  <r>
    <s v="KHA"/>
    <s v="Doanh nghiệp 20"/>
    <s v="ME"/>
    <n v="53365455"/>
    <d v="2024-12-01T00:00:00"/>
    <n v="12"/>
    <n v="2024"/>
    <s v="Duyên hải Nam Trung Bộ"/>
    <s v="Doanh nghiệp"/>
    <x v="0"/>
    <s v="C"/>
    <n v="53.365454999999997"/>
  </r>
  <r>
    <s v="TVH"/>
    <s v="Doanh nghiệp 21"/>
    <s v="ME"/>
    <n v="40628099"/>
    <d v="2024-12-01T00:00:00"/>
    <n v="12"/>
    <n v="2024"/>
    <s v="ĐB Sông Cửu Long"/>
    <s v="Doanh nghiệp"/>
    <x v="1"/>
    <s v="C"/>
    <n v="40.628098999999999"/>
  </r>
  <r>
    <s v="PTO"/>
    <s v="Doanh nghiệp 22"/>
    <s v="ME"/>
    <n v="119430000"/>
    <d v="2024-12-01T00:00:00"/>
    <n v="12"/>
    <n v="2024"/>
    <s v="Đông Bắc Bộ"/>
    <s v="Doanh nghiệp"/>
    <x v="0"/>
    <s v="C"/>
    <n v="119.43"/>
  </r>
  <r>
    <s v="CBG"/>
    <s v="Doanh nghiệp 23"/>
    <s v="ME"/>
    <n v="15124909"/>
    <d v="2024-12-01T00:00:00"/>
    <n v="12"/>
    <n v="2024"/>
    <s v="Đông Bắc Bộ"/>
    <s v="Doanh nghiệp"/>
    <x v="1"/>
    <s v="O"/>
    <n v="15.124909000000001"/>
  </r>
  <r>
    <s v="PTO"/>
    <s v="Doanh nghiệp 24"/>
    <s v="ME"/>
    <n v="55363636"/>
    <d v="2024-12-01T00:00:00"/>
    <n v="12"/>
    <n v="2024"/>
    <s v="Đông Bắc Bộ"/>
    <s v="Doanh nghiệp"/>
    <x v="0"/>
    <s v="O"/>
    <n v="55.363636"/>
  </r>
  <r>
    <s v="THA"/>
    <s v="Doanh nghiệp 25"/>
    <s v="ME"/>
    <n v="45346000"/>
    <d v="2024-12-01T00:00:00"/>
    <n v="12"/>
    <n v="2024"/>
    <s v="Bắc Trung Bộ"/>
    <s v="Doanh nghiệp"/>
    <x v="1"/>
    <s v="O"/>
    <n v="45.345999999999997"/>
  </r>
  <r>
    <s v="TNN"/>
    <s v="Doanh nghiệp 4"/>
    <s v="DVKT"/>
    <n v="179280000"/>
    <d v="2024-12-01T00:00:00"/>
    <n v="12"/>
    <n v="2024"/>
    <s v="Đông Bắc Bộ"/>
    <s v="Doanh nghiệp"/>
    <x v="0"/>
    <s v="A"/>
    <n v="179.28"/>
  </r>
  <r>
    <s v="TGG"/>
    <s v="Doanh nghiệp 19"/>
    <s v="ME"/>
    <n v="1812427273"/>
    <d v="2024-12-01T00:00:00"/>
    <n v="12"/>
    <n v="2024"/>
    <s v="ĐB Sông Cửu Long"/>
    <s v="Doanh nghiệp"/>
    <x v="1"/>
    <s v="C"/>
    <n v="1812.427273"/>
  </r>
  <r>
    <s v="TNN"/>
    <s v="Doanh nghiệp 23"/>
    <s v="NLMT"/>
    <n v="2182400000"/>
    <d v="2024-12-01T00:00:00"/>
    <n v="12"/>
    <n v="2024"/>
    <s v="Đông Bắc Bộ"/>
    <s v="Doanh nghiệp"/>
    <x v="0"/>
    <s v="F"/>
    <n v="2182.4"/>
  </r>
  <r>
    <s v="AGG"/>
    <s v="Doanh nghiệp 2"/>
    <s v="DVKT"/>
    <n v="9610377"/>
    <d v="2024-12-01T00:00:00"/>
    <n v="12"/>
    <n v="2024"/>
    <s v="ĐB Sông Cửu Long"/>
    <s v="Doanh nghiệp"/>
    <x v="1"/>
    <s v="A"/>
    <n v="9.6103769999999997"/>
  </r>
  <r>
    <s v="AGG"/>
    <s v="Doanh nghiệp 3"/>
    <s v="DVKT"/>
    <n v="694038981"/>
    <d v="2024-12-01T00:00:00"/>
    <n v="12"/>
    <n v="2024"/>
    <s v="ĐB Sông Cửu Long"/>
    <s v="Doanh nghiệp"/>
    <x v="0"/>
    <s v="A"/>
    <n v="694.03898100000004"/>
  </r>
  <r>
    <s v="BTE"/>
    <s v="Doanh nghiệp 13"/>
    <s v="ICT"/>
    <n v="109448000"/>
    <d v="2024-12-01T00:00:00"/>
    <n v="12"/>
    <n v="2024"/>
    <s v="ĐB Sông Cửu Long"/>
    <s v="Doanh nghiệp"/>
    <x v="1"/>
    <s v="B"/>
    <n v="109.44799999999999"/>
  </r>
  <r>
    <s v="CBG"/>
    <s v="Doanh nghiệp 30"/>
    <s v="ME"/>
    <n v="51481273"/>
    <d v="2024-12-01T00:00:00"/>
    <n v="12"/>
    <n v="2024"/>
    <s v="Đông Bắc Bộ"/>
    <s v="Doanh nghiệp"/>
    <x v="0"/>
    <s v="O"/>
    <n v="51.481273000000002"/>
  </r>
  <r>
    <s v="NDH"/>
    <s v="Tập đoàn 56"/>
    <s v="Smarthome"/>
    <n v="78325455"/>
    <d v="2024-12-01T00:00:00"/>
    <n v="12"/>
    <n v="2024"/>
    <s v="ĐB Sông Hồng"/>
    <s v="Doanh nghiệp"/>
    <x v="1"/>
    <s v="U"/>
    <n v="78.325455000000005"/>
  </r>
  <r>
    <s v="NDH"/>
    <s v="Tập đoàn 57"/>
    <s v="Smarthome"/>
    <n v="81324900"/>
    <d v="2024-12-01T00:00:00"/>
    <n v="12"/>
    <n v="2024"/>
    <s v="ĐB Sông Hồng"/>
    <s v="Doanh nghiệp"/>
    <x v="0"/>
    <s v="H"/>
    <n v="81.3249"/>
  </r>
  <r>
    <s v="NDH"/>
    <s v="Tập đoàn 58"/>
    <s v="ICT"/>
    <n v="27862545"/>
    <d v="2024-12-01T00:00:00"/>
    <n v="12"/>
    <n v="2024"/>
    <s v="ĐB Sông Hồng"/>
    <s v="Doanh nghiệp"/>
    <x v="1"/>
    <s v="B"/>
    <n v="27.862545000000001"/>
  </r>
  <r>
    <s v="NAN"/>
    <s v="Tập đoàn 73"/>
    <s v="DVKT"/>
    <n v="20500364"/>
    <d v="2024-12-01T00:00:00"/>
    <n v="12"/>
    <n v="2024"/>
    <s v="Bắc Trung Bộ"/>
    <s v="Doanh nghiệp"/>
    <x v="0"/>
    <s v="C"/>
    <n v="20.500364000000001"/>
  </r>
  <r>
    <s v="NAN"/>
    <s v="Tập đoàn 74"/>
    <s v="ICT"/>
    <n v="72958409"/>
    <d v="2024-12-01T00:00:00"/>
    <n v="12"/>
    <n v="2024"/>
    <s v="Bắc Trung Bộ"/>
    <s v="Doanh nghiệp"/>
    <x v="1"/>
    <s v="A"/>
    <n v="72.958409000000003"/>
  </r>
  <r>
    <s v="QNM"/>
    <s v="Tập đoàn 87"/>
    <s v="DVKT"/>
    <n v="62100888"/>
    <d v="2024-12-01T00:00:00"/>
    <n v="12"/>
    <n v="2024"/>
    <s v="Duyên hải Nam Trung Bộ"/>
    <s v="Doanh nghiệp"/>
    <x v="0"/>
    <s v="A"/>
    <n v="62.100887999999998"/>
  </r>
  <r>
    <s v="QNI"/>
    <s v="Tập đoàn 89"/>
    <s v="DVKT"/>
    <n v="17202436"/>
    <d v="2024-12-01T00:00:00"/>
    <n v="12"/>
    <n v="2024"/>
    <s v="Duyên hải Nam Trung Bộ"/>
    <s v="Doanh nghiệp"/>
    <x v="1"/>
    <s v="E"/>
    <n v="17.202435999999999"/>
  </r>
  <r>
    <s v="HUE"/>
    <s v="Tập đoàn 86"/>
    <s v="DVKT"/>
    <n v="43407036"/>
    <d v="2024-12-01T00:00:00"/>
    <n v="12"/>
    <n v="2024"/>
    <s v="Bắc Trung Bộ"/>
    <s v="Doanh nghiệp"/>
    <x v="0"/>
    <s v="A"/>
    <n v="43.407035999999998"/>
  </r>
  <r>
    <s v="YBI"/>
    <s v="Tập đoàn 90"/>
    <s v="ME"/>
    <n v="70010000"/>
    <d v="2024-12-01T00:00:00"/>
    <n v="12"/>
    <n v="2024"/>
    <s v="Tây Bắc Bộ"/>
    <s v="Doanh nghiệp"/>
    <x v="1"/>
    <s v="E"/>
    <n v="70.010000000000005"/>
  </r>
  <r>
    <s v="STG"/>
    <s v="Tập đoàn 93"/>
    <s v="NLMT"/>
    <n v="154567091"/>
    <d v="2024-12-01T00:00:00"/>
    <n v="12"/>
    <n v="2024"/>
    <s v="ĐB Sông Cửu Long"/>
    <s v="Doanh nghiệp"/>
    <x v="0"/>
    <s v="K"/>
    <n v="154.567091"/>
  </r>
  <r>
    <s v="DTP"/>
    <s v="Tập đoàn 93"/>
    <s v="ICT"/>
    <n v="89325455"/>
    <d v="2024-12-01T00:00:00"/>
    <n v="12"/>
    <n v="2024"/>
    <s v="ĐB Sông Cửu Long"/>
    <s v="Doanh nghiệp"/>
    <x v="1"/>
    <s v="A"/>
    <n v="89.325455000000005"/>
  </r>
  <r>
    <s v="DBN"/>
    <s v="Tập đoàn 91"/>
    <s v="ICT"/>
    <n v="74545455"/>
    <d v="2024-12-01T00:00:00"/>
    <n v="12"/>
    <n v="2024"/>
    <s v="Tây Bắc Bộ"/>
    <s v="Doanh nghiệp"/>
    <x v="0"/>
    <s v="B"/>
    <n v="74.545455000000004"/>
  </r>
  <r>
    <s v="HGG"/>
    <s v="Tập đoàn 92"/>
    <s v="ICT"/>
    <n v="1157724409"/>
    <d v="2024-12-01T00:00:00"/>
    <n v="12"/>
    <n v="2024"/>
    <s v="Đông Bắc Bộ"/>
    <s v="Doanh nghiệp"/>
    <x v="1"/>
    <s v="F"/>
    <n v="1157.7244089999999"/>
  </r>
  <r>
    <s v="TVH"/>
    <s v="Tập đoàn 91"/>
    <s v="NLMT"/>
    <n v="78181818"/>
    <d v="2024-12-01T00:00:00"/>
    <n v="12"/>
    <n v="2024"/>
    <s v="ĐB Sông Cửu Long"/>
    <s v="Doanh nghiệp"/>
    <x v="0"/>
    <s v="K"/>
    <n v="78.181818000000007"/>
  </r>
  <r>
    <s v="BTE"/>
    <s v="Tập đoàn 94"/>
    <s v="ICT"/>
    <n v="180000000"/>
    <d v="2024-12-01T00:00:00"/>
    <n v="12"/>
    <n v="2024"/>
    <s v="ĐB Sông Cửu Long"/>
    <s v="Doanh nghiệp"/>
    <x v="1"/>
    <s v="A"/>
    <n v="180"/>
  </r>
  <r>
    <s v="BTE"/>
    <s v="Tập đoàn 91"/>
    <s v="ICT"/>
    <n v="385000000"/>
    <d v="2024-12-01T00:00:00"/>
    <n v="12"/>
    <n v="2024"/>
    <s v="ĐB Sông Cửu Long"/>
    <s v="Doanh nghiệp"/>
    <x v="0"/>
    <s v="A"/>
    <n v="385"/>
  </r>
  <r>
    <s v="BKN"/>
    <s v="Tập đoàn 94"/>
    <s v="ICT"/>
    <n v="142727273"/>
    <d v="2024-12-01T00:00:00"/>
    <n v="12"/>
    <n v="2024"/>
    <s v="Đông Bắc Bộ"/>
    <s v="Doanh nghiệp"/>
    <x v="1"/>
    <s v="F"/>
    <n v="142.727273"/>
  </r>
  <r>
    <s v="CBG"/>
    <s v="Tập đoàn 91"/>
    <s v="NLMT"/>
    <n v="36363000"/>
    <d v="2024-12-01T00:00:00"/>
    <n v="12"/>
    <n v="2024"/>
    <s v="Đông Bắc Bộ"/>
    <s v="Doanh nghiệp"/>
    <x v="0"/>
    <s v="K"/>
    <n v="36.363"/>
  </r>
  <r>
    <s v="CBG"/>
    <s v="Tập đoàn 92"/>
    <s v="NLMT"/>
    <n v="36363000"/>
    <d v="2024-12-01T00:00:00"/>
    <n v="12"/>
    <n v="2024"/>
    <s v="Đông Bắc Bộ"/>
    <s v="Doanh nghiệp"/>
    <x v="1"/>
    <s v="K"/>
    <n v="36.363"/>
  </r>
  <r>
    <s v="CBG"/>
    <s v="Tập đoàn 93"/>
    <s v="NLMT"/>
    <n v="36363000"/>
    <d v="2024-12-01T00:00:00"/>
    <n v="12"/>
    <n v="2024"/>
    <s v="Đông Bắc Bộ"/>
    <s v="Doanh nghiệp"/>
    <x v="0"/>
    <s v="K"/>
    <n v="36.363"/>
  </r>
  <r>
    <s v="HTH"/>
    <s v="Tập đoàn 91"/>
    <s v="ICT"/>
    <n v="165386364"/>
    <d v="2024-12-01T00:00:00"/>
    <n v="12"/>
    <n v="2024"/>
    <s v="Bắc Trung Bộ"/>
    <s v="Doanh nghiệp"/>
    <x v="1"/>
    <s v="P"/>
    <n v="165.38636399999999"/>
  </r>
  <r>
    <s v="BNH"/>
    <s v="BỘ CHỈ HUY QUÂN SỰ TỈNH BẮC NINH"/>
    <s v="ICT"/>
    <n v="172233862"/>
    <d v="2024-12-01T00:00:00"/>
    <n v="12"/>
    <n v="2024"/>
    <s v="ĐB Sông Hồng"/>
    <s v="Sở ban ngành"/>
    <x v="0"/>
    <s v="B"/>
    <n v="172.23386199999999"/>
  </r>
  <r>
    <s v="CMU"/>
    <s v="BỘ CHỈ HUY QUÂN SỰ TỈNH CÀ MAU"/>
    <s v="ICT"/>
    <n v="20484773"/>
    <d v="2024-12-01T00:00:00"/>
    <n v="12"/>
    <n v="2024"/>
    <s v="ĐB Sông Cửu Long"/>
    <s v="Sở ban ngành"/>
    <x v="1"/>
    <s v="B"/>
    <n v="20.484773000000001"/>
  </r>
  <r>
    <s v="DCN"/>
    <s v="Bộ Chỉ Huy Quân Sự Tỉnh Đăk Nông"/>
    <s v="Smarthome"/>
    <n v="201436364"/>
    <d v="2024-12-01T00:00:00"/>
    <n v="12"/>
    <n v="2024"/>
    <s v="Tây Nguyên"/>
    <s v="Sở ban ngành"/>
    <x v="0"/>
    <s v="H"/>
    <n v="201.436364"/>
  </r>
  <r>
    <s v="DTP"/>
    <s v="Bộ Chỉ Huy Quân Sự Tỉnh Đồng Tháp"/>
    <s v="DVKT"/>
    <n v="44000000"/>
    <d v="2024-12-01T00:00:00"/>
    <n v="12"/>
    <n v="2024"/>
    <s v="ĐB Sông Cửu Long"/>
    <s v="Sở ban ngành"/>
    <x v="1"/>
    <s v="G"/>
    <n v="44"/>
  </r>
  <r>
    <s v="KGG"/>
    <s v="Công ty 36"/>
    <s v="ME"/>
    <n v="82290909"/>
    <d v="2024-12-01T00:00:00"/>
    <n v="12"/>
    <n v="2024"/>
    <s v="ĐB Sông Cửu Long"/>
    <s v="Doanh nghiệp"/>
    <x v="0"/>
    <s v="M"/>
    <n v="82.290908999999999"/>
  </r>
  <r>
    <s v="DCN"/>
    <s v="Công ty 38"/>
    <s v="ME"/>
    <n v="239800000"/>
    <d v="2024-12-01T00:00:00"/>
    <n v="12"/>
    <n v="2024"/>
    <s v="Tây Nguyên"/>
    <s v="Doanh nghiệp"/>
    <x v="1"/>
    <s v="C"/>
    <n v="239.8"/>
  </r>
  <r>
    <s v="KTM"/>
    <s v="Công ty 41"/>
    <s v="ICT"/>
    <n v="12727273"/>
    <d v="2024-12-01T00:00:00"/>
    <n v="12"/>
    <n v="2024"/>
    <s v="Tây Nguyên"/>
    <s v="Doanh nghiệp"/>
    <x v="0"/>
    <s v="A"/>
    <n v="12.727273"/>
  </r>
  <r>
    <s v="DBN"/>
    <s v="Công ty 87"/>
    <s v="NLMT"/>
    <n v="43756364"/>
    <d v="2024-12-01T00:00:00"/>
    <n v="12"/>
    <n v="2024"/>
    <s v="Tây Bắc Bộ"/>
    <s v="Doanh nghiệp"/>
    <x v="1"/>
    <s v="K"/>
    <n v="43.756363999999998"/>
  </r>
  <r>
    <s v="DBN"/>
    <s v="Công ty 88"/>
    <s v="NLMT"/>
    <n v="43756364"/>
    <d v="2024-12-01T00:00:00"/>
    <n v="12"/>
    <n v="2024"/>
    <s v="Tây Bắc Bộ"/>
    <s v="Doanh nghiệp"/>
    <x v="0"/>
    <s v="K"/>
    <n v="43.756363999999998"/>
  </r>
  <r>
    <s v="DBN"/>
    <s v="Công ty 89"/>
    <s v="NLMT"/>
    <n v="87098182"/>
    <d v="2024-12-01T00:00:00"/>
    <n v="12"/>
    <n v="2024"/>
    <s v="Tây Bắc Bộ"/>
    <s v="Doanh nghiệp"/>
    <x v="1"/>
    <s v="K"/>
    <n v="87.098181999999994"/>
  </r>
  <r>
    <s v="DBN"/>
    <s v="Công ty 90"/>
    <s v="NLMT"/>
    <n v="27087273"/>
    <d v="2024-12-01T00:00:00"/>
    <n v="12"/>
    <n v="2024"/>
    <s v="Tây Bắc Bộ"/>
    <s v="Doanh nghiệp"/>
    <x v="0"/>
    <s v="K"/>
    <n v="27.087273"/>
  </r>
  <r>
    <s v="TGG"/>
    <s v="CÔNG AN HUYỆN GÒ CÔNG ĐÔNG"/>
    <s v="ICT"/>
    <n v="44480000"/>
    <d v="2024-12-01T00:00:00"/>
    <n v="12"/>
    <n v="2024"/>
    <s v="ĐB Sông Cửu Long"/>
    <s v="Sở ban ngành"/>
    <x v="1"/>
    <s v="B"/>
    <n v="44.48"/>
  </r>
  <r>
    <s v="BGG"/>
    <s v="Công An Huyện Hiệp Hòa"/>
    <s v="ME"/>
    <n v="152727273"/>
    <d v="2024-12-01T00:00:00"/>
    <n v="12"/>
    <n v="2024"/>
    <s v="Đông Bắc Bộ"/>
    <s v="Sở ban ngành"/>
    <x v="0"/>
    <s v="M"/>
    <n v="152.727273"/>
  </r>
  <r>
    <s v="BGG"/>
    <s v="Công an huyện Lục Ngạn tỉnh Bắc Giang"/>
    <s v="ICT"/>
    <n v="293156411"/>
    <d v="2024-12-01T00:00:00"/>
    <n v="12"/>
    <n v="2024"/>
    <s v="Đông Bắc Bộ"/>
    <s v="Sở ban ngành"/>
    <x v="1"/>
    <s v="F"/>
    <n v="293.15641099999999"/>
  </r>
  <r>
    <s v="TNN"/>
    <s v="Công An Huyện Phú Bình"/>
    <s v="DVKT"/>
    <n v="287289091"/>
    <d v="2024-12-01T00:00:00"/>
    <n v="12"/>
    <n v="2024"/>
    <s v="Đông Bắc Bộ"/>
    <s v="Sở ban ngành"/>
    <x v="0"/>
    <s v="B"/>
    <n v="287.28909099999998"/>
  </r>
  <r>
    <s v="HDG"/>
    <s v="Công An Huyện Thanh Hà"/>
    <s v="ICT"/>
    <n v="567727273"/>
    <d v="2024-12-01T00:00:00"/>
    <n v="12"/>
    <n v="2024"/>
    <s v="ĐB Sông Hồng"/>
    <s v="Sở ban ngành"/>
    <x v="1"/>
    <s v="F"/>
    <n v="567.72727299999997"/>
  </r>
  <r>
    <s v="HGG"/>
    <s v="CÔNG AN HUYỆN YÊN MINH"/>
    <s v="ICT"/>
    <n v="146242224"/>
    <d v="2024-12-01T00:00:00"/>
    <n v="12"/>
    <n v="2024"/>
    <s v="Đông Bắc Bộ"/>
    <s v="Sở ban ngành"/>
    <x v="0"/>
    <s v="B"/>
    <n v="146.24222399999999"/>
  </r>
  <r>
    <s v="CMU"/>
    <s v="CÔNG AN THÀNH PHỐ CÀ MAU"/>
    <s v="ICT"/>
    <n v="40919182"/>
    <d v="2024-12-01T00:00:00"/>
    <n v="12"/>
    <n v="2024"/>
    <s v="ĐB Sông Cửu Long"/>
    <s v="Sở ban ngành"/>
    <x v="1"/>
    <s v="B"/>
    <n v="40.919181999999999"/>
  </r>
  <r>
    <s v="HNI"/>
    <s v="CÔNG AN THÀNH PHỐ HÀ NỘI"/>
    <s v="ICT"/>
    <n v="536400000"/>
    <d v="2024-12-01T00:00:00"/>
    <n v="12"/>
    <n v="2024"/>
    <s v="ĐB Sông Hồng"/>
    <s v="Sở ban ngành"/>
    <x v="0"/>
    <s v="F"/>
    <n v="536.4"/>
  </r>
  <r>
    <s v="CMU"/>
    <s v="CÔNG AN TỈNH CÀ MAU"/>
    <s v="ICT"/>
    <n v="36304873"/>
    <d v="2024-12-01T00:00:00"/>
    <n v="12"/>
    <n v="2024"/>
    <s v="ĐB Sông Cửu Long"/>
    <s v="Sở ban ngành"/>
    <x v="1"/>
    <s v="B"/>
    <n v="36.304873000000001"/>
  </r>
  <r>
    <s v="CMU"/>
    <s v="CÔNG AN TỈNH CÀ MAU"/>
    <s v="ICT"/>
    <n v="18989745"/>
    <d v="2024-12-01T00:00:00"/>
    <n v="12"/>
    <n v="2024"/>
    <s v="ĐB Sông Cửu Long"/>
    <s v="Sở ban ngành"/>
    <x v="0"/>
    <s v="B"/>
    <n v="18.989744999999999"/>
  </r>
  <r>
    <s v="HGG"/>
    <s v="CÔNG AN TỈNH HÀ GIANG"/>
    <s v="ICT"/>
    <n v="250657386"/>
    <d v="2024-12-01T00:00:00"/>
    <n v="12"/>
    <n v="2024"/>
    <s v="Đông Bắc Bộ"/>
    <s v="Sở ban ngành"/>
    <x v="1"/>
    <s v="B"/>
    <n v="250.657386"/>
  </r>
  <r>
    <s v="HGG"/>
    <s v="CÔNG AN TỈNH HÀ GIANG"/>
    <s v="ICT"/>
    <n v="125083636"/>
    <d v="2024-12-01T00:00:00"/>
    <n v="12"/>
    <n v="2024"/>
    <s v="Đông Bắc Bộ"/>
    <s v="Sở ban ngành"/>
    <x v="0"/>
    <s v="B"/>
    <n v="125.083636"/>
  </r>
  <r>
    <s v="BKN"/>
    <s v="Công ty 1"/>
    <s v="NLMT"/>
    <n v="9090909"/>
    <d v="2024-12-01T00:00:00"/>
    <n v="12"/>
    <n v="2024"/>
    <s v="Đông Bắc Bộ"/>
    <s v="Doanh nghiệp"/>
    <x v="1"/>
    <s v="K"/>
    <n v="9.0909089999999999"/>
  </r>
  <r>
    <s v="BKN"/>
    <s v="Công ty 2"/>
    <s v="NLMT"/>
    <n v="9090909"/>
    <d v="2024-12-01T00:00:00"/>
    <n v="12"/>
    <n v="2024"/>
    <s v="Đông Bắc Bộ"/>
    <s v="Doanh nghiệp"/>
    <x v="0"/>
    <s v="K"/>
    <n v="9.0909089999999999"/>
  </r>
  <r>
    <s v="BKN"/>
    <s v="Công ty 4"/>
    <s v="NLMT"/>
    <n v="9090909"/>
    <d v="2024-12-01T00:00:00"/>
    <n v="12"/>
    <n v="2024"/>
    <s v="Đông Bắc Bộ"/>
    <s v="Doanh nghiệp"/>
    <x v="1"/>
    <s v="K"/>
    <n v="9.0909089999999999"/>
  </r>
  <r>
    <s v="BKN"/>
    <s v="Công ty 5"/>
    <s v="NLMT"/>
    <n v="9090909"/>
    <d v="2024-12-01T00:00:00"/>
    <n v="12"/>
    <n v="2024"/>
    <s v="Đông Bắc Bộ"/>
    <s v="Doanh nghiệp"/>
    <x v="0"/>
    <s v="K"/>
    <n v="9.0909089999999999"/>
  </r>
  <r>
    <s v="BKN"/>
    <s v="Công ty 7"/>
    <s v="NLMT"/>
    <n v="9090909"/>
    <d v="2024-12-01T00:00:00"/>
    <n v="12"/>
    <n v="2024"/>
    <s v="Đông Bắc Bộ"/>
    <s v="Doanh nghiệp"/>
    <x v="1"/>
    <s v="K"/>
    <n v="9.0909089999999999"/>
  </r>
  <r>
    <s v="BKN"/>
    <s v="Công ty 9"/>
    <s v="NLMT"/>
    <n v="22327273"/>
    <d v="2024-12-01T00:00:00"/>
    <n v="12"/>
    <n v="2024"/>
    <s v="Đông Bắc Bộ"/>
    <s v="Doanh nghiệp"/>
    <x v="0"/>
    <s v="K"/>
    <n v="22.327273000000002"/>
  </r>
  <r>
    <s v="BKN"/>
    <s v="Công ty 12"/>
    <s v="NLMT"/>
    <n v="9090909"/>
    <d v="2024-12-01T00:00:00"/>
    <n v="12"/>
    <n v="2024"/>
    <s v="Đông Bắc Bộ"/>
    <s v="Doanh nghiệp"/>
    <x v="1"/>
    <s v="K"/>
    <n v="9.0909089999999999"/>
  </r>
  <r>
    <s v="BKN"/>
    <s v="Công ty 13"/>
    <s v="NLMT"/>
    <n v="9090909"/>
    <d v="2024-12-01T00:00:00"/>
    <n v="12"/>
    <n v="2024"/>
    <s v="Đông Bắc Bộ"/>
    <s v="Doanh nghiệp"/>
    <x v="0"/>
    <s v="K"/>
    <n v="9.0909089999999999"/>
  </r>
  <r>
    <s v="BKN"/>
    <s v="Công ty 14"/>
    <s v="NLMT"/>
    <n v="9090909"/>
    <d v="2024-12-01T00:00:00"/>
    <n v="12"/>
    <n v="2024"/>
    <s v="Đông Bắc Bộ"/>
    <s v="Doanh nghiệp"/>
    <x v="1"/>
    <s v="K"/>
    <n v="9.0909089999999999"/>
  </r>
  <r>
    <s v="BKN"/>
    <s v="Công ty 15"/>
    <s v="NLMT"/>
    <n v="45381818"/>
    <d v="2024-12-01T00:00:00"/>
    <n v="12"/>
    <n v="2024"/>
    <s v="Đông Bắc Bộ"/>
    <s v="Doanh nghiệp"/>
    <x v="0"/>
    <s v="K"/>
    <n v="45.381818000000003"/>
  </r>
  <r>
    <s v="TGG"/>
    <s v="Cục Thuế Tỉnh Tiền Giang"/>
    <s v="ME"/>
    <n v="387873636"/>
    <d v="2024-12-01T00:00:00"/>
    <n v="12"/>
    <n v="2024"/>
    <s v="ĐB Sông Cửu Long"/>
    <s v="Sở ban ngành"/>
    <x v="1"/>
    <s v="C"/>
    <n v="387.87363599999998"/>
  </r>
  <r>
    <s v="BTE"/>
    <s v="NGÂN HÀNG NHÀ NƯỚC CHI NHÁNH TỈNH BẾN TRE"/>
    <s v="ICT"/>
    <n v="11818182"/>
    <d v="2024-12-01T00:00:00"/>
    <n v="12"/>
    <n v="2024"/>
    <s v="ĐB Sông Cửu Long"/>
    <s v="Ngân hàng"/>
    <x v="0"/>
    <s v="A"/>
    <n v="11.818182"/>
  </r>
  <r>
    <s v="HUE"/>
    <s v="NGÂN HÀNG TMCP ĐẦU TƯ VÀ PHÁT TRIỂN VIỆT NAM CHI NHÁNH THỪA THIÊN HUẾ"/>
    <s v="ME"/>
    <n v="417434545"/>
    <d v="2024-12-01T00:00:00"/>
    <n v="12"/>
    <n v="2024"/>
    <s v="Bắc Trung Bộ"/>
    <s v="Ngân hàng"/>
    <x v="1"/>
    <s v="C"/>
    <n v="417.43454500000001"/>
  </r>
  <r>
    <s v="DTP"/>
    <s v="NGÂN HÀNG TMCP KIÊN LONG CN ĐỒNG THÁP"/>
    <s v="DVKT"/>
    <n v="17636364"/>
    <d v="2024-12-01T00:00:00"/>
    <n v="12"/>
    <n v="2024"/>
    <s v="ĐB Sông Cửu Long"/>
    <s v="Ngân hàng"/>
    <x v="0"/>
    <s v="C"/>
    <n v="17.636364"/>
  </r>
  <r>
    <s v="CBG"/>
    <s v="Phòng Dân Tộc Huyện Quảng Hòa"/>
    <s v="ME"/>
    <n v="704954545"/>
    <d v="2024-12-01T00:00:00"/>
    <n v="12"/>
    <n v="2024"/>
    <s v="Đông Bắc Bộ"/>
    <s v="Sở ban ngành"/>
    <x v="1"/>
    <s v="O"/>
    <n v="704.95454500000005"/>
  </r>
  <r>
    <s v="LSN"/>
    <s v="Phòng Giao Dịch Ngân Hàng Chính Sách Xã Hội (nhcsxh) Huyện Tràng Định"/>
    <s v="ICT"/>
    <n v="1928000"/>
    <d v="2024-12-01T00:00:00"/>
    <n v="12"/>
    <n v="2024"/>
    <s v="Đông Bắc Bộ"/>
    <s v="Ngân hàng"/>
    <x v="0"/>
    <s v="B"/>
    <n v="1.9279999999999999"/>
  </r>
  <r>
    <s v="LSN"/>
    <s v="Phòng Giao Dịch Ngân Hàng Chính Sách Xã Hội (nhcsxh) Huyện Văn Lãng"/>
    <s v="ICT"/>
    <n v="1928000"/>
    <d v="2024-12-01T00:00:00"/>
    <n v="12"/>
    <n v="2024"/>
    <s v="Đông Bắc Bộ"/>
    <s v="Ngân hàng"/>
    <x v="1"/>
    <s v="B"/>
    <n v="1.9279999999999999"/>
  </r>
  <r>
    <s v="DCN"/>
    <s v="PHÒNG GIÁO DỤC VÀ ĐÀO TẠO HUYỆN ĐẮK GLONG"/>
    <s v="Smarthome"/>
    <n v="881836364"/>
    <d v="2024-12-01T00:00:00"/>
    <n v="12"/>
    <n v="2024"/>
    <s v="Tây Nguyên"/>
    <s v="Sở ban ngành"/>
    <x v="0"/>
    <s v="H"/>
    <n v="881.836364"/>
  </r>
  <r>
    <s v="LCI"/>
    <s v="PHÒNG LAO ĐỘNG - THƯƠNG BINH &amp; XÃ HỘI HUYỆN VĂN BÀN"/>
    <s v="ICT"/>
    <n v="714900826"/>
    <d v="2024-12-01T00:00:00"/>
    <n v="12"/>
    <n v="2024"/>
    <s v="Tây Bắc Bộ"/>
    <s v="Sở ban ngành"/>
    <x v="1"/>
    <s v="F"/>
    <n v="714.90082600000005"/>
  </r>
  <r>
    <s v="LAN"/>
    <s v="PHÒNG NÔNG NGHIỆP VÀ PHÁT TRIỂN NÔNG THÔN"/>
    <s v="ME"/>
    <n v="40419091"/>
    <d v="2024-12-01T00:00:00"/>
    <n v="12"/>
    <n v="2024"/>
    <s v="ĐB Sông Cửu Long"/>
    <s v="Sở ban ngành"/>
    <x v="0"/>
    <s v="B"/>
    <n v="40.419091000000002"/>
  </r>
  <r>
    <s v="LAN"/>
    <s v="PHÒNG NÔNG NGHIỆP VÀ PHÁT TRIỂN NÔNG THÔN"/>
    <s v="ME"/>
    <n v="40419091"/>
    <d v="2024-12-01T00:00:00"/>
    <n v="12"/>
    <n v="2024"/>
    <s v="ĐB Sông Cửu Long"/>
    <s v="Sở ban ngành"/>
    <x v="1"/>
    <s v="B"/>
    <n v="40.419091000000002"/>
  </r>
  <r>
    <s v="LAN"/>
    <s v="PHÒNG NÔNG NGHIỆP VÀ PHÁT TRIỂN NÔNG THÔN"/>
    <s v="ME"/>
    <n v="40419091"/>
    <d v="2024-12-01T00:00:00"/>
    <n v="12"/>
    <n v="2024"/>
    <s v="ĐB Sông Cửu Long"/>
    <s v="Sở ban ngành"/>
    <x v="0"/>
    <s v="B"/>
    <n v="40.419091000000002"/>
  </r>
  <r>
    <s v="LAN"/>
    <s v="PHÒNG NÔNG NGHIỆP VÀ PHÁT TRIỂN NÔNG THÔN"/>
    <s v="ME"/>
    <n v="40419091"/>
    <d v="2024-12-01T00:00:00"/>
    <n v="12"/>
    <n v="2024"/>
    <s v="ĐB Sông Cửu Long"/>
    <s v="Sở ban ngành"/>
    <x v="1"/>
    <s v="B"/>
    <n v="40.419091000000002"/>
  </r>
  <r>
    <s v="LAN"/>
    <s v="PHÒNG NÔNG NGHIỆP VÀ PHÁT TRIỂN NÔNG THÔN"/>
    <s v="ME"/>
    <n v="40419091"/>
    <d v="2024-12-01T00:00:00"/>
    <n v="12"/>
    <n v="2024"/>
    <s v="ĐB Sông Cửu Long"/>
    <s v="Sở ban ngành"/>
    <x v="0"/>
    <s v="B"/>
    <n v="40.419091000000002"/>
  </r>
  <r>
    <s v="TVH"/>
    <s v="PHÒNG NÔNG NGHIỆP VÀ PHÁT TRIỂN NÔNG THÔN CẦU KÈ"/>
    <s v="Smarthome"/>
    <n v="432763636"/>
    <d v="2024-12-01T00:00:00"/>
    <n v="12"/>
    <n v="2024"/>
    <s v="ĐB Sông Cửu Long"/>
    <s v="Sở ban ngành"/>
    <x v="1"/>
    <s v="H"/>
    <n v="432.76363600000002"/>
  </r>
  <r>
    <s v="LCI"/>
    <s v="PHÒNG NÔNG NGHIỆP VÀ PHÁT TRIỂN NÔNG THÔN HUYỆN BẢO THẮNG"/>
    <s v="ME"/>
    <n v="72661570"/>
    <d v="2024-12-01T00:00:00"/>
    <n v="12"/>
    <n v="2024"/>
    <s v="Tây Bắc Bộ"/>
    <s v="Sở ban ngành"/>
    <x v="0"/>
    <s v="B"/>
    <n v="72.661569999999998"/>
  </r>
  <r>
    <s v="LAN"/>
    <s v="PHÒNG NÔNG NGHIỆP VÀ PHÁT TRIỂN NÔNG THÔN HUYỆN TÂN THẠNH"/>
    <s v="ICT"/>
    <n v="22709091"/>
    <d v="2024-12-01T00:00:00"/>
    <n v="12"/>
    <n v="2024"/>
    <s v="ĐB Sông Cửu Long"/>
    <s v="Sở ban ngành"/>
    <x v="1"/>
    <s v="F"/>
    <n v="22.709091000000001"/>
  </r>
  <r>
    <s v="LAN"/>
    <s v="PHÒNG TƯ PHÁP HUYỆN TÂN THẠNH"/>
    <s v="ICT"/>
    <n v="22709091"/>
    <d v="2024-12-01T00:00:00"/>
    <n v="12"/>
    <n v="2024"/>
    <s v="ĐB Sông Cửu Long"/>
    <s v="Sở ban ngành"/>
    <x v="0"/>
    <s v="F"/>
    <n v="22.709091000000001"/>
  </r>
  <r>
    <s v="HTH"/>
    <s v="Phòng Văn Hóa - Thông Tin Thành Phố Hà Tĩnh"/>
    <s v="ICT"/>
    <n v="227541818"/>
    <d v="2024-12-01T00:00:00"/>
    <n v="12"/>
    <n v="2024"/>
    <s v="Bắc Trung Bộ"/>
    <s v="Sở ban ngành"/>
    <x v="1"/>
    <s v="A"/>
    <n v="227.54181800000001"/>
  </r>
  <r>
    <s v="CBG"/>
    <s v="PHÒNG VĂN HOÁ THÔNG TIN"/>
    <s v="ICT"/>
    <n v="278345455"/>
    <d v="2024-12-01T00:00:00"/>
    <n v="12"/>
    <n v="2024"/>
    <s v="Đông Bắc Bộ"/>
    <s v="Sở ban ngành"/>
    <x v="0"/>
    <s v="T"/>
    <n v="278.34545500000002"/>
  </r>
  <r>
    <s v="CBG"/>
    <s v="Phòng Văn Hóa Và Thông Tin Huyện Bảo Lâm"/>
    <s v="ICT"/>
    <n v="891090909"/>
    <d v="2024-12-01T00:00:00"/>
    <n v="12"/>
    <n v="2024"/>
    <s v="Đông Bắc Bộ"/>
    <s v="Sở ban ngành"/>
    <x v="1"/>
    <s v="T"/>
    <n v="891.09090900000001"/>
  </r>
  <r>
    <s v="BTE"/>
    <s v="Phòng Văn Hóa Và Thông Tin Huyện Châu Thành"/>
    <s v="ICT"/>
    <n v="336300000"/>
    <d v="2024-12-01T00:00:00"/>
    <n v="12"/>
    <n v="2024"/>
    <s v="ĐB Sông Cửu Long"/>
    <s v="Sở ban ngành"/>
    <x v="0"/>
    <s v="A"/>
    <n v="336.3"/>
  </r>
  <r>
    <s v="HUG"/>
    <s v="Phòng Văn Hóa Và Thông Tin Huyện Châu Thành A"/>
    <s v="Smarthome"/>
    <n v="255450000"/>
    <d v="2024-12-01T00:00:00"/>
    <n v="12"/>
    <n v="2024"/>
    <s v="ĐB Sông Cửu Long"/>
    <s v="Sở ban ngành"/>
    <x v="1"/>
    <s v="H"/>
    <n v="255.45"/>
  </r>
  <r>
    <s v="HUG"/>
    <s v="Phòng Văn Hóa Và Thông Tin Huyện Châu Thành A"/>
    <s v="Smarthome"/>
    <n v="87272727"/>
    <d v="2024-12-01T00:00:00"/>
    <n v="12"/>
    <n v="2024"/>
    <s v="ĐB Sông Cửu Long"/>
    <s v="Sở ban ngành"/>
    <x v="0"/>
    <s v="H"/>
    <n v="87.272727000000003"/>
  </r>
  <r>
    <s v="LAN"/>
    <s v="PHÒNG VĂN HÓA VÀ THÔNG TIN HUYỆN TÂN THẠNH"/>
    <s v="ICT"/>
    <n v="22709091"/>
    <d v="2024-12-01T00:00:00"/>
    <n v="12"/>
    <n v="2024"/>
    <s v="ĐB Sông Cửu Long"/>
    <s v="Sở ban ngành"/>
    <x v="1"/>
    <s v="F"/>
    <n v="22.709091000000001"/>
  </r>
  <r>
    <s v="CMU"/>
    <s v="Phòng Văn Hoá Và Thông Tin Huyện Trần Văn Thời"/>
    <s v="ICT"/>
    <n v="90902727"/>
    <d v="2024-12-01T00:00:00"/>
    <n v="12"/>
    <n v="2024"/>
    <s v="ĐB Sông Cửu Long"/>
    <s v="Sở ban ngành"/>
    <x v="0"/>
    <s v="A"/>
    <n v="90.902726999999999"/>
  </r>
  <r>
    <s v="YBI"/>
    <s v="Phòng Văn Hóa Và Thông Tin Huyện Văn Chấn"/>
    <s v="ICT"/>
    <n v="32241818"/>
    <d v="2024-12-01T00:00:00"/>
    <n v="12"/>
    <n v="2024"/>
    <s v="Tây Bắc Bộ"/>
    <s v="Sở ban ngành"/>
    <x v="1"/>
    <s v="A"/>
    <n v="32.241818000000002"/>
  </r>
  <r>
    <s v="YBI"/>
    <s v="Phòng Văn Hóa Và Thông Tin Huyện Văn Chấn"/>
    <s v="ICT"/>
    <n v="18000000"/>
    <d v="2024-12-01T00:00:00"/>
    <n v="12"/>
    <n v="2024"/>
    <s v="Tây Bắc Bộ"/>
    <s v="Sở ban ngành"/>
    <x v="0"/>
    <s v="A"/>
    <n v="18"/>
  </r>
  <r>
    <s v="BKN"/>
    <s v="PHÒNG VĂN HOÁ VÀ THÔNG TIN NGÂN SƠN"/>
    <s v="ME"/>
    <n v="351976182"/>
    <d v="2024-12-01T00:00:00"/>
    <n v="12"/>
    <n v="2024"/>
    <s v="Đông Bắc Bộ"/>
    <s v="Sở ban ngành"/>
    <x v="1"/>
    <s v="F"/>
    <n v="351.97618199999999"/>
  </r>
  <r>
    <s v="AGG"/>
    <s v="SỞ KẾ HOẠCH VÀ ĐẦU TƯ AN GIANG"/>
    <s v="ME"/>
    <n v="87270000"/>
    <d v="2024-12-01T00:00:00"/>
    <n v="12"/>
    <n v="2024"/>
    <s v="ĐB Sông Cửu Long"/>
    <s v="Sở ban ngành"/>
    <x v="0"/>
    <s v="C"/>
    <n v="87.27"/>
  </r>
  <r>
    <s v="HTH"/>
    <s v="SỞ KHOA HỌC VÀ CÔNG NGHỆ HÀ TĨNH"/>
    <s v="ICT"/>
    <n v="145454545"/>
    <d v="2024-12-01T00:00:00"/>
    <n v="12"/>
    <n v="2024"/>
    <s v="Bắc Trung Bộ"/>
    <s v="Sở ban ngành"/>
    <x v="1"/>
    <s v="P"/>
    <n v="145.454545"/>
  </r>
  <r>
    <s v="AGG"/>
    <s v="SỞ NGOẠI VỤ TỈNH AN GIANG"/>
    <s v="ME"/>
    <n v="63636145"/>
    <d v="2024-12-01T00:00:00"/>
    <n v="12"/>
    <n v="2024"/>
    <s v="ĐB Sông Cửu Long"/>
    <s v="Sở ban ngành"/>
    <x v="0"/>
    <s v="C"/>
    <n v="63.636144999999999"/>
  </r>
  <r>
    <s v="TGG"/>
    <s v="SỞ NỘI VỤ TỈNH TIỀN GIANG"/>
    <s v="DVKT"/>
    <n v="14181818"/>
    <d v="2024-12-01T00:00:00"/>
    <n v="12"/>
    <n v="2024"/>
    <s v="ĐB Sông Cửu Long"/>
    <s v="Sở ban ngành"/>
    <x v="1"/>
    <s v="C"/>
    <n v="14.181818"/>
  </r>
  <r>
    <s v="PYN"/>
    <s v="Sở Thông Tin Và Truyền Thông Phú Yên"/>
    <s v="ICT"/>
    <n v="1338587273"/>
    <d v="2024-12-01T00:00:00"/>
    <n v="12"/>
    <n v="2024"/>
    <s v="Duyên hải Nam Trung Bộ"/>
    <s v="Sở ban ngành"/>
    <x v="0"/>
    <s v="T"/>
    <n v="1338.5872730000001"/>
  </r>
  <r>
    <s v="THA"/>
    <s v="SỞ THÔNG TIN VÀ TRUYỀN THÔNG THANH HOÁ"/>
    <s v="ME"/>
    <n v="1436090909"/>
    <d v="2024-12-01T00:00:00"/>
    <n v="12"/>
    <n v="2024"/>
    <s v="Bắc Trung Bộ"/>
    <s v="Sở ban ngành"/>
    <x v="1"/>
    <s v="O"/>
    <n v="1436.090909"/>
  </r>
  <r>
    <s v="LSN"/>
    <s v="TẬP ĐOÀN CÔNG NGHIỆP - VIỄN THÔNG QUÂN ĐỘI"/>
    <s v="ICT"/>
    <n v="215860727"/>
    <d v="2024-12-01T00:00:00"/>
    <n v="12"/>
    <n v="2024"/>
    <s v="Đông Bắc Bộ"/>
    <s v="Doanh nghiệp"/>
    <x v="0"/>
    <s v="B"/>
    <n v="215.860727"/>
  </r>
  <r>
    <s v="LSN"/>
    <s v="TẬP ĐOÀN CÔNG NGHIỆP - VIỄN THÔNG QUÂN ĐỘI"/>
    <s v="ICT"/>
    <n v="221881818"/>
    <d v="2024-12-01T00:00:00"/>
    <n v="12"/>
    <n v="2024"/>
    <s v="Đông Bắc Bộ"/>
    <s v="Doanh nghiệp"/>
    <x v="1"/>
    <s v="A"/>
    <n v="221.88181800000001"/>
  </r>
  <r>
    <s v="CTO"/>
    <s v="TẬP ĐOÀN CÔNG NGHIỆP - VIỄN THÔNG QUÂN ĐỘI"/>
    <s v="ICT"/>
    <n v="1060760937"/>
    <d v="2024-12-01T00:00:00"/>
    <n v="12"/>
    <n v="2024"/>
    <s v="ĐB Sông Cửu Long"/>
    <s v="Doanh nghiệp"/>
    <x v="0"/>
    <s v="B"/>
    <n v="1060.760937"/>
  </r>
  <r>
    <s v="LCI"/>
    <s v="TẬP ĐOÀN CÔNG NGHIỆP - VIỄN THÔNG QUÂN ĐỘI"/>
    <s v="DVKT"/>
    <n v="27686764"/>
    <d v="2024-12-01T00:00:00"/>
    <n v="12"/>
    <n v="2024"/>
    <s v="Tây Bắc Bộ"/>
    <s v="Doanh nghiệp"/>
    <x v="1"/>
    <s v="B"/>
    <n v="27.686764"/>
  </r>
  <r>
    <s v="DTP"/>
    <s v="TRUNG TÂM CHÍNH TRỊ THÀNH PHỐ CAO LÃNH"/>
    <s v="DVKT"/>
    <n v="39418182"/>
    <d v="2024-12-01T00:00:00"/>
    <n v="12"/>
    <n v="2024"/>
    <s v="ĐB Sông Cửu Long"/>
    <s v="Sở ban ngành"/>
    <x v="0"/>
    <s v="E"/>
    <n v="39.418182000000002"/>
  </r>
  <r>
    <s v="QNH"/>
    <s v="Trung Tâm Chính Trị Thị Xã"/>
    <s v="ICT"/>
    <n v="598345708"/>
    <d v="2024-12-01T00:00:00"/>
    <n v="12"/>
    <n v="2024"/>
    <s v="Đông Bắc Bộ"/>
    <s v="Sở ban ngành"/>
    <x v="1"/>
    <s v="H"/>
    <n v="598.34570799999995"/>
  </r>
  <r>
    <s v="VLG"/>
    <s v="TRUNG TÂM GIÁM ĐỊNH CHẤT LƯỢNG XÂY DỰNG"/>
    <s v="ICT"/>
    <n v="12409636"/>
    <d v="2024-12-01T00:00:00"/>
    <n v="12"/>
    <n v="2024"/>
    <s v="ĐB Sông Cửu Long"/>
    <s v="Sở ban ngành"/>
    <x v="0"/>
    <s v="A"/>
    <n v="12.409636000000001"/>
  </r>
  <r>
    <s v="HUE"/>
    <s v="TRUNG TÂM GIÁM SÁT ĐIỀU HÀNH ĐÔ THỊ THÔNG MINH TỈNH THỪA THIÊN HUẾ"/>
    <s v="DVKT"/>
    <n v="435176836"/>
    <d v="2024-12-01T00:00:00"/>
    <n v="12"/>
    <n v="2024"/>
    <s v="Bắc Trung Bộ"/>
    <s v="Sở ban ngành"/>
    <x v="1"/>
    <s v="B"/>
    <n v="435.17683599999998"/>
  </r>
  <r>
    <s v="QNM"/>
    <s v="TRUNG TÂM NUÔI DƯỠNG, ĐIỀU DƯỠNG NGƯỜI CÓ CÔNG QUẢNG NAM"/>
    <s v="ME"/>
    <n v="27239091"/>
    <d v="2024-12-01T00:00:00"/>
    <n v="12"/>
    <n v="2024"/>
    <s v="Duyên hải Nam Trung Bộ"/>
    <s v="Sở ban ngành"/>
    <x v="0"/>
    <s v="Q"/>
    <n v="27.239090999999998"/>
  </r>
  <r>
    <s v="DNG"/>
    <s v="Trung Tâm Tiết Kiệm Năng Lượng Và Tư Vấn Chuyển Giao Công Nghệ Đà Nẵng"/>
    <s v="DVKT"/>
    <n v="297714000"/>
    <d v="2024-12-01T00:00:00"/>
    <n v="12"/>
    <n v="2024"/>
    <s v="Duyên hải Nam Trung Bộ"/>
    <s v="Sở ban ngành"/>
    <x v="1"/>
    <s v="D"/>
    <n v="297.714"/>
  </r>
  <r>
    <s v="TGG"/>
    <s v="Trung Tâm Văn Hóa - Thể Thao Và Truyền Thanh Huyện Tân Phước"/>
    <s v="ICT"/>
    <n v="227093182"/>
    <d v="2024-12-01T00:00:00"/>
    <n v="12"/>
    <n v="2024"/>
    <s v="ĐB Sông Cửu Long"/>
    <s v="Sở ban ngành"/>
    <x v="0"/>
    <s v="F"/>
    <n v="227.09318200000001"/>
  </r>
  <r>
    <s v="TGG"/>
    <s v="Trung Tâm Văn Hóa - Thể Thao Và Truyền Thanh Huyện Tân Phước"/>
    <s v="ICT"/>
    <n v="227093182"/>
    <d v="2024-12-01T00:00:00"/>
    <n v="12"/>
    <n v="2024"/>
    <s v="ĐB Sông Cửu Long"/>
    <s v="Sở ban ngành"/>
    <x v="1"/>
    <s v="F"/>
    <n v="227.09318200000001"/>
  </r>
  <r>
    <s v="LDG"/>
    <s v="TRUNG TÂM Y TẾ DI LINH"/>
    <s v="DVKT"/>
    <n v="68878182"/>
    <d v="2024-12-01T00:00:00"/>
    <n v="12"/>
    <n v="2024"/>
    <s v="Tây Nguyên"/>
    <s v="Sở ban ngành"/>
    <x v="0"/>
    <s v="C"/>
    <n v="68.878181999999995"/>
  </r>
  <r>
    <s v="TVH"/>
    <s v="TRUNG TÂM Y TẾ HUYỆN DUYÊN HẢI"/>
    <s v="DVKT"/>
    <n v="43807273"/>
    <d v="2024-12-01T00:00:00"/>
    <n v="12"/>
    <n v="2024"/>
    <s v="ĐB Sông Cửu Long"/>
    <s v="Sở ban ngành"/>
    <x v="1"/>
    <s v="A"/>
    <n v="43.807273000000002"/>
  </r>
  <r>
    <s v="HTH"/>
    <s v="Trung Tâm Y Tế Huyện Kỳ Anh"/>
    <s v="ICT"/>
    <n v="270909091"/>
    <d v="2024-12-01T00:00:00"/>
    <n v="12"/>
    <n v="2024"/>
    <s v="Bắc Trung Bộ"/>
    <s v="Sở ban ngành"/>
    <x v="0"/>
    <s v="P"/>
    <n v="270.90909099999999"/>
  </r>
  <r>
    <s v="HTH"/>
    <s v="TRUNG TÂM Y TẾ HUYỆN KỲ ANH"/>
    <s v="ICT"/>
    <n v="180000000"/>
    <d v="2024-12-01T00:00:00"/>
    <n v="12"/>
    <n v="2024"/>
    <s v="Bắc Trung Bộ"/>
    <s v="Sở ban ngành"/>
    <x v="1"/>
    <s v="P"/>
    <n v="180"/>
  </r>
  <r>
    <s v="HNI"/>
    <s v="Trung Tâm Y Tế Huyện Quốc Oai"/>
    <s v="ICT"/>
    <n v="81722274"/>
    <d v="2024-12-01T00:00:00"/>
    <n v="12"/>
    <n v="2024"/>
    <s v="ĐB Sông Hồng"/>
    <s v="Sở ban ngành"/>
    <x v="0"/>
    <s v="B"/>
    <n v="81.722273999999999"/>
  </r>
  <r>
    <s v="PYN"/>
    <s v="Trung Tâm Y Tế Thị Xã Đông Hòa"/>
    <s v="ME"/>
    <n v="46773818"/>
    <d v="2024-12-01T00:00:00"/>
    <n v="12"/>
    <n v="2024"/>
    <s v="Duyên hải Nam Trung Bộ"/>
    <s v="Sở ban ngành"/>
    <x v="1"/>
    <s v="M"/>
    <n v="46.773817999999999"/>
  </r>
  <r>
    <s v="BGG"/>
    <s v="UBND THỊ TRẤN BỐ HẠ"/>
    <s v="ICT"/>
    <n v="8480000"/>
    <d v="2024-12-01T00:00:00"/>
    <n v="12"/>
    <n v="2024"/>
    <s v="Đông Bắc Bộ"/>
    <s v="Sở ban ngành"/>
    <x v="0"/>
    <s v="F"/>
    <n v="8.48"/>
  </r>
  <r>
    <s v="TNN"/>
    <s v="UBND THỊ TRẤN ĐU"/>
    <s v="DVKT"/>
    <n v="16690909"/>
    <d v="2024-12-01T00:00:00"/>
    <n v="12"/>
    <n v="2024"/>
    <s v="Đông Bắc Bộ"/>
    <s v="Sở ban ngành"/>
    <x v="1"/>
    <s v="B"/>
    <n v="16.690909000000001"/>
  </r>
  <r>
    <s v="HUG"/>
    <s v="UBND THỊ TRẤN NGÃ SÁU"/>
    <s v="ICT"/>
    <n v="19709091"/>
    <d v="2024-12-01T00:00:00"/>
    <n v="12"/>
    <n v="2024"/>
    <s v="ĐB Sông Cửu Long"/>
    <s v="Sở ban ngành"/>
    <x v="0"/>
    <s v="A"/>
    <n v="19.709091000000001"/>
  </r>
  <r>
    <s v="BTN"/>
    <s v="UBND THỊ TRẤN TÂN NGHĨA"/>
    <s v="Smarthome"/>
    <n v="185367000"/>
    <d v="2024-12-01T00:00:00"/>
    <n v="12"/>
    <n v="2024"/>
    <s v="Duyên hải Nam Trung Bộ"/>
    <s v="Sở ban ngành"/>
    <x v="1"/>
    <s v="U"/>
    <n v="185.36699999999999"/>
  </r>
  <r>
    <s v="CBG"/>
    <s v="UBND THỊ TRẤN THANH NHẬT"/>
    <s v="NLMT"/>
    <n v="27272727"/>
    <d v="2024-12-01T00:00:00"/>
    <n v="12"/>
    <n v="2024"/>
    <s v="Đông Bắc Bộ"/>
    <s v="Sở ban ngành"/>
    <x v="0"/>
    <s v="K"/>
    <n v="27.272727"/>
  </r>
  <r>
    <s v="BGG"/>
    <s v="UBND XÃ AN THƯỢNG"/>
    <s v="Smarthome"/>
    <n v="4200000"/>
    <d v="2024-12-01T00:00:00"/>
    <n v="12"/>
    <n v="2024"/>
    <s v="Đông Bắc Bộ"/>
    <s v="Sở ban ngành"/>
    <x v="1"/>
    <s v="H"/>
    <n v="4.2"/>
  </r>
  <r>
    <s v="KTM"/>
    <s v="UBND XÃ ĐẮK BLÀ"/>
    <s v="Smarthome"/>
    <n v="128181818"/>
    <d v="2024-12-01T00:00:00"/>
    <n v="12"/>
    <n v="2024"/>
    <s v="Tây Nguyên"/>
    <s v="Sở ban ngành"/>
    <x v="0"/>
    <s v="U"/>
    <n v="128.18181799999999"/>
  </r>
  <r>
    <s v="KTM"/>
    <s v="UBND XÃ ĐĂK CHOONG"/>
    <s v="NLMT"/>
    <n v="53636364"/>
    <d v="2024-12-01T00:00:00"/>
    <n v="12"/>
    <n v="2024"/>
    <s v="Tây Nguyên"/>
    <s v="Sở ban ngành"/>
    <x v="1"/>
    <s v="K"/>
    <n v="53.636364"/>
  </r>
  <r>
    <s v="BGG"/>
    <s v="UBND XÃ ĐÔNG SƠN"/>
    <s v="Smarthome"/>
    <n v="4200000"/>
    <d v="2024-12-01T00:00:00"/>
    <n v="12"/>
    <n v="2024"/>
    <s v="Đông Bắc Bộ"/>
    <s v="Sở ban ngành"/>
    <x v="0"/>
    <s v="H"/>
    <n v="4.2"/>
  </r>
  <r>
    <s v="BGG"/>
    <s v="UBND XÃ ĐỒNG TÂM"/>
    <s v="ICT"/>
    <n v="4200000"/>
    <d v="2024-12-01T00:00:00"/>
    <n v="12"/>
    <n v="2024"/>
    <s v="Đông Bắc Bộ"/>
    <s v="Sở ban ngành"/>
    <x v="1"/>
    <s v="F"/>
    <n v="4.2"/>
  </r>
  <r>
    <s v="BGG"/>
    <s v="UBND XÃ ĐỒNG VƯƠNG"/>
    <s v="ICT"/>
    <n v="4200000"/>
    <d v="2024-12-01T00:00:00"/>
    <n v="12"/>
    <n v="2024"/>
    <s v="Đông Bắc Bộ"/>
    <s v="Sở ban ngành"/>
    <x v="0"/>
    <s v="F"/>
    <n v="4.2"/>
  </r>
  <r>
    <s v="DLK"/>
    <s v="Ubnd Xã Ea Kmút"/>
    <s v="ICT"/>
    <n v="26527400"/>
    <d v="2024-12-01T00:00:00"/>
    <n v="12"/>
    <n v="2024"/>
    <s v="Tây Nguyên"/>
    <s v="Sở ban ngành"/>
    <x v="1"/>
    <s v="B"/>
    <n v="26.5274"/>
  </r>
  <r>
    <s v="PYN"/>
    <s v="UBND XÃ HÒA ĐỒNG"/>
    <s v="ICT"/>
    <n v="146266364"/>
    <d v="2024-12-01T00:00:00"/>
    <n v="12"/>
    <n v="2024"/>
    <s v="Duyên hải Nam Trung Bộ"/>
    <s v="Sở ban ngành"/>
    <x v="0"/>
    <s v="B"/>
    <n v="146.26636400000001"/>
  </r>
  <r>
    <s v="BGG"/>
    <s v="UBND XÃ HỒNG KỲ"/>
    <s v="ICT"/>
    <n v="8480000"/>
    <d v="2024-12-01T00:00:00"/>
    <n v="12"/>
    <n v="2024"/>
    <s v="Đông Bắc Bộ"/>
    <s v="Sở ban ngành"/>
    <x v="1"/>
    <s v="F"/>
    <n v="8.48"/>
  </r>
  <r>
    <s v="PTO"/>
    <s v="UBND XÃ HY CƯƠNG"/>
    <s v="ME"/>
    <n v="38534971"/>
    <d v="2024-12-01T00:00:00"/>
    <n v="12"/>
    <n v="2024"/>
    <s v="Đông Bắc Bộ"/>
    <s v="Sở ban ngành"/>
    <x v="0"/>
    <s v="E"/>
    <n v="38.534970999999999"/>
  </r>
  <r>
    <s v="BLU"/>
    <s v="UBND XÃ NINH THẠNH LỢI"/>
    <s v="NLMT"/>
    <n v="568066227"/>
    <d v="2024-12-01T00:00:00"/>
    <n v="12"/>
    <n v="2024"/>
    <s v="ĐB Sông Cửu Long"/>
    <s v="Sở ban ngành"/>
    <x v="1"/>
    <s v="K"/>
    <n v="568.06622700000003"/>
  </r>
  <r>
    <s v="BTN"/>
    <s v="UBND XÃ PHAN DŨNG"/>
    <s v="NLMT"/>
    <n v="9454545"/>
    <d v="2024-12-01T00:00:00"/>
    <n v="12"/>
    <n v="2024"/>
    <s v="Duyên hải Nam Trung Bộ"/>
    <s v="Sở ban ngành"/>
    <x v="0"/>
    <s v="K"/>
    <n v="9.4545449999999995"/>
  </r>
  <r>
    <s v="NTN"/>
    <s v="UBND XÃ PHƯỚC DINH"/>
    <s v="ME"/>
    <n v="72722727"/>
    <d v="2024-12-01T00:00:00"/>
    <n v="12"/>
    <n v="2024"/>
    <s v="Duyên hải Nam Trung Bộ"/>
    <s v="Sở ban ngành"/>
    <x v="1"/>
    <s v="L"/>
    <n v="72.722727000000006"/>
  </r>
  <r>
    <s v="NTN"/>
    <s v="Ubnd Xã Phước Ninh"/>
    <s v="ME"/>
    <n v="81736364"/>
    <d v="2024-12-01T00:00:00"/>
    <n v="12"/>
    <n v="2024"/>
    <s v="Duyên hải Nam Trung Bộ"/>
    <s v="Sở ban ngành"/>
    <x v="0"/>
    <s v="L"/>
    <n v="81.736363999999995"/>
  </r>
  <r>
    <s v="DBN"/>
    <s v="Ubnd Xã Pú Xi"/>
    <s v="NLMT"/>
    <n v="90454545"/>
    <d v="2024-12-01T00:00:00"/>
    <n v="12"/>
    <n v="2024"/>
    <s v="Tây Bắc Bộ"/>
    <s v="Sở ban ngành"/>
    <x v="1"/>
    <s v="K"/>
    <n v="90.454544999999996"/>
  </r>
  <r>
    <s v="BTN"/>
    <s v="UBND XÃ SƠN MỸ"/>
    <s v="Smarthome"/>
    <n v="205921300"/>
    <d v="2024-12-01T00:00:00"/>
    <n v="12"/>
    <n v="2024"/>
    <s v="Duyên hải Nam Trung Bộ"/>
    <s v="Sở ban ngành"/>
    <x v="0"/>
    <s v="U"/>
    <n v="205.9213"/>
  </r>
  <r>
    <s v="BTN"/>
    <s v="UBND XÃ SƠN MỸ"/>
    <s v="Smarthome"/>
    <n v="205921300"/>
    <d v="2024-12-01T00:00:00"/>
    <n v="12"/>
    <n v="2024"/>
    <s v="Duyên hải Nam Trung Bộ"/>
    <s v="Sở ban ngành"/>
    <x v="1"/>
    <s v="U"/>
    <n v="205.9213"/>
  </r>
  <r>
    <s v="BTN"/>
    <s v="UBND XÃ SÔNG PHAN"/>
    <s v="Smarthome"/>
    <n v="207696400"/>
    <d v="2024-12-01T00:00:00"/>
    <n v="12"/>
    <n v="2024"/>
    <s v="Duyên hải Nam Trung Bộ"/>
    <s v="Sở ban ngành"/>
    <x v="0"/>
    <s v="U"/>
    <n v="207.69640000000001"/>
  </r>
  <r>
    <s v="QNM"/>
    <s v="UBND XÃ TAM ĐẠI"/>
    <s v="ICT"/>
    <n v="90669091"/>
    <d v="2024-12-01T00:00:00"/>
    <n v="12"/>
    <n v="2024"/>
    <s v="Duyên hải Nam Trung Bộ"/>
    <s v="Sở ban ngành"/>
    <x v="1"/>
    <s v="B"/>
    <n v="90.669090999999995"/>
  </r>
  <r>
    <s v="BGG"/>
    <s v="UBND XÃ TAM HIỆP"/>
    <s v="ICT"/>
    <n v="8480000"/>
    <d v="2024-12-01T00:00:00"/>
    <n v="12"/>
    <n v="2024"/>
    <s v="Đông Bắc Bộ"/>
    <s v="Sở ban ngành"/>
    <x v="0"/>
    <s v="F"/>
    <n v="8.48"/>
  </r>
  <r>
    <s v="BTN"/>
    <s v="UBND XÃ TÂN HÀ"/>
    <s v="Smarthome"/>
    <n v="207841900"/>
    <d v="2024-12-01T00:00:00"/>
    <n v="12"/>
    <n v="2024"/>
    <s v="Duyên hải Nam Trung Bộ"/>
    <s v="Sở ban ngành"/>
    <x v="1"/>
    <s v="U"/>
    <n v="207.84190000000001"/>
  </r>
  <r>
    <s v="BTN"/>
    <s v="UBND XÃ TÂN HÀ"/>
    <s v="ME"/>
    <n v="79331818"/>
    <d v="2024-12-01T00:00:00"/>
    <n v="12"/>
    <n v="2024"/>
    <s v="Duyên hải Nam Trung Bộ"/>
    <s v="Sở ban ngành"/>
    <x v="0"/>
    <s v="L"/>
    <n v="79.331817999999998"/>
  </r>
  <r>
    <s v="BDH"/>
    <s v="UBND XÃ TÂY PHÚ"/>
    <s v="ICT"/>
    <n v="86805000"/>
    <d v="2024-12-01T00:00:00"/>
    <n v="12"/>
    <n v="2024"/>
    <s v="Duyên hải Nam Trung Bộ"/>
    <s v="Sở ban ngành"/>
    <x v="1"/>
    <s v="A"/>
    <n v="86.805000000000007"/>
  </r>
  <r>
    <s v="TQG"/>
    <s v="UBND XÃ TRUNG HÀ"/>
    <s v="ICT"/>
    <n v="26017727"/>
    <d v="2024-12-01T00:00:00"/>
    <n v="12"/>
    <n v="2024"/>
    <s v="Đông Bắc Bộ"/>
    <s v="Sở ban ngành"/>
    <x v="0"/>
    <s v="B"/>
    <n v="26.017727000000001"/>
  </r>
  <r>
    <s v="BGG"/>
    <s v="UBND XÃ XUÂN LƯƠNG"/>
    <s v="ICT"/>
    <n v="8480000"/>
    <d v="2024-12-01T00:00:00"/>
    <n v="12"/>
    <n v="2024"/>
    <s v="Đông Bắc Bộ"/>
    <s v="Sở ban ngành"/>
    <x v="1"/>
    <s v="F"/>
    <n v="8.48"/>
  </r>
  <r>
    <s v="HTH"/>
    <s v="UBND XÃ XUÂN THÀNH"/>
    <s v="ICT"/>
    <n v="85575273"/>
    <d v="2024-12-01T00:00:00"/>
    <n v="12"/>
    <n v="2024"/>
    <s v="Bắc Trung Bộ"/>
    <s v="Sở ban ngành"/>
    <x v="0"/>
    <s v="B"/>
    <n v="85.575272999999996"/>
  </r>
  <r>
    <s v="TQG"/>
    <s v="UBND XÃ XUÂN VÂN"/>
    <s v="NLMT"/>
    <n v="90778991"/>
    <d v="2024-12-01T00:00:00"/>
    <n v="12"/>
    <n v="2024"/>
    <s v="Đông Bắc Bộ"/>
    <s v="Sở ban ngành"/>
    <x v="1"/>
    <s v="K"/>
    <n v="90.778991000000005"/>
  </r>
  <r>
    <s v="BTN"/>
    <s v="Ủy ban nhân dân Thị trấn Lương Sơn"/>
    <s v="ICT"/>
    <n v="15246199"/>
    <d v="2024-12-01T00:00:00"/>
    <n v="12"/>
    <n v="2024"/>
    <s v="Duyên hải Nam Trung Bộ"/>
    <s v="Sở ban ngành"/>
    <x v="0"/>
    <s v="B"/>
    <n v="15.246199000000001"/>
  </r>
  <r>
    <s v="GLI"/>
    <s v="Ủy Ban Nhân Dân Xã Ayun Hạ"/>
    <s v="ME"/>
    <n v="168545455"/>
    <d v="2024-12-01T00:00:00"/>
    <n v="12"/>
    <n v="2024"/>
    <s v="Tây Nguyên"/>
    <s v="Sở ban ngành"/>
    <x v="1"/>
    <s v="O"/>
    <n v="168.545455"/>
  </r>
  <r>
    <s v="PTO"/>
    <s v="ỦY BAN NHÂN DÂN XÃ ĐOAN HẠ"/>
    <s v="ICT"/>
    <n v="60253914"/>
    <d v="2024-12-01T00:00:00"/>
    <n v="12"/>
    <n v="2024"/>
    <s v="Đông Bắc Bộ"/>
    <s v="Sở ban ngành"/>
    <x v="0"/>
    <s v="B"/>
    <n v="60.253914000000002"/>
  </r>
  <r>
    <s v="PTO"/>
    <s v="ỦY BAN NHÂN DÂN XÃ ĐOAN HẠ"/>
    <s v="ICT"/>
    <n v="73283727"/>
    <d v="2024-12-01T00:00:00"/>
    <n v="12"/>
    <n v="2024"/>
    <s v="Đông Bắc Bộ"/>
    <s v="Sở ban ngành"/>
    <x v="1"/>
    <s v="B"/>
    <n v="73.283726999999999"/>
  </r>
  <r>
    <s v="TBH"/>
    <s v="ỦY BAN NHÂN DÂN XÃ ĐÔNG THỌ"/>
    <s v="ICT"/>
    <n v="176181818"/>
    <d v="2024-12-01T00:00:00"/>
    <n v="12"/>
    <n v="2024"/>
    <s v="ĐB Sông Hồng"/>
    <s v="Sở ban ngành"/>
    <x v="0"/>
    <s v="B"/>
    <n v="176.18181799999999"/>
  </r>
  <r>
    <s v="LAN"/>
    <s v="ỦY BAN NHÂN DÂN XÃ DƯƠNG XUÂN HỘI"/>
    <s v="ICT"/>
    <n v="41220000"/>
    <d v="2024-12-01T00:00:00"/>
    <n v="12"/>
    <n v="2024"/>
    <s v="ĐB Sông Cửu Long"/>
    <s v="Sở ban ngành"/>
    <x v="1"/>
    <s v="B"/>
    <n v="41.22"/>
  </r>
  <r>
    <s v="LAN"/>
    <s v="ỦY BAN NHÂN DÂN XÃ HIỆP THẠNH"/>
    <s v="ICT"/>
    <n v="41220000"/>
    <d v="2024-12-01T00:00:00"/>
    <n v="12"/>
    <n v="2024"/>
    <s v="ĐB Sông Cửu Long"/>
    <s v="Sở ban ngành"/>
    <x v="0"/>
    <s v="B"/>
    <n v="41.22"/>
  </r>
  <r>
    <s v="LAN"/>
    <s v="ỦY BAN NHÂN DÂN XÃ HÒA PHÚ"/>
    <s v="ICT"/>
    <n v="41220000"/>
    <d v="2024-12-01T00:00:00"/>
    <n v="12"/>
    <n v="2024"/>
    <s v="ĐB Sông Cửu Long"/>
    <s v="Sở ban ngành"/>
    <x v="1"/>
    <s v="B"/>
    <n v="41.22"/>
  </r>
  <r>
    <s v="TQG"/>
    <s v="Ủy Ban Nhân Dân Xã Hợp Hòa"/>
    <s v="DVKT"/>
    <n v="407414545"/>
    <d v="2024-12-01T00:00:00"/>
    <n v="12"/>
    <n v="2024"/>
    <s v="Đông Bắc Bộ"/>
    <s v="Sở ban ngành"/>
    <x v="0"/>
    <s v="L"/>
    <n v="407.41454499999998"/>
  </r>
  <r>
    <s v="LSN"/>
    <s v="Uỷ Ban Nhân Dân Xã Hữu Liên"/>
    <s v="ICT"/>
    <n v="36407000"/>
    <d v="2024-12-01T00:00:00"/>
    <n v="12"/>
    <n v="2024"/>
    <s v="Đông Bắc Bộ"/>
    <s v="Sở ban ngành"/>
    <x v="1"/>
    <s v="K"/>
    <n v="36.406999999999996"/>
  </r>
  <r>
    <s v="GLI"/>
    <s v="UỶ BAN NHÂN DÂN XÃ IA AKE"/>
    <s v="ME"/>
    <n v="164090909"/>
    <d v="2024-12-01T00:00:00"/>
    <n v="12"/>
    <n v="2024"/>
    <s v="Tây Nguyên"/>
    <s v="Sở ban ngành"/>
    <x v="0"/>
    <s v="O"/>
    <n v="164.09090900000001"/>
  </r>
  <r>
    <s v="GLI"/>
    <s v="UỶ BAN NHÂN DÂN XÃ IA AKE"/>
    <s v="NLMT"/>
    <n v="173210909"/>
    <d v="2024-12-01T00:00:00"/>
    <n v="12"/>
    <n v="2024"/>
    <s v="Tây Nguyên"/>
    <s v="Sở ban ngành"/>
    <x v="1"/>
    <s v="K"/>
    <n v="173.21090899999999"/>
  </r>
  <r>
    <s v="GLI"/>
    <s v="UỶ BAN NHÂN DÂN XÃ IAPIAR"/>
    <s v="ME"/>
    <n v="169613636"/>
    <d v="2024-12-01T00:00:00"/>
    <n v="12"/>
    <n v="2024"/>
    <s v="Tây Nguyên"/>
    <s v="Sở ban ngành"/>
    <x v="0"/>
    <s v="O"/>
    <n v="169.61363600000001"/>
  </r>
  <r>
    <s v="GLI"/>
    <s v="UỶ BAN NHÂN DÂN XÃ IASOL"/>
    <s v="ME"/>
    <n v="164090909"/>
    <d v="2024-12-01T00:00:00"/>
    <n v="12"/>
    <n v="2024"/>
    <s v="Tây Nguyên"/>
    <s v="Sở ban ngành"/>
    <x v="1"/>
    <s v="O"/>
    <n v="164.09090900000001"/>
  </r>
  <r>
    <s v="GLI"/>
    <s v="UỶ BAN NHÂN DÂN XÃ IASOL"/>
    <s v="NLMT"/>
    <n v="172727273"/>
    <d v="2024-12-01T00:00:00"/>
    <n v="12"/>
    <n v="2024"/>
    <s v="Tây Nguyên"/>
    <s v="Sở ban ngành"/>
    <x v="0"/>
    <s v="K"/>
    <n v="172.727273"/>
  </r>
  <r>
    <s v="CBG"/>
    <s v="UỶ BAN NHÂN DÂN XÃ KHÂM THÀNH"/>
    <s v="NLMT"/>
    <n v="77236364"/>
    <d v="2024-12-01T00:00:00"/>
    <n v="12"/>
    <n v="2024"/>
    <s v="Đông Bắc Bộ"/>
    <s v="Sở ban ngành"/>
    <x v="1"/>
    <s v="K"/>
    <n v="77.236363999999995"/>
  </r>
  <r>
    <s v="CBG"/>
    <s v="Ủy Ban Nhân Dân Xã Lê Lợi"/>
    <s v="ME"/>
    <n v="10118182"/>
    <d v="2024-12-01T00:00:00"/>
    <n v="12"/>
    <n v="2024"/>
    <s v="Đông Bắc Bộ"/>
    <s v="Sở ban ngành"/>
    <x v="0"/>
    <s v="O"/>
    <n v="10.118181999999999"/>
  </r>
  <r>
    <s v="DBN"/>
    <s v="Ủy Ban Nhân Dân Xã Mùn Chung"/>
    <s v="NLMT"/>
    <n v="90454545"/>
    <d v="2024-12-01T00:00:00"/>
    <n v="12"/>
    <n v="2024"/>
    <s v="Tây Bắc Bộ"/>
    <s v="Sở ban ngành"/>
    <x v="1"/>
    <s v="K"/>
    <n v="90.454544999999996"/>
  </r>
  <r>
    <s v="DBN"/>
    <s v="Ủy Ban Nhân Dân Xã Mường Mùn"/>
    <s v="NLMT"/>
    <n v="89818182"/>
    <d v="2024-12-01T00:00:00"/>
    <n v="12"/>
    <n v="2024"/>
    <s v="Tây Bắc Bộ"/>
    <s v="Sở ban ngành"/>
    <x v="0"/>
    <s v="K"/>
    <n v="89.818181999999993"/>
  </r>
  <r>
    <s v="DBN"/>
    <s v="Ủy Ban Nhân Dân Xã Nà Tòng"/>
    <s v="NLMT"/>
    <n v="90454545"/>
    <d v="2024-12-01T00:00:00"/>
    <n v="12"/>
    <n v="2024"/>
    <s v="Tây Bắc Bộ"/>
    <s v="Sở ban ngành"/>
    <x v="1"/>
    <s v="K"/>
    <n v="90.454544999999996"/>
  </r>
  <r>
    <s v="DBN"/>
    <s v="Ủy Ban Nhân Dân Xã Nậm Nèn"/>
    <s v="NLMT"/>
    <n v="45272727"/>
    <d v="2024-12-01T00:00:00"/>
    <n v="12"/>
    <n v="2024"/>
    <s v="Tây Bắc Bộ"/>
    <s v="Sở ban ngành"/>
    <x v="0"/>
    <s v="K"/>
    <n v="45.272727000000003"/>
  </r>
  <r>
    <s v="CBG"/>
    <s v="Uỷ Ban Nhân Dân Xã Ngọc Khê"/>
    <s v="NLMT"/>
    <n v="390000000"/>
    <d v="2024-12-01T00:00:00"/>
    <n v="12"/>
    <n v="2024"/>
    <s v="Đông Bắc Bộ"/>
    <s v="Sở ban ngành"/>
    <x v="1"/>
    <s v="K"/>
    <n v="390"/>
  </r>
  <r>
    <s v="TQG"/>
    <s v="Ủy Ban Nhân Dân Xã Phúc Sơn"/>
    <s v="NLMT"/>
    <n v="87213955"/>
    <d v="2024-12-01T00:00:00"/>
    <n v="12"/>
    <n v="2024"/>
    <s v="Đông Bắc Bộ"/>
    <s v="Sở ban ngành"/>
    <x v="0"/>
    <s v="K"/>
    <n v="87.213954999999999"/>
  </r>
  <r>
    <s v="LAN"/>
    <s v="ỦY BAN NHÂN DÂN XÃ PHƯỚC TÂN HƯNG"/>
    <s v="ICT"/>
    <n v="41220000"/>
    <d v="2024-12-01T00:00:00"/>
    <n v="12"/>
    <n v="2024"/>
    <s v="ĐB Sông Cửu Long"/>
    <s v="Sở ban ngành"/>
    <x v="1"/>
    <s v="B"/>
    <n v="41.22"/>
  </r>
  <r>
    <s v="DBN"/>
    <s v="Ủy Ban Nhân Dân Xã Quài Cang"/>
    <s v="NLMT"/>
    <n v="90454545"/>
    <d v="2024-12-01T00:00:00"/>
    <n v="12"/>
    <n v="2024"/>
    <s v="Tây Bắc Bộ"/>
    <s v="Sở ban ngành"/>
    <x v="0"/>
    <s v="K"/>
    <n v="90.454544999999996"/>
  </r>
  <r>
    <s v="DBN"/>
    <s v="Ủy Ban Nhân Dân Xã Quài Nưa"/>
    <s v="NLMT"/>
    <n v="90454545"/>
    <d v="2024-12-01T00:00:00"/>
    <n v="12"/>
    <n v="2024"/>
    <s v="Tây Bắc Bộ"/>
    <s v="Sở ban ngành"/>
    <x v="1"/>
    <s v="K"/>
    <n v="90.454544999999996"/>
  </r>
  <r>
    <s v="DBN"/>
    <s v="Ủy Ban Nhân Dân Xã Quài Tở"/>
    <s v="NLMT"/>
    <n v="90454545"/>
    <d v="2024-12-01T00:00:00"/>
    <n v="12"/>
    <n v="2024"/>
    <s v="Tây Bắc Bộ"/>
    <s v="Sở ban ngành"/>
    <x v="0"/>
    <s v="K"/>
    <n v="90.454544999999996"/>
  </r>
  <r>
    <s v="QNM"/>
    <s v="ỦY BAN NHÂN DÂN XÃ TAM ANH NAM"/>
    <s v="ICT"/>
    <n v="66555455"/>
    <d v="2024-12-01T00:00:00"/>
    <n v="12"/>
    <n v="2024"/>
    <s v="Duyên hải Nam Trung Bộ"/>
    <s v="Sở ban ngành"/>
    <x v="1"/>
    <s v="B"/>
    <n v="66.555454999999995"/>
  </r>
  <r>
    <s v="BGG"/>
    <s v="Uỷ Ban Nhân Dân Xã Tân Hoa"/>
    <s v="ICT"/>
    <n v="14600000"/>
    <d v="2024-12-01T00:00:00"/>
    <n v="12"/>
    <n v="2024"/>
    <s v="Đông Bắc Bộ"/>
    <s v="Sở ban ngành"/>
    <x v="0"/>
    <s v="F"/>
    <n v="14.6"/>
  </r>
  <r>
    <s v="TGG"/>
    <s v="ỦY BAN NHÂN DÂN XÃ TÂN HƯƠNG"/>
    <s v="NLMT"/>
    <n v="44975000"/>
    <d v="2024-12-01T00:00:00"/>
    <n v="12"/>
    <n v="2024"/>
    <s v="ĐB Sông Cửu Long"/>
    <s v="Sở ban ngành"/>
    <x v="1"/>
    <s v="K"/>
    <n v="44.975000000000001"/>
  </r>
  <r>
    <s v="TQG"/>
    <s v="UỶ BAN NHÂN DÂN XÃ THỔ BÌNH"/>
    <s v="NLMT"/>
    <n v="89957362"/>
    <d v="2024-12-01T00:00:00"/>
    <n v="12"/>
    <n v="2024"/>
    <s v="Đông Bắc Bộ"/>
    <s v="Sở ban ngành"/>
    <x v="0"/>
    <s v="K"/>
    <n v="89.957362000000003"/>
  </r>
  <r>
    <s v="LAN"/>
    <s v="ỦY BAN NHÂN DÂN XÃ THUẬN MỸ"/>
    <s v="ICT"/>
    <n v="41220000"/>
    <d v="2024-12-01T00:00:00"/>
    <n v="12"/>
    <n v="2024"/>
    <s v="ĐB Sông Cửu Long"/>
    <s v="Sở ban ngành"/>
    <x v="1"/>
    <s v="B"/>
    <n v="41.22"/>
  </r>
  <r>
    <s v="BGG"/>
    <s v="ỦY BAN NHÂN DÂN XÃ TIẾN THẮNG"/>
    <s v="ICT"/>
    <n v="8480000"/>
    <d v="2024-12-01T00:00:00"/>
    <n v="12"/>
    <n v="2024"/>
    <s v="Đông Bắc Bộ"/>
    <s v="Sở ban ngành"/>
    <x v="0"/>
    <s v="F"/>
    <n v="8.48"/>
  </r>
  <r>
    <s v="DBN"/>
    <s v="Ủy Ban Nhân Dân Xã Tỏa Tình"/>
    <s v="NLMT"/>
    <n v="90454545"/>
    <d v="2024-12-01T00:00:00"/>
    <n v="12"/>
    <n v="2024"/>
    <s v="Tây Bắc Bộ"/>
    <s v="Sở ban ngành"/>
    <x v="1"/>
    <s v="K"/>
    <n v="90.454544999999996"/>
  </r>
  <r>
    <s v="KHA"/>
    <s v="Uỷ Ban Nhân Dân Xã Vạn Phước"/>
    <s v="NLMT"/>
    <n v="18181818"/>
    <d v="2024-12-01T00:00:00"/>
    <n v="12"/>
    <n v="2024"/>
    <s v="Duyên hải Nam Trung Bộ"/>
    <s v="Sở ban ngành"/>
    <x v="0"/>
    <s v="K"/>
    <n v="18.181818"/>
  </r>
  <r>
    <s v="QNH"/>
    <s v="Ủy Ban Nhân Dân Xã Vô Ngại"/>
    <s v="ICT"/>
    <n v="299940909"/>
    <d v="2024-12-01T00:00:00"/>
    <n v="12"/>
    <n v="2024"/>
    <s v="Đông Bắc Bộ"/>
    <s v="Sở ban ngành"/>
    <x v="1"/>
    <s v="B"/>
    <n v="299.94090899999998"/>
  </r>
  <r>
    <s v="CBG"/>
    <s v="UỶ BAN NHÂN DÂN XÃ VŨ NÔNG"/>
    <s v="ME"/>
    <n v="79772727"/>
    <d v="2024-12-01T00:00:00"/>
    <n v="12"/>
    <n v="2024"/>
    <s v="Đông Bắc Bộ"/>
    <s v="Sở ban ngành"/>
    <x v="0"/>
    <s v="O"/>
    <n v="79.772727000000003"/>
  </r>
  <r>
    <s v="LSN"/>
    <s v="Uỷ Ban Nhân Dân Xã Yên Thịnh"/>
    <s v="NLMT"/>
    <n v="36372000"/>
    <d v="2024-12-01T00:00:00"/>
    <n v="12"/>
    <n v="2024"/>
    <s v="Đông Bắc Bộ"/>
    <s v="Sở ban ngành"/>
    <x v="1"/>
    <s v="K"/>
    <n v="36.372"/>
  </r>
  <r>
    <s v="DNG"/>
    <s v="VĂN PHÒNG ĐĂNG KÝ ĐẤT ĐAI THÀNH PHỐ ĐÀ NẴNG"/>
    <s v="ICT"/>
    <n v="1071272727"/>
    <d v="2024-12-01T00:00:00"/>
    <n v="12"/>
    <n v="2024"/>
    <s v="Duyên hải Nam Trung Bộ"/>
    <s v="Sở ban ngành"/>
    <x v="0"/>
    <s v="F"/>
    <n v="1071.272727"/>
  </r>
  <r>
    <s v="PYN"/>
    <s v="VĂN PHÒNG ĐĂNG KÝ ĐẤT ĐAI TỈNH PHÚ YÊN"/>
    <s v="ICT"/>
    <n v="151272727"/>
    <d v="2024-12-01T00:00:00"/>
    <n v="12"/>
    <n v="2024"/>
    <s v="Duyên hải Nam Trung Bộ"/>
    <s v="Sở ban ngành"/>
    <x v="1"/>
    <s v="F"/>
    <n v="151.272727"/>
  </r>
  <r>
    <s v="TQG"/>
    <s v="Văn Phòng Đăng Ký Đất Đai Tỉnh Tuyên Quang"/>
    <s v="DVKT"/>
    <n v="14490909"/>
    <d v="2024-12-01T00:00:00"/>
    <n v="12"/>
    <n v="2024"/>
    <s v="Đông Bắc Bộ"/>
    <s v="Sở ban ngành"/>
    <x v="0"/>
    <s v="C"/>
    <n v="14.490909"/>
  </r>
  <r>
    <s v="BGG"/>
    <s v="VĂN PHÒNG HĐND-UBND HUYỆN HIỆP HÒA"/>
    <s v="ME"/>
    <n v="89860000"/>
    <d v="2024-12-01T00:00:00"/>
    <n v="12"/>
    <n v="2024"/>
    <s v="Đông Bắc Bộ"/>
    <s v="Sở ban ngành"/>
    <x v="1"/>
    <s v="H"/>
    <n v="89.86"/>
  </r>
  <r>
    <s v="BTN"/>
    <s v="VĂN PHÒNG TỈNH ỦY BÌNH THUẬN"/>
    <s v="DVKT"/>
    <n v="10227273"/>
    <d v="2024-12-01T00:00:00"/>
    <n v="12"/>
    <n v="2024"/>
    <s v="Duyên hải Nam Trung Bộ"/>
    <s v="Sở ban ngành"/>
    <x v="0"/>
    <s v="A"/>
    <n v="10.227273"/>
  </r>
  <r>
    <s v="DCN"/>
    <s v="VIỆN KIỂM SÁT NHÂN DÂN TỈNH ĐĂK NÔNG"/>
    <s v="ICT"/>
    <n v="310636364"/>
    <d v="2024-12-01T00:00:00"/>
    <n v="12"/>
    <n v="2024"/>
    <s v="Tây Nguyên"/>
    <s v="Sở ban ngành"/>
    <x v="1"/>
    <s v="F"/>
    <n v="310.63636400000001"/>
  </r>
  <r>
    <s v="DLK"/>
    <s v="PHÂN HIỆU HỌC VIỆN HÀNH CHÍNH QUỐC GIA TẠI TỈNH ĐẮK LẮK"/>
    <s v="ICT"/>
    <n v="162470000"/>
    <d v="2024-12-01T00:00:00"/>
    <n v="12"/>
    <n v="2024"/>
    <s v="Tây Nguyên"/>
    <s v="Trường học"/>
    <x v="0"/>
    <s v="F"/>
    <n v="162.47"/>
  </r>
  <r>
    <s v="DCN"/>
    <s v="TRƯỜNG CAO ĐẲNG CỘNG ĐỒNG ĐẮK NÔNG"/>
    <s v="ICT"/>
    <n v="384000000"/>
    <d v="2024-12-01T00:00:00"/>
    <n v="12"/>
    <n v="2024"/>
    <s v="Tây Nguyên"/>
    <s v="Trường học"/>
    <x v="1"/>
    <s v="F"/>
    <n v="384"/>
  </r>
  <r>
    <s v="TBH"/>
    <s v="TRƯỜNG MẦM NON NAM HƯNG"/>
    <s v="ME"/>
    <n v="85402727"/>
    <d v="2024-12-01T00:00:00"/>
    <n v="12"/>
    <n v="2024"/>
    <s v="ĐB Sông Hồng"/>
    <s v="Trường học"/>
    <x v="0"/>
    <s v="C"/>
    <n v="85.402726999999999"/>
  </r>
  <r>
    <s v="KHA"/>
    <s v="Trường Mầm Non Ninh Hưng"/>
    <s v="ICT"/>
    <n v="18731818"/>
    <d v="2024-12-01T00:00:00"/>
    <n v="12"/>
    <n v="2024"/>
    <s v="Duyên hải Nam Trung Bộ"/>
    <s v="Trường học"/>
    <x v="1"/>
    <s v="A"/>
    <n v="18.731818000000001"/>
  </r>
  <r>
    <s v="NAN"/>
    <s v="Trường Mầm Non Tân Sơn"/>
    <s v="ICT"/>
    <n v="12848821"/>
    <d v="2024-12-01T00:00:00"/>
    <n v="12"/>
    <n v="2024"/>
    <s v="Bắc Trung Bộ"/>
    <s v="Trường học"/>
    <x v="0"/>
    <s v="A"/>
    <n v="12.848820999999999"/>
  </r>
  <r>
    <s v="LDG"/>
    <s v="Trường Mẫu Giáo Gia Lâm"/>
    <s v="ICT"/>
    <n v="8500000"/>
    <d v="2024-12-01T00:00:00"/>
    <n v="12"/>
    <n v="2024"/>
    <s v="Tây Nguyên"/>
    <s v="Trường học"/>
    <x v="1"/>
    <s v="A"/>
    <n v="8.5"/>
  </r>
  <r>
    <s v="CBG"/>
    <s v="TRƯỜNG PHỔ THÔNG DÂN TỘC BÁN TRÚ TIỂU HỌC VÀ TRUNG HỌC CƠ SỞ QUANG TRỌNG"/>
    <s v="ICT"/>
    <n v="224556482"/>
    <d v="2024-12-01T00:00:00"/>
    <n v="12"/>
    <n v="2024"/>
    <s v="Đông Bắc Bộ"/>
    <s v="Trường học"/>
    <x v="0"/>
    <s v="F"/>
    <n v="224.55648199999999"/>
  </r>
  <r>
    <s v="LCU"/>
    <s v="Trường Ptdtbt Th Khun Há"/>
    <s v="Smarthome"/>
    <n v="87676000"/>
    <d v="2024-12-01T00:00:00"/>
    <n v="12"/>
    <n v="2024"/>
    <s v="Tây Bắc Bộ"/>
    <s v="Trường học"/>
    <x v="1"/>
    <s v="H"/>
    <n v="87.676000000000002"/>
  </r>
  <r>
    <s v="LCU"/>
    <s v="Trường Ptdtbt Thcs Khun Há"/>
    <s v="Smarthome"/>
    <n v="129100000"/>
    <d v="2024-12-01T00:00:00"/>
    <n v="12"/>
    <n v="2024"/>
    <s v="Tây Bắc Bộ"/>
    <s v="Trường học"/>
    <x v="0"/>
    <s v="H"/>
    <n v="129.1"/>
  </r>
  <r>
    <s v="BGG"/>
    <s v="Trường Thcs Cao Thượng"/>
    <s v="ICT"/>
    <n v="21070000"/>
    <d v="2024-12-01T00:00:00"/>
    <n v="12"/>
    <n v="2024"/>
    <s v="Đông Bắc Bộ"/>
    <s v="Trường học"/>
    <x v="1"/>
    <s v="A"/>
    <n v="21.07"/>
  </r>
  <r>
    <s v="NAN"/>
    <s v="Trường Thcs Diễn Kim"/>
    <s v="ICT"/>
    <n v="13568182"/>
    <d v="2024-12-01T00:00:00"/>
    <n v="12"/>
    <n v="2024"/>
    <s v="Bắc Trung Bộ"/>
    <s v="Trường học"/>
    <x v="0"/>
    <s v="A"/>
    <n v="13.568182"/>
  </r>
  <r>
    <s v="LCI"/>
    <s v="Trường Thcs Khánh Yên Hạ"/>
    <s v="ICT"/>
    <n v="166863636"/>
    <d v="2024-12-01T00:00:00"/>
    <n v="12"/>
    <n v="2024"/>
    <s v="Tây Bắc Bộ"/>
    <s v="Trường học"/>
    <x v="1"/>
    <s v="F"/>
    <n v="166.86363600000001"/>
  </r>
  <r>
    <s v="NAN"/>
    <s v="TRƯỜNG THCS LONG LỘC"/>
    <s v="ICT"/>
    <n v="10330409"/>
    <d v="2024-12-01T00:00:00"/>
    <n v="12"/>
    <n v="2024"/>
    <s v="Bắc Trung Bộ"/>
    <s v="Trường học"/>
    <x v="0"/>
    <s v="A"/>
    <n v="10.330409"/>
  </r>
  <r>
    <s v="BTE"/>
    <s v="TRƯỜNG THCS NGUYỄN THỊ HAI"/>
    <s v="ICT"/>
    <n v="17909091"/>
    <d v="2024-12-01T00:00:00"/>
    <n v="12"/>
    <n v="2024"/>
    <s v="ĐB Sông Cửu Long"/>
    <s v="Trường học"/>
    <x v="1"/>
    <s v="A"/>
    <n v="17.909091"/>
  </r>
  <r>
    <s v="TVH"/>
    <s v="Trường THPT Nguyễn Văn Hai"/>
    <s v="DVKT"/>
    <n v="54628182"/>
    <d v="2024-12-01T00:00:00"/>
    <n v="12"/>
    <n v="2024"/>
    <s v="ĐB Sông Cửu Long"/>
    <s v="Trường học"/>
    <x v="0"/>
    <s v="A"/>
    <n v="54.628182000000002"/>
  </r>
  <r>
    <s v="CBG"/>
    <s v="Trường Tiểu Học &amp; Thcs Đức Quang"/>
    <s v="ICT"/>
    <n v="114003636"/>
    <d v="2024-12-01T00:00:00"/>
    <n v="12"/>
    <n v="2024"/>
    <s v="Đông Bắc Bộ"/>
    <s v="Trường học"/>
    <x v="1"/>
    <s v="F"/>
    <n v="114.003636"/>
  </r>
  <r>
    <s v="NAN"/>
    <s v="TRƯỜNG TIỂU HỌC BẾN THUỶ"/>
    <s v="ICT"/>
    <n v="26045455"/>
    <d v="2024-12-01T00:00:00"/>
    <n v="12"/>
    <n v="2024"/>
    <s v="Bắc Trung Bộ"/>
    <s v="Trường học"/>
    <x v="0"/>
    <s v="B"/>
    <n v="26.045455"/>
  </r>
  <r>
    <s v="NAN"/>
    <s v="Trường Tiểu Học Diễn Kim"/>
    <s v="Smarthome"/>
    <n v="78409091"/>
    <d v="2024-12-01T00:00:00"/>
    <n v="12"/>
    <n v="2024"/>
    <s v="Bắc Trung Bộ"/>
    <s v="Trường học"/>
    <x v="1"/>
    <s v="L"/>
    <n v="78.409091000000004"/>
  </r>
  <r>
    <s v="DNG"/>
    <s v="Trường Tiểu Học Hoàng Văn Thụ"/>
    <s v="DVKT"/>
    <n v="4659091"/>
    <d v="2024-12-01T00:00:00"/>
    <n v="12"/>
    <n v="2024"/>
    <s v="Duyên hải Nam Trung Bộ"/>
    <s v="Trường học"/>
    <x v="0"/>
    <s v="C"/>
    <n v="4.6590910000000001"/>
  </r>
  <r>
    <s v="BGG"/>
    <s v="TRƯỜNG TIỂU HỌC NGỌC LÝ"/>
    <s v="Smarthome"/>
    <n v="87760000"/>
    <d v="2024-12-01T00:00:00"/>
    <n v="12"/>
    <n v="2024"/>
    <s v="Đông Bắc Bộ"/>
    <s v="Trường học"/>
    <x v="1"/>
    <s v="H"/>
    <n v="87.76"/>
  </r>
  <r>
    <s v="AGG"/>
    <s v="TRƯỜNG TIỂU HỌC QUANG TRUNG"/>
    <s v="Smarthome"/>
    <n v="77727273"/>
    <d v="2024-12-01T00:00:00"/>
    <n v="12"/>
    <n v="2024"/>
    <s v="ĐB Sông Cửu Long"/>
    <s v="Trường học"/>
    <x v="0"/>
    <s v="I"/>
    <n v="77.727272999999997"/>
  </r>
  <r>
    <s v="NAN"/>
    <s v="Trường Tiểu Học Quỳnh Hưng"/>
    <s v="ICT"/>
    <n v="35904545"/>
    <d v="2024-12-01T00:00:00"/>
    <n v="12"/>
    <n v="2024"/>
    <s v="Bắc Trung Bộ"/>
    <s v="Trường học"/>
    <x v="1"/>
    <s v="B"/>
    <n v="35.904544999999999"/>
  </r>
  <r>
    <s v="NAN"/>
    <s v="TRƯỜNG TIỂU HỌC QUỲNH THANH B"/>
    <s v="ICT"/>
    <n v="39618182"/>
    <d v="2024-12-01T00:00:00"/>
    <n v="12"/>
    <n v="2024"/>
    <s v="Bắc Trung Bộ"/>
    <s v="Trường học"/>
    <x v="0"/>
    <s v="A"/>
    <n v="39.618181999999997"/>
  </r>
  <r>
    <s v="LCI"/>
    <s v="TRƯỜNG TIỂU HỌC SỐ 1 KHÁNH YÊN HẠ"/>
    <s v="ICT"/>
    <n v="152632727"/>
    <d v="2024-12-01T00:00:00"/>
    <n v="12"/>
    <n v="2024"/>
    <s v="Tây Bắc Bộ"/>
    <s v="Trường học"/>
    <x v="1"/>
    <s v="F"/>
    <n v="152.63272699999999"/>
  </r>
  <r>
    <s v="PTO"/>
    <s v="Trường Tiểu Học Tân Dân"/>
    <s v="ICT"/>
    <n v="5816364"/>
    <d v="2024-12-01T00:00:00"/>
    <n v="12"/>
    <n v="2024"/>
    <s v="Đông Bắc Bộ"/>
    <s v="Trường học"/>
    <x v="0"/>
    <s v="F"/>
    <n v="5.8163640000000001"/>
  </r>
  <r>
    <s v="BNH"/>
    <s v="TRƯỜNG TIỂU HỌC THỊ CẦU"/>
    <s v="ICT"/>
    <n v="44350000"/>
    <d v="2024-12-01T00:00:00"/>
    <n v="12"/>
    <n v="2024"/>
    <s v="ĐB Sông Hồng"/>
    <s v="Trường học"/>
    <x v="1"/>
    <s v="A"/>
    <n v="44.35"/>
  </r>
  <r>
    <s v="DBN"/>
    <s v="Trường Tiểu Học Thị Trấn Điện Biên Đông"/>
    <s v="ICT"/>
    <n v="16350000"/>
    <d v="2024-12-01T00:00:00"/>
    <n v="12"/>
    <n v="2024"/>
    <s v="Tây Bắc Bộ"/>
    <s v="Trường học"/>
    <x v="0"/>
    <s v="A"/>
    <n v="16.350000000000001"/>
  </r>
  <r>
    <s v="CBG"/>
    <s v="TRƯỜNG TIỂU HỌC VÀ TRUNG HỌC CƠ SỞ LÊ LỢI"/>
    <s v="ICT"/>
    <n v="276280264"/>
    <d v="2024-12-01T00:00:00"/>
    <n v="12"/>
    <n v="2024"/>
    <s v="Đông Bắc Bộ"/>
    <s v="Trường học"/>
    <x v="1"/>
    <s v="F"/>
    <n v="276.28026399999999"/>
  </r>
  <r>
    <s v="CBG"/>
    <s v="TRƯỜNG TIỂU HỌC VÀ TRUNG HỌC CƠ SỞ THỤY HÙNG"/>
    <s v="ICT"/>
    <n v="180562691"/>
    <d v="2024-12-01T00:00:00"/>
    <n v="12"/>
    <n v="2024"/>
    <s v="Đông Bắc Bộ"/>
    <s v="Trường học"/>
    <x v="0"/>
    <s v="F"/>
    <n v="180.562691"/>
  </r>
  <r>
    <s v="CBG"/>
    <s v="Trường Tiểu Học Và Trung Học Cơ Sở Trọng Con"/>
    <s v="ICT"/>
    <n v="341145455"/>
    <d v="2024-12-01T00:00:00"/>
    <n v="12"/>
    <n v="2024"/>
    <s v="Đông Bắc Bộ"/>
    <s v="Trường học"/>
    <x v="1"/>
    <s v="F"/>
    <n v="341.14545500000003"/>
  </r>
  <r>
    <s v="PTO"/>
    <s v="TRƯỜNG TIỂU HỌC VÕ MIẾU 2"/>
    <s v="ME"/>
    <n v="45300620"/>
    <d v="2024-12-01T00:00:00"/>
    <n v="12"/>
    <n v="2024"/>
    <s v="Đông Bắc Bộ"/>
    <s v="Trường học"/>
    <x v="0"/>
    <s v="I"/>
    <n v="45.300620000000002"/>
  </r>
  <r>
    <s v="TVH"/>
    <s v="Trường Trung Học Cơ Sở Hòa Ân"/>
    <s v="ICT"/>
    <n v="26363636"/>
    <d v="2024-12-01T00:00:00"/>
    <n v="12"/>
    <n v="2024"/>
    <s v="ĐB Sông Cửu Long"/>
    <s v="Trường học"/>
    <x v="1"/>
    <s v="F"/>
    <n v="26.363636"/>
  </r>
  <r>
    <s v="QNM"/>
    <s v="TRƯỜNG TRUNG HỌC CƠ SỞ HUỲNH THÚC KHÁNG"/>
    <s v="ICT"/>
    <n v="1901645455"/>
    <d v="2024-12-01T00:00:00"/>
    <n v="12"/>
    <n v="2024"/>
    <s v="Duyên hải Nam Trung Bộ"/>
    <s v="Trường học"/>
    <x v="0"/>
    <s v="F"/>
    <n v="1901.6454550000001"/>
  </r>
  <r>
    <s v="CBG"/>
    <s v="TRƯỜNG TRUNG HỌC CƠ SỞ KIM ĐỒNG"/>
    <s v="ICT"/>
    <n v="244402391"/>
    <d v="2024-12-01T00:00:00"/>
    <n v="12"/>
    <n v="2024"/>
    <s v="Đông Bắc Bộ"/>
    <s v="Trường học"/>
    <x v="1"/>
    <s v="F"/>
    <n v="244.40239099999999"/>
  </r>
  <r>
    <s v="QNM"/>
    <s v="TRƯỜNG TRUNG HỌC CƠ SỞ LÊ HỒNG PHONG"/>
    <s v="ICT"/>
    <n v="1122290682"/>
    <d v="2024-12-01T00:00:00"/>
    <n v="12"/>
    <n v="2024"/>
    <s v="Duyên hải Nam Trung Bộ"/>
    <s v="Trường học"/>
    <x v="0"/>
    <s v="F"/>
    <n v="1122.2906820000001"/>
  </r>
  <r>
    <s v="QNM"/>
    <s v="TRƯỜNG TRUNG HỌC CƠ SỞ NGUYỄN HUỆ"/>
    <s v="ICT"/>
    <n v="723190909"/>
    <d v="2024-12-01T00:00:00"/>
    <n v="12"/>
    <n v="2024"/>
    <s v="Duyên hải Nam Trung Bộ"/>
    <s v="Trường học"/>
    <x v="1"/>
    <s v="F"/>
    <n v="723.19090900000003"/>
  </r>
  <r>
    <s v="NAN"/>
    <s v="Trường Trung Học Cơ Sở Quỳnh Long"/>
    <s v="ICT"/>
    <n v="39254545"/>
    <d v="2024-12-01T00:00:00"/>
    <n v="12"/>
    <n v="2024"/>
    <s v="Bắc Trung Bộ"/>
    <s v="Trường học"/>
    <x v="0"/>
    <s v="A"/>
    <n v="39.254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15:D29" firstHeaderRow="1" firstDataRow="2" firstDataCol="1"/>
  <pivotFields count="11">
    <pivotField showAll="0"/>
    <pivotField showAll="0"/>
    <pivotField showAll="0">
      <items count="7">
        <item x="5"/>
        <item x="2"/>
        <item x="0"/>
        <item x="1"/>
        <item x="4"/>
        <item x="3"/>
        <item t="default"/>
      </items>
    </pivotField>
    <pivotField numFmtId="3" showAll="0"/>
    <pivotField numFmtId="14" showAll="0"/>
    <pivotField axis="axisRow" showAll="0">
      <items count="13">
        <item x="0"/>
        <item x="1"/>
        <item x="2"/>
        <item x="3"/>
        <item x="4"/>
        <item x="5"/>
        <item x="6"/>
        <item x="7"/>
        <item x="8"/>
        <item x="9"/>
        <item x="10"/>
        <item x="11"/>
        <item t="default"/>
      </items>
    </pivotField>
    <pivotField axis="axisCol" numFmtId="3" showAll="0">
      <items count="3">
        <item x="0"/>
        <item x="1"/>
        <item t="default"/>
      </items>
    </pivotField>
    <pivotField showAll="0"/>
    <pivotField showAll="0">
      <items count="8">
        <item x="0"/>
        <item x="1"/>
        <item m="1" x="6"/>
        <item m="1" x="5"/>
        <item x="3"/>
        <item x="2"/>
        <item x="4"/>
        <item t="default"/>
      </items>
    </pivotField>
    <pivotField showAll="0"/>
    <pivotField dataField="1" numFmtId="3" showAll="0"/>
  </pivotFields>
  <rowFields count="1">
    <field x="5"/>
  </rowFields>
  <rowItems count="13">
    <i>
      <x/>
    </i>
    <i>
      <x v="1"/>
    </i>
    <i>
      <x v="2"/>
    </i>
    <i>
      <x v="3"/>
    </i>
    <i>
      <x v="4"/>
    </i>
    <i>
      <x v="5"/>
    </i>
    <i>
      <x v="6"/>
    </i>
    <i>
      <x v="7"/>
    </i>
    <i>
      <x v="8"/>
    </i>
    <i>
      <x v="9"/>
    </i>
    <i>
      <x v="10"/>
    </i>
    <i>
      <x v="11"/>
    </i>
    <i t="grand">
      <x/>
    </i>
  </rowItems>
  <colFields count="1">
    <field x="6"/>
  </colFields>
  <colItems count="3">
    <i>
      <x/>
    </i>
    <i>
      <x v="1"/>
    </i>
    <i t="grand">
      <x/>
    </i>
  </colItems>
  <dataFields count="1">
    <dataField name="Sum of Nguồn việc" fld="10" baseField="0" baseItem="0" numFmtId="164"/>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5">
    <chartFormat chart="0" format="4" series="1">
      <pivotArea type="data" outline="0" fieldPosition="0">
        <references count="2">
          <reference field="4294967294" count="1" selected="0">
            <x v="0"/>
          </reference>
          <reference field="6" count="1" selected="0">
            <x v="0"/>
          </reference>
        </references>
      </pivotArea>
    </chartFormat>
    <chartFormat chart="0" format="5" series="1">
      <pivotArea type="data" outline="0" fieldPosition="0">
        <references count="2">
          <reference field="4294967294" count="1" selected="0">
            <x v="0"/>
          </reference>
          <reference field="6" count="1" selected="0">
            <x v="1"/>
          </reference>
        </references>
      </pivotArea>
    </chartFormat>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6">
  <location ref="I3:J66" firstHeaderRow="1" firstDataRow="1" firstDataCol="1"/>
  <pivotFields count="11">
    <pivotField axis="axisRow" showAll="0">
      <items count="64">
        <item x="30"/>
        <item x="26"/>
        <item x="1"/>
        <item x="33"/>
        <item x="53"/>
        <item x="37"/>
        <item x="52"/>
        <item x="5"/>
        <item x="49"/>
        <item x="20"/>
        <item x="41"/>
        <item x="56"/>
        <item x="2"/>
        <item x="42"/>
        <item x="18"/>
        <item x="31"/>
        <item x="9"/>
        <item x="43"/>
        <item x="32"/>
        <item x="38"/>
        <item x="50"/>
        <item x="11"/>
        <item x="28"/>
        <item x="60"/>
        <item x="14"/>
        <item x="16"/>
        <item x="55"/>
        <item x="27"/>
        <item x="22"/>
        <item x="57"/>
        <item x="61"/>
        <item x="46"/>
        <item x="15"/>
        <item x="58"/>
        <item x="3"/>
        <item x="54"/>
        <item x="12"/>
        <item x="25"/>
        <item x="35"/>
        <item x="0"/>
        <item x="36"/>
        <item x="51"/>
        <item x="19"/>
        <item x="6"/>
        <item x="17"/>
        <item x="7"/>
        <item x="21"/>
        <item x="23"/>
        <item x="10"/>
        <item x="62"/>
        <item x="34"/>
        <item x="45"/>
        <item x="24"/>
        <item x="29"/>
        <item x="44"/>
        <item x="4"/>
        <item x="48"/>
        <item x="47"/>
        <item x="40"/>
        <item x="39"/>
        <item x="59"/>
        <item x="8"/>
        <item x="13"/>
        <item t="default"/>
      </items>
    </pivotField>
    <pivotField showAll="0"/>
    <pivotField showAll="0">
      <items count="7">
        <item x="5"/>
        <item x="2"/>
        <item x="0"/>
        <item x="1"/>
        <item x="4"/>
        <item x="3"/>
        <item t="default"/>
      </items>
    </pivotField>
    <pivotField numFmtId="3" showAll="0"/>
    <pivotField numFmtId="14" showAll="0"/>
    <pivotField showAll="0">
      <items count="13">
        <item x="0"/>
        <item x="1"/>
        <item x="2"/>
        <item x="3"/>
        <item x="4"/>
        <item x="5"/>
        <item x="6"/>
        <item x="7"/>
        <item x="8"/>
        <item x="9"/>
        <item x="10"/>
        <item x="11"/>
        <item t="default"/>
      </items>
    </pivotField>
    <pivotField numFmtId="3" showAll="0">
      <items count="3">
        <item x="0"/>
        <item x="1"/>
        <item t="default"/>
      </items>
    </pivotField>
    <pivotField showAll="0"/>
    <pivotField showAll="0">
      <items count="8">
        <item x="0"/>
        <item x="1"/>
        <item m="1" x="6"/>
        <item m="1" x="5"/>
        <item x="3"/>
        <item x="2"/>
        <item x="4"/>
        <item t="default"/>
      </items>
    </pivotField>
    <pivotField showAll="0"/>
    <pivotField dataField="1" numFmtId="3" showAll="0"/>
  </pivotFields>
  <rowFields count="1">
    <field x="0"/>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rowItems>
  <colItems count="1">
    <i/>
  </colItems>
  <dataFields count="1">
    <dataField name="Sum of Nguồn việc" fld="10" baseField="0" baseItem="0" numFmtId="164"/>
  </dataFields>
  <formats count="3">
    <format dxfId="5">
      <pivotArea outline="0" collapsedLevelsAreSubtotals="1" fieldPosition="0"/>
    </format>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2FDA95-B93E-4AC3-899C-53C4A544D7A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6" firstHeaderRow="1" firstDataRow="1" firstDataCol="1"/>
  <pivotFields count="12">
    <pivotField showAll="0"/>
    <pivotField showAll="0"/>
    <pivotField showAll="0"/>
    <pivotField numFmtId="3" showAll="0"/>
    <pivotField numFmtId="14" showAll="0"/>
    <pivotField showAll="0"/>
    <pivotField numFmtId="3" showAll="0"/>
    <pivotField showAll="0"/>
    <pivotField showAll="0"/>
    <pivotField axis="axisRow" showAll="0">
      <items count="3">
        <item x="1"/>
        <item x="0"/>
        <item t="default"/>
      </items>
    </pivotField>
    <pivotField showAll="0"/>
    <pivotField dataField="1" numFmtId="3" showAll="0"/>
  </pivotFields>
  <rowFields count="1">
    <field x="9"/>
  </rowFields>
  <rowItems count="3">
    <i>
      <x/>
    </i>
    <i>
      <x v="1"/>
    </i>
    <i t="grand">
      <x/>
    </i>
  </rowItems>
  <colItems count="1">
    <i/>
  </colItems>
  <dataFields count="1">
    <dataField name="Sum of Nguồn việc"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F13:G34" firstHeaderRow="1" firstDataRow="1" firstDataCol="1"/>
  <pivotFields count="11">
    <pivotField showAll="0"/>
    <pivotField showAll="0"/>
    <pivotField showAll="0">
      <items count="7">
        <item x="5"/>
        <item x="2"/>
        <item x="0"/>
        <item x="1"/>
        <item x="4"/>
        <item x="3"/>
        <item t="default"/>
      </items>
    </pivotField>
    <pivotField numFmtId="3" showAll="0"/>
    <pivotField numFmtId="14" showAll="0"/>
    <pivotField showAll="0">
      <items count="13">
        <item x="0"/>
        <item x="1"/>
        <item x="2"/>
        <item x="3"/>
        <item x="4"/>
        <item x="5"/>
        <item x="6"/>
        <item x="7"/>
        <item x="8"/>
        <item x="9"/>
        <item x="10"/>
        <item x="11"/>
        <item t="default"/>
      </items>
    </pivotField>
    <pivotField numFmtId="3" showAll="0">
      <items count="3">
        <item x="0"/>
        <item x="1"/>
        <item t="default"/>
      </items>
    </pivotField>
    <pivotField showAll="0"/>
    <pivotField showAll="0">
      <items count="8">
        <item x="0"/>
        <item x="1"/>
        <item m="1" x="6"/>
        <item m="1" x="5"/>
        <item x="3"/>
        <item x="2"/>
        <item x="4"/>
        <item t="default"/>
      </items>
    </pivotField>
    <pivotField axis="axisRow" showAll="0">
      <items count="41">
        <item m="1" x="36"/>
        <item m="1" x="20"/>
        <item m="1" x="34"/>
        <item m="1" x="27"/>
        <item m="1" x="28"/>
        <item m="1" x="30"/>
        <item m="1" x="21"/>
        <item m="1" x="29"/>
        <item m="1" x="37"/>
        <item m="1" x="32"/>
        <item m="1" x="33"/>
        <item m="1" x="26"/>
        <item m="1" x="24"/>
        <item m="1" x="23"/>
        <item m="1" x="25"/>
        <item m="1" x="35"/>
        <item m="1" x="38"/>
        <item m="1" x="22"/>
        <item m="1" x="39"/>
        <item m="1" x="31"/>
        <item x="0"/>
        <item x="1"/>
        <item x="2"/>
        <item x="3"/>
        <item x="4"/>
        <item x="5"/>
        <item x="6"/>
        <item x="7"/>
        <item x="8"/>
        <item x="9"/>
        <item x="10"/>
        <item x="11"/>
        <item x="12"/>
        <item x="13"/>
        <item x="14"/>
        <item x="15"/>
        <item x="16"/>
        <item x="17"/>
        <item x="18"/>
        <item x="19"/>
        <item t="default"/>
      </items>
    </pivotField>
    <pivotField dataField="1" numFmtId="3" showAll="0"/>
  </pivotFields>
  <rowFields count="1">
    <field x="9"/>
  </rowFields>
  <rowItems count="21">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Nguồn việc" fld="10" baseField="0" baseItem="0" numFmtId="164"/>
  </dataFields>
  <formats count="3">
    <format dxfId="8">
      <pivotArea outline="0" collapsedLevelsAreSubtotals="1" fieldPosition="0"/>
    </format>
    <format dxfId="7">
      <pivotArea outline="0" collapsedLevelsAreSubtotals="1" fieldPosition="0"/>
    </format>
    <format dxfId="6">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6:B13" firstHeaderRow="1" firstDataRow="1" firstDataCol="1"/>
  <pivotFields count="11">
    <pivotField showAll="0"/>
    <pivotField showAll="0"/>
    <pivotField axis="axisRow" showAll="0">
      <items count="7">
        <item x="5"/>
        <item x="2"/>
        <item x="0"/>
        <item x="1"/>
        <item x="4"/>
        <item x="3"/>
        <item t="default"/>
      </items>
    </pivotField>
    <pivotField numFmtId="3" showAll="0"/>
    <pivotField numFmtId="14" showAll="0"/>
    <pivotField showAll="0">
      <items count="13">
        <item x="0"/>
        <item x="1"/>
        <item x="2"/>
        <item x="3"/>
        <item x="4"/>
        <item x="5"/>
        <item x="6"/>
        <item x="7"/>
        <item x="8"/>
        <item x="9"/>
        <item x="10"/>
        <item x="11"/>
        <item t="default"/>
      </items>
    </pivotField>
    <pivotField numFmtId="3" showAll="0">
      <items count="3">
        <item x="0"/>
        <item x="1"/>
        <item t="default"/>
      </items>
    </pivotField>
    <pivotField showAll="0"/>
    <pivotField showAll="0">
      <items count="8">
        <item x="0"/>
        <item x="1"/>
        <item m="1" x="6"/>
        <item m="1" x="5"/>
        <item x="3"/>
        <item x="2"/>
        <item x="4"/>
        <item t="default"/>
      </items>
    </pivotField>
    <pivotField showAll="0"/>
    <pivotField dataField="1" numFmtId="3" showAll="0"/>
  </pivotFields>
  <rowFields count="1">
    <field x="2"/>
  </rowFields>
  <rowItems count="7">
    <i>
      <x/>
    </i>
    <i>
      <x v="1"/>
    </i>
    <i>
      <x v="2"/>
    </i>
    <i>
      <x v="3"/>
    </i>
    <i>
      <x v="4"/>
    </i>
    <i>
      <x v="5"/>
    </i>
    <i t="grand">
      <x/>
    </i>
  </rowItems>
  <colItems count="1">
    <i/>
  </colItems>
  <dataFields count="1">
    <dataField name="Sum of Nguồn việc" fld="10" baseField="0" baseItem="0" numFmtId="164"/>
  </dataFields>
  <formats count="3">
    <format dxfId="11">
      <pivotArea outline="0" collapsedLevelsAreSubtotals="1" fieldPosition="0"/>
    </format>
    <format dxfId="10">
      <pivotArea outline="0" collapsedLevelsAreSubtotals="1" fieldPosition="0"/>
    </format>
    <format dxfId="9">
      <pivotArea outline="0" collapsedLevelsAreSubtotals="1" fieldPosition="0"/>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F3:G9" firstHeaderRow="1" firstDataRow="1" firstDataCol="1"/>
  <pivotFields count="11">
    <pivotField showAll="0"/>
    <pivotField showAll="0"/>
    <pivotField showAll="0">
      <items count="7">
        <item x="5"/>
        <item x="2"/>
        <item x="0"/>
        <item x="1"/>
        <item x="4"/>
        <item x="3"/>
        <item t="default"/>
      </items>
    </pivotField>
    <pivotField numFmtId="3" showAll="0"/>
    <pivotField numFmtId="14" showAll="0"/>
    <pivotField showAll="0">
      <items count="13">
        <item x="0"/>
        <item x="1"/>
        <item x="2"/>
        <item x="3"/>
        <item x="4"/>
        <item x="5"/>
        <item x="6"/>
        <item x="7"/>
        <item x="8"/>
        <item x="9"/>
        <item x="10"/>
        <item x="11"/>
        <item t="default"/>
      </items>
    </pivotField>
    <pivotField numFmtId="3" showAll="0">
      <items count="3">
        <item x="0"/>
        <item x="1"/>
        <item t="default"/>
      </items>
    </pivotField>
    <pivotField showAll="0"/>
    <pivotField axis="axisRow" showAll="0">
      <items count="8">
        <item x="0"/>
        <item x="1"/>
        <item m="1" x="6"/>
        <item m="1" x="5"/>
        <item x="2"/>
        <item x="4"/>
        <item x="3"/>
        <item t="default"/>
      </items>
    </pivotField>
    <pivotField showAll="0"/>
    <pivotField dataField="1" numFmtId="3" showAll="0"/>
  </pivotFields>
  <rowFields count="1">
    <field x="8"/>
  </rowFields>
  <rowItems count="6">
    <i>
      <x/>
    </i>
    <i>
      <x v="1"/>
    </i>
    <i>
      <x v="4"/>
    </i>
    <i>
      <x v="5"/>
    </i>
    <i>
      <x v="6"/>
    </i>
    <i t="grand">
      <x/>
    </i>
  </rowItems>
  <colItems count="1">
    <i/>
  </colItems>
  <dataFields count="1">
    <dataField name="Sum of Nguồn việc" fld="10" baseField="0" baseItem="0" numFmtId="164"/>
  </dataFields>
  <formats count="3">
    <format dxfId="14">
      <pivotArea outline="0" collapsedLevelsAreSubtotals="1" fieldPosition="0"/>
    </format>
    <format dxfId="13">
      <pivotArea outline="0" collapsedLevelsAreSubtotals="1" fieldPosition="0"/>
    </format>
    <format dxfId="1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11">
    <pivotField showAll="0"/>
    <pivotField showAll="0"/>
    <pivotField showAll="0">
      <items count="7">
        <item x="5"/>
        <item x="2"/>
        <item x="0"/>
        <item x="1"/>
        <item x="4"/>
        <item x="3"/>
        <item t="default"/>
      </items>
    </pivotField>
    <pivotField numFmtId="3" showAll="0"/>
    <pivotField numFmtId="14" showAll="0"/>
    <pivotField showAll="0">
      <items count="13">
        <item x="0"/>
        <item x="1"/>
        <item x="2"/>
        <item x="3"/>
        <item x="4"/>
        <item x="5"/>
        <item x="6"/>
        <item x="7"/>
        <item x="8"/>
        <item x="9"/>
        <item x="10"/>
        <item x="11"/>
        <item t="default"/>
      </items>
    </pivotField>
    <pivotField numFmtId="3" showAll="0">
      <items count="3">
        <item x="0"/>
        <item x="1"/>
        <item t="default"/>
      </items>
    </pivotField>
    <pivotField showAll="0"/>
    <pivotField showAll="0">
      <items count="8">
        <item x="0"/>
        <item x="1"/>
        <item m="1" x="6"/>
        <item m="1" x="5"/>
        <item x="3"/>
        <item x="2"/>
        <item x="4"/>
        <item t="default"/>
      </items>
    </pivotField>
    <pivotField showAll="0"/>
    <pivotField dataField="1" numFmtId="3" showAll="0"/>
  </pivotFields>
  <rowItems count="1">
    <i/>
  </rowItems>
  <colItems count="1">
    <i/>
  </colItems>
  <dataFields count="1">
    <dataField name="Sum of Nguồn việc" fld="10" baseField="0" baseItem="0" numFmtId="164"/>
  </dataFields>
  <formats count="3">
    <format dxfId="17">
      <pivotArea outline="0" collapsedLevelsAreSubtotals="1" fieldPosition="0"/>
    </format>
    <format dxfId="16">
      <pivotArea outline="0" collapsedLevelsAreSubtotals="1"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ĩnh_vực" xr10:uid="{00000000-0013-0000-FFFF-FFFF01000000}" sourceName="Lĩnh vực">
  <pivotTables>
    <pivotTable tabId="5" name="PivotTable4"/>
    <pivotTable tabId="5" name="PivotTable2"/>
    <pivotTable tabId="5" name="PivotTable3"/>
    <pivotTable tabId="5" name="PivotTable5"/>
    <pivotTable tabId="5" name="PivotTable6"/>
    <pivotTable tabId="5" name="PivotTable7"/>
  </pivotTables>
  <data>
    <tabular pivotCacheId="1">
      <items count="6">
        <i x="5" s="1"/>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00000000-0013-0000-FFFF-FFFF02000000}" sourceName="Tháng">
  <pivotTables>
    <pivotTable tabId="5" name="PivotTable4"/>
    <pivotTable tabId="5" name="PivotTable2"/>
    <pivotTable tabId="5" name="PivotTable3"/>
    <pivotTable tabId="5" name="PivotTable5"/>
    <pivotTable tabId="5" name="PivotTable6"/>
    <pivotTable tabId="5" name="PivotTable7"/>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ăm" xr10:uid="{00000000-0013-0000-FFFF-FFFF03000000}" sourceName="Năm">
  <pivotTables>
    <pivotTable tabId="5" name="PivotTable4"/>
    <pivotTable tabId="5" name="PivotTable2"/>
    <pivotTable tabId="5" name="PivotTable3"/>
    <pivotTable tabId="5" name="PivotTable5"/>
    <pivotTable tabId="5" name="PivotTable6"/>
    <pivotTable tabId="5" name="PivotTable7"/>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Đối_tượng_KH" xr10:uid="{00000000-0013-0000-FFFF-FFFF05000000}" sourceName="Đối tượng KH">
  <pivotTables>
    <pivotTable tabId="5" name="PivotTable4"/>
    <pivotTable tabId="5" name="PivotTable2"/>
    <pivotTable tabId="5" name="PivotTable3"/>
    <pivotTable tabId="5" name="PivotTable5"/>
    <pivotTable tabId="5" name="PivotTable6"/>
    <pivotTable tabId="5" name="PivotTable7"/>
  </pivotTables>
  <data>
    <tabular pivotCacheId="1">
      <items count="7">
        <i x="0" s="1"/>
        <i x="1" s="1"/>
        <i x="3" s="1"/>
        <i x="2" s="1"/>
        <i x="4" s="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ĩnh vực" xr10:uid="{00000000-0014-0000-FFFF-FFFF01000000}" cache="Slicer_Lĩnh_vực" caption="Lĩnh vực" columnCount="2" rowHeight="257175"/>
  <slicer name="Tháng" xr10:uid="{00000000-0014-0000-FFFF-FFFF02000000}" cache="Slicer_Tháng" caption="Tháng" columnCount="3" rowHeight="257175"/>
  <slicer name="Năm" xr10:uid="{00000000-0014-0000-FFFF-FFFF03000000}" cache="Slicer_Năm" caption="Năm" rowHeight="257175"/>
  <slicer name="Đối tượng KH" xr10:uid="{00000000-0014-0000-FFFF-FFFF05000000}" cache="Slicer_Đối_tượng_KH" caption="Đối tượng KH"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6C1EF3-E09B-474D-9890-14675BF23E7B}" name="Table1" displayName="Table1" ref="A1:L2700" totalsRowShown="0" tableBorderDxfId="30">
  <autoFilter ref="A1:L2700" xr:uid="{00000000-0001-0000-0000-000000000000}"/>
  <tableColumns count="12">
    <tableColumn id="1" xr3:uid="{7AD806C6-FFC6-477D-AD23-05E15DC45A77}" name="Tỉnh" dataDxfId="29"/>
    <tableColumn id="2" xr3:uid="{A9D63A8D-CB59-4DF0-9304-65F9EBE87626}" name="Đối tác/Khách hàng" dataDxfId="28"/>
    <tableColumn id="3" xr3:uid="{366BC5FC-3758-41CF-B48D-292BCA4E15FF}" name="Lĩnh vực" dataDxfId="27"/>
    <tableColumn id="4" xr3:uid="{5A18229E-ABA1-468F-8772-CAF87624EF17}" name="Giá trị nguồn việc" dataDxfId="26"/>
    <tableColumn id="5" xr3:uid="{207B5B4B-8C32-4B95-BB34-040D1B31338E}" name="Ngày ký HĐ" dataDxfId="25"/>
    <tableColumn id="6" xr3:uid="{8F749289-24DB-4FAA-983E-A967AA80A153}" name="Tháng" dataDxfId="24">
      <calculatedColumnFormula>MONTH(Data!$E2)</calculatedColumnFormula>
    </tableColumn>
    <tableColumn id="7" xr3:uid="{362A98AF-733D-4CB9-8F9D-D45F89107882}" name="Năm" dataDxfId="23">
      <calculatedColumnFormula>YEAR(Data!$E2)</calculatedColumnFormula>
    </tableColumn>
    <tableColumn id="8" xr3:uid="{7AEE434F-2D10-429C-88AA-3FEE4BFB254A}" name="Vùng miền" dataDxfId="22"/>
    <tableColumn id="9" xr3:uid="{79D081E4-1EF7-404E-94AB-963F48887ED1}" name="Đối tượng KH" dataDxfId="21">
      <calculatedColumnFormula>IF(ISNUMBER(SEARCH("Công ty",$B2)),"Doanh nghiệp",IF(ISNUMBER(SEARCH("Doanh nghiệp",$B2)),"Doanh nghiệp",IF(ISNUMBER(SEARCH("Tập đoàn",$B2)),"Doanh nghiệp",
IF(ISNUMBER(SEARCH("Bệnh viện",$B2)),"Bệnh viện",
IF(ISNUMBER(SEARCH("Ngân hàng",$B2)),"Ngân hàng",IF(ISNUMBER(SEARCH("trường",$B2)),"Trường học",IF(ISNUMBER(SEARCH("học viện",$B2)),"Trường học",
IF(ISNUMBER(SEARCH("Bộ",$B2)),"Sở ban ngành",IF(ISNUMBER(SEARCH("Đoàn",$B2)),"Sở ban ngành",IF(ISNUMBER(SEARCH("Phòng",$B2)),"Sở ban ngành",IF(ISNUMBER(SEARCH("UBND",$B2)),"Sở ban ngành",IF(ISNUMBER(SEARCH("ủy ban",$B2)),"Sở ban ngành",IF(ISNUMBER(SEARCH("công an",$B2)),"Sở ban ngành",IF(ISNUMBER(SEARCH("sở",$B2)),"Sở ban ngành",IF(ISNUMBER(SEARCH("thôn",$B2)),"Sở ban ngành",IF(ISNUMBER(SEARCH("xã",$B2)),"Sở ban ngành",IF(ISNUMBER(SEARCH("quân khu",$B2)),"Sở ban ngành",IF(ISNUMBER(SEARCH("cục",$B2)),"Sở ban ngành",IF(ISNUMBER(SEARCH("viện",$B2)),"Sở ban ngành",IF(ISNUMBER(SEARCH("quỹ",$B2)),"Sở ban ngành",IF(ISNUMBER(SEARCH("trung tâm",$B2)),"Sở ban ngành",IF(ISNUMBER(SEARCH("quân chủng",$B2)),"Sở ban ngành",IF(ISNUMBER(SEARCH("hội",$B2)),"Sở ban ngành",
"Khác")))))))))))))))))))))))</calculatedColumnFormula>
    </tableColumn>
    <tableColumn id="10" xr3:uid="{F7018E10-5364-4891-8020-B41773DF89E1}" name="Hình thức" dataDxfId="20"/>
    <tableColumn id="11" xr3:uid="{2D869800-C4DE-46E9-B987-8776A5CD921E}" name="Mã sản phẩm" dataDxfId="19"/>
    <tableColumn id="12" xr3:uid="{018815BF-E142-4096-8566-C26E304FA2A9}" name="Nguồn việc" dataDxfId="18">
      <calculatedColumnFormula>Data!$D2/10^6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
  <sheetViews>
    <sheetView topLeftCell="A13" workbookViewId="0">
      <selection activeCell="A29" sqref="A29"/>
    </sheetView>
  </sheetViews>
  <sheetFormatPr defaultRowHeight="15.75" x14ac:dyDescent="0.25"/>
  <cols>
    <col min="1" max="1" width="28.625" style="7" customWidth="1"/>
    <col min="2" max="16384" width="9"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O2700"/>
  <sheetViews>
    <sheetView workbookViewId="0">
      <selection activeCell="H23" sqref="A2:L2700"/>
    </sheetView>
  </sheetViews>
  <sheetFormatPr defaultRowHeight="15.75" x14ac:dyDescent="0.25"/>
  <cols>
    <col min="1" max="1" width="9.375" bestFit="1" customWidth="1"/>
    <col min="2" max="2" width="24.625" customWidth="1"/>
    <col min="3" max="3" width="10.125" customWidth="1"/>
    <col min="4" max="4" width="17.5" customWidth="1"/>
    <col min="5" max="5" width="17.5" style="14" customWidth="1"/>
    <col min="6" max="6" width="8" customWidth="1"/>
    <col min="7" max="7" width="6.75" customWidth="1"/>
    <col min="8" max="8" width="20.5" bestFit="1" customWidth="1"/>
    <col min="9" max="9" width="15.5" bestFit="1" customWidth="1"/>
    <col min="10" max="10" width="15.5" customWidth="1"/>
    <col min="11" max="11" width="14.125" customWidth="1"/>
    <col min="12" max="12" width="12.5" style="1" customWidth="1"/>
  </cols>
  <sheetData>
    <row r="1" spans="1:15" s="2" customFormat="1" x14ac:dyDescent="0.25">
      <c r="A1" s="34" t="s">
        <v>0</v>
      </c>
      <c r="B1" s="35" t="s">
        <v>1</v>
      </c>
      <c r="C1" s="35" t="s">
        <v>2</v>
      </c>
      <c r="D1" s="35" t="s">
        <v>3</v>
      </c>
      <c r="E1" s="36" t="s">
        <v>1251</v>
      </c>
      <c r="F1" s="37" t="s">
        <v>4</v>
      </c>
      <c r="G1" s="37" t="s">
        <v>5</v>
      </c>
      <c r="H1" s="37" t="s">
        <v>1250</v>
      </c>
      <c r="I1" s="37" t="s">
        <v>6</v>
      </c>
      <c r="J1" s="35" t="s">
        <v>1283</v>
      </c>
      <c r="K1" s="35" t="s">
        <v>7</v>
      </c>
      <c r="L1" s="38" t="s">
        <v>883</v>
      </c>
      <c r="N1" s="27"/>
      <c r="O1" s="2" t="s">
        <v>1260</v>
      </c>
    </row>
    <row r="2" spans="1:15" x14ac:dyDescent="0.25">
      <c r="A2" s="29" t="s">
        <v>30</v>
      </c>
      <c r="B2" s="15" t="s">
        <v>166</v>
      </c>
      <c r="C2" s="15" t="s">
        <v>10</v>
      </c>
      <c r="D2" s="16">
        <v>29360909</v>
      </c>
      <c r="E2" s="17">
        <v>45292</v>
      </c>
      <c r="F2" s="18">
        <f>MONTH(Data!$E2)</f>
        <v>1</v>
      </c>
      <c r="G2" s="16">
        <f>YEAR(Data!$E2)</f>
        <v>2024</v>
      </c>
      <c r="H2" s="15" t="s">
        <v>32</v>
      </c>
      <c r="I2" s="15" t="str">
        <f>IF(ISNUMBER(SEARCH("Công ty",$B2)),"Doanh nghiệp",IF(ISNUMBER(SEARCH("Doanh nghiệp",$B2)),"Doanh nghiệp",IF(ISNUMBER(SEARCH("Tập đoàn",$B2)),"Doanh nghiệp",
IF(ISNUMBER(SEARCH("Bệnh viện",$B2)),"Bệnh viện",
IF(ISNUMBER(SEARCH("Ngân hàng",$B2)),"Ngân hàng",IF(ISNUMBER(SEARCH("trường",$B2)),"Trường học",IF(ISNUMBER(SEARCH("học viện",$B2)),"Trường học",
IF(ISNUMBER(SEARCH("Bộ",$B2)),"Sở ban ngành",IF(ISNUMBER(SEARCH("Đoàn",$B2)),"Sở ban ngành",IF(ISNUMBER(SEARCH("Phòng",$B2)),"Sở ban ngành",IF(ISNUMBER(SEARCH("UBND",$B2)),"Sở ban ngành",IF(ISNUMBER(SEARCH("ủy ban",$B2)),"Sở ban ngành",IF(ISNUMBER(SEARCH("công an",$B2)),"Sở ban ngành",IF(ISNUMBER(SEARCH("sở",$B2)),"Sở ban ngành",IF(ISNUMBER(SEARCH("thôn",$B2)),"Sở ban ngành",IF(ISNUMBER(SEARCH("xã",$B2)),"Sở ban ngành",IF(ISNUMBER(SEARCH("quân khu",$B2)),"Sở ban ngành",IF(ISNUMBER(SEARCH("cục",$B2)),"Sở ban ngành",IF(ISNUMBER(SEARCH("viện",$B2)),"Sở ban ngành",IF(ISNUMBER(SEARCH("quỹ",$B2)),"Sở ban ngành",IF(ISNUMBER(SEARCH("trung tâm",$B2)),"Sở ban ngành",IF(ISNUMBER(SEARCH("quân chủng",$B2)),"Sở ban ngành",IF(ISNUMBER(SEARCH("hội",$B2)),"Sở ban ngành",
"Khác")))))))))))))))))))))))</f>
        <v>Bệnh viện</v>
      </c>
      <c r="J2" s="15" t="s">
        <v>1285</v>
      </c>
      <c r="K2" s="15" t="s">
        <v>1262</v>
      </c>
      <c r="L2" s="32">
        <f>Data!$D2/10^6</f>
        <v>29.360908999999999</v>
      </c>
      <c r="N2" s="28"/>
      <c r="O2" t="s">
        <v>1261</v>
      </c>
    </row>
    <row r="3" spans="1:15" x14ac:dyDescent="0.25">
      <c r="A3" s="29" t="s">
        <v>72</v>
      </c>
      <c r="B3" s="15" t="s">
        <v>112</v>
      </c>
      <c r="C3" s="15" t="s">
        <v>10</v>
      </c>
      <c r="D3" s="16">
        <v>8842364</v>
      </c>
      <c r="E3" s="17">
        <v>45292</v>
      </c>
      <c r="F3" s="18">
        <f>MONTH(Data!$E3)</f>
        <v>1</v>
      </c>
      <c r="G3" s="16">
        <f>YEAR(Data!$E3)</f>
        <v>2024</v>
      </c>
      <c r="H3" s="15" t="s">
        <v>22</v>
      </c>
      <c r="I3" s="15" t="str">
        <f t="shared" ref="I3:I66" si="0">IF(ISNUMBER(SEARCH("Công ty",$B3)),"Doanh nghiệp",IF(ISNUMBER(SEARCH("Doanh nghiệp",$B3)),"Doanh nghiệp",IF(ISNUMBER(SEARCH("Tập đoàn",$B3)),"Doanh nghiệp",
IF(ISNUMBER(SEARCH("Bệnh viện",$B3)),"Bệnh viện",
IF(ISNUMBER(SEARCH("Ngân hàng",$B3)),"Ngân hàng",IF(ISNUMBER(SEARCH("trường",$B3)),"Trường học",IF(ISNUMBER(SEARCH("học viện",$B3)),"Trường học",
IF(ISNUMBER(SEARCH("Bộ",$B3)),"Sở ban ngành",IF(ISNUMBER(SEARCH("Đoàn",$B3)),"Sở ban ngành",IF(ISNUMBER(SEARCH("Phòng",$B3)),"Sở ban ngành",IF(ISNUMBER(SEARCH("UBND",$B3)),"Sở ban ngành",IF(ISNUMBER(SEARCH("ủy ban",$B3)),"Sở ban ngành",IF(ISNUMBER(SEARCH("công an",$B3)),"Sở ban ngành",IF(ISNUMBER(SEARCH("sở",$B3)),"Sở ban ngành",IF(ISNUMBER(SEARCH("thôn",$B3)),"Sở ban ngành",IF(ISNUMBER(SEARCH("xã",$B3)),"Sở ban ngành",IF(ISNUMBER(SEARCH("quân khu",$B3)),"Sở ban ngành",IF(ISNUMBER(SEARCH("cục",$B3)),"Sở ban ngành",IF(ISNUMBER(SEARCH("viện",$B3)),"Sở ban ngành",IF(ISNUMBER(SEARCH("quỹ",$B3)),"Sở ban ngành",IF(ISNUMBER(SEARCH("trung tâm",$B3)),"Sở ban ngành",IF(ISNUMBER(SEARCH("quân chủng",$B3)),"Sở ban ngành",IF(ISNUMBER(SEARCH("hội",$B3)),"Sở ban ngành",
"Khác")))))))))))))))))))))))</f>
        <v>Bệnh viện</v>
      </c>
      <c r="J3" s="15" t="s">
        <v>1284</v>
      </c>
      <c r="K3" s="15" t="s">
        <v>1263</v>
      </c>
      <c r="L3" s="32">
        <f>Data!$D3/10^6</f>
        <v>8.8423639999999999</v>
      </c>
    </row>
    <row r="4" spans="1:15" x14ac:dyDescent="0.25">
      <c r="A4" s="29" t="s">
        <v>55</v>
      </c>
      <c r="B4" s="15" t="s">
        <v>96</v>
      </c>
      <c r="C4" s="15" t="s">
        <v>14</v>
      </c>
      <c r="D4" s="16">
        <v>81100000</v>
      </c>
      <c r="E4" s="17">
        <v>45292</v>
      </c>
      <c r="F4" s="18">
        <f>MONTH(Data!$E4)</f>
        <v>1</v>
      </c>
      <c r="G4" s="16">
        <f>YEAR(Data!$E4)</f>
        <v>2024</v>
      </c>
      <c r="H4" s="15" t="s">
        <v>15</v>
      </c>
      <c r="I4" s="15" t="str">
        <f t="shared" si="0"/>
        <v>Bệnh viện</v>
      </c>
      <c r="J4" s="15" t="s">
        <v>1285</v>
      </c>
      <c r="K4" s="15" t="s">
        <v>1264</v>
      </c>
      <c r="L4" s="32">
        <f>Data!$D4/10^6</f>
        <v>81.099999999999994</v>
      </c>
    </row>
    <row r="5" spans="1:15" x14ac:dyDescent="0.25">
      <c r="A5" s="29" t="s">
        <v>54</v>
      </c>
      <c r="B5" s="15" t="s">
        <v>1025</v>
      </c>
      <c r="C5" s="15" t="s">
        <v>10</v>
      </c>
      <c r="D5" s="16">
        <v>45000000</v>
      </c>
      <c r="E5" s="17">
        <v>45292</v>
      </c>
      <c r="F5" s="18">
        <f>MONTH(Data!$E5)</f>
        <v>1</v>
      </c>
      <c r="G5" s="16">
        <f>YEAR(Data!$E5)</f>
        <v>2024</v>
      </c>
      <c r="H5" s="15" t="s">
        <v>15</v>
      </c>
      <c r="I5" s="15" t="str">
        <f t="shared" si="0"/>
        <v>Doanh nghiệp</v>
      </c>
      <c r="J5" s="15" t="s">
        <v>1284</v>
      </c>
      <c r="K5" s="15" t="s">
        <v>1263</v>
      </c>
      <c r="L5" s="32">
        <f>Data!$D5/10^6</f>
        <v>45</v>
      </c>
    </row>
    <row r="6" spans="1:15" x14ac:dyDescent="0.25">
      <c r="A6" s="29" t="s">
        <v>91</v>
      </c>
      <c r="B6" s="15" t="s">
        <v>1030</v>
      </c>
      <c r="C6" s="15" t="s">
        <v>10</v>
      </c>
      <c r="D6" s="16">
        <v>79329245</v>
      </c>
      <c r="E6" s="17">
        <v>45292</v>
      </c>
      <c r="F6" s="18">
        <f>MONTH(Data!$E6)</f>
        <v>1</v>
      </c>
      <c r="G6" s="16">
        <f>YEAR(Data!$E6)</f>
        <v>2024</v>
      </c>
      <c r="H6" s="15" t="s">
        <v>42</v>
      </c>
      <c r="I6" s="15" t="str">
        <f t="shared" si="0"/>
        <v>Doanh nghiệp</v>
      </c>
      <c r="J6" s="15" t="s">
        <v>1285</v>
      </c>
      <c r="K6" s="15" t="s">
        <v>1262</v>
      </c>
      <c r="L6" s="32">
        <f>Data!$D6/10^6</f>
        <v>79.329245</v>
      </c>
    </row>
    <row r="7" spans="1:15" x14ac:dyDescent="0.25">
      <c r="A7" s="29" t="s">
        <v>51</v>
      </c>
      <c r="B7" s="15" t="s">
        <v>1031</v>
      </c>
      <c r="C7" s="15" t="s">
        <v>10</v>
      </c>
      <c r="D7" s="16">
        <v>14434041</v>
      </c>
      <c r="E7" s="17">
        <v>45292</v>
      </c>
      <c r="F7" s="18">
        <f>MONTH(Data!$E7)</f>
        <v>1</v>
      </c>
      <c r="G7" s="16">
        <f>YEAR(Data!$E7)</f>
        <v>2024</v>
      </c>
      <c r="H7" s="15" t="s">
        <v>42</v>
      </c>
      <c r="I7" s="15" t="str">
        <f t="shared" si="0"/>
        <v>Doanh nghiệp</v>
      </c>
      <c r="J7" s="15" t="s">
        <v>1284</v>
      </c>
      <c r="K7" s="15" t="s">
        <v>1262</v>
      </c>
      <c r="L7" s="32">
        <f>Data!$D7/10^6</f>
        <v>14.434041000000001</v>
      </c>
    </row>
    <row r="8" spans="1:15" x14ac:dyDescent="0.25">
      <c r="A8" s="29" t="s">
        <v>51</v>
      </c>
      <c r="B8" s="15" t="s">
        <v>1032</v>
      </c>
      <c r="C8" s="15" t="s">
        <v>10</v>
      </c>
      <c r="D8" s="16">
        <v>21437000</v>
      </c>
      <c r="E8" s="17">
        <v>45292</v>
      </c>
      <c r="F8" s="18">
        <f>MONTH(Data!$E8)</f>
        <v>1</v>
      </c>
      <c r="G8" s="16">
        <f>YEAR(Data!$E8)</f>
        <v>2024</v>
      </c>
      <c r="H8" s="15" t="s">
        <v>42</v>
      </c>
      <c r="I8" s="15" t="str">
        <f t="shared" si="0"/>
        <v>Doanh nghiệp</v>
      </c>
      <c r="J8" s="15" t="s">
        <v>1285</v>
      </c>
      <c r="K8" s="15" t="s">
        <v>1262</v>
      </c>
      <c r="L8" s="32">
        <f>Data!$D8/10^6</f>
        <v>21.437000000000001</v>
      </c>
    </row>
    <row r="9" spans="1:15" x14ac:dyDescent="0.25">
      <c r="A9" s="29" t="s">
        <v>74</v>
      </c>
      <c r="B9" s="15" t="s">
        <v>1040</v>
      </c>
      <c r="C9" s="15" t="s">
        <v>10</v>
      </c>
      <c r="D9" s="16">
        <v>108855000</v>
      </c>
      <c r="E9" s="17">
        <v>45292</v>
      </c>
      <c r="F9" s="18">
        <f>MONTH(Data!$E9)</f>
        <v>1</v>
      </c>
      <c r="G9" s="16">
        <f>YEAR(Data!$E9)</f>
        <v>2024</v>
      </c>
      <c r="H9" s="15" t="s">
        <v>11</v>
      </c>
      <c r="I9" s="15" t="str">
        <f t="shared" si="0"/>
        <v>Doanh nghiệp</v>
      </c>
      <c r="J9" s="15" t="s">
        <v>1284</v>
      </c>
      <c r="K9" s="15" t="s">
        <v>1263</v>
      </c>
      <c r="L9" s="32">
        <f>Data!$D9/10^6</f>
        <v>108.855</v>
      </c>
    </row>
    <row r="10" spans="1:15" x14ac:dyDescent="0.25">
      <c r="A10" s="29" t="s">
        <v>51</v>
      </c>
      <c r="B10" s="15" t="s">
        <v>1043</v>
      </c>
      <c r="C10" s="15" t="s">
        <v>149</v>
      </c>
      <c r="D10" s="16">
        <v>8925620</v>
      </c>
      <c r="E10" s="17">
        <v>45292</v>
      </c>
      <c r="F10" s="18">
        <f>MONTH(Data!$E10)</f>
        <v>1</v>
      </c>
      <c r="G10" s="16">
        <f>YEAR(Data!$E10)</f>
        <v>2024</v>
      </c>
      <c r="H10" s="15" t="s">
        <v>42</v>
      </c>
      <c r="I10" s="15" t="str">
        <f t="shared" si="0"/>
        <v>Doanh nghiệp</v>
      </c>
      <c r="J10" s="15" t="s">
        <v>1285</v>
      </c>
      <c r="K10" s="15" t="s">
        <v>1265</v>
      </c>
      <c r="L10" s="32">
        <f>Data!$D10/10^6</f>
        <v>8.9256200000000003</v>
      </c>
    </row>
    <row r="11" spans="1:15" x14ac:dyDescent="0.25">
      <c r="A11" s="29" t="s">
        <v>51</v>
      </c>
      <c r="B11" s="15" t="s">
        <v>1046</v>
      </c>
      <c r="C11" s="15" t="s">
        <v>149</v>
      </c>
      <c r="D11" s="16">
        <v>8925620</v>
      </c>
      <c r="E11" s="17">
        <v>45292</v>
      </c>
      <c r="F11" s="18">
        <f>MONTH(Data!$E11)</f>
        <v>1</v>
      </c>
      <c r="G11" s="16">
        <f>YEAR(Data!$E11)</f>
        <v>2024</v>
      </c>
      <c r="H11" s="15" t="s">
        <v>42</v>
      </c>
      <c r="I11" s="15" t="str">
        <f t="shared" si="0"/>
        <v>Doanh nghiệp</v>
      </c>
      <c r="J11" s="15" t="s">
        <v>1284</v>
      </c>
      <c r="K11" s="15" t="s">
        <v>1265</v>
      </c>
      <c r="L11" s="32">
        <f>Data!$D11/10^6</f>
        <v>8.9256200000000003</v>
      </c>
    </row>
    <row r="12" spans="1:15" x14ac:dyDescent="0.25">
      <c r="A12" s="29" t="s">
        <v>51</v>
      </c>
      <c r="B12" s="15" t="s">
        <v>1054</v>
      </c>
      <c r="C12" s="15" t="s">
        <v>149</v>
      </c>
      <c r="D12" s="16">
        <v>8925620</v>
      </c>
      <c r="E12" s="17">
        <v>45292</v>
      </c>
      <c r="F12" s="18">
        <f>MONTH(Data!$E12)</f>
        <v>1</v>
      </c>
      <c r="G12" s="16">
        <f>YEAR(Data!$E12)</f>
        <v>2024</v>
      </c>
      <c r="H12" s="15" t="s">
        <v>42</v>
      </c>
      <c r="I12" s="15" t="str">
        <f t="shared" si="0"/>
        <v>Doanh nghiệp</v>
      </c>
      <c r="J12" s="15" t="s">
        <v>1285</v>
      </c>
      <c r="K12" s="15" t="s">
        <v>1265</v>
      </c>
      <c r="L12" s="32">
        <f>Data!$D12/10^6</f>
        <v>8.9256200000000003</v>
      </c>
    </row>
    <row r="13" spans="1:15" x14ac:dyDescent="0.25">
      <c r="A13" s="29" t="s">
        <v>157</v>
      </c>
      <c r="B13" s="15" t="s">
        <v>1055</v>
      </c>
      <c r="C13" s="15" t="s">
        <v>149</v>
      </c>
      <c r="D13" s="16">
        <v>29880000</v>
      </c>
      <c r="E13" s="17">
        <v>45292</v>
      </c>
      <c r="F13" s="18">
        <f>MONTH(Data!$E13)</f>
        <v>1</v>
      </c>
      <c r="G13" s="16">
        <f>YEAR(Data!$E13)</f>
        <v>2024</v>
      </c>
      <c r="H13" s="15" t="s">
        <v>32</v>
      </c>
      <c r="I13" s="15" t="str">
        <f t="shared" si="0"/>
        <v>Doanh nghiệp</v>
      </c>
      <c r="J13" s="15" t="s">
        <v>1284</v>
      </c>
      <c r="K13" s="15" t="s">
        <v>1266</v>
      </c>
      <c r="L13" s="32">
        <f>Data!$D13/10^6</f>
        <v>29.88</v>
      </c>
    </row>
    <row r="14" spans="1:15" x14ac:dyDescent="0.25">
      <c r="A14" s="29" t="s">
        <v>100</v>
      </c>
      <c r="B14" s="15" t="s">
        <v>1074</v>
      </c>
      <c r="C14" s="15" t="s">
        <v>10</v>
      </c>
      <c r="D14" s="16">
        <v>97927923</v>
      </c>
      <c r="E14" s="17">
        <v>45292</v>
      </c>
      <c r="F14" s="18">
        <f>MONTH(Data!$E14)</f>
        <v>1</v>
      </c>
      <c r="G14" s="16">
        <f>YEAR(Data!$E14)</f>
        <v>2024</v>
      </c>
      <c r="H14" s="15" t="s">
        <v>42</v>
      </c>
      <c r="I14" s="15" t="str">
        <f t="shared" si="0"/>
        <v>Doanh nghiệp</v>
      </c>
      <c r="J14" s="15" t="s">
        <v>1285</v>
      </c>
      <c r="K14" s="15" t="s">
        <v>1267</v>
      </c>
      <c r="L14" s="32">
        <f>Data!$D14/10^6</f>
        <v>97.927923000000007</v>
      </c>
    </row>
    <row r="15" spans="1:15" x14ac:dyDescent="0.25">
      <c r="A15" s="29" t="s">
        <v>21</v>
      </c>
      <c r="B15" s="15" t="s">
        <v>1084</v>
      </c>
      <c r="C15" s="15" t="s">
        <v>10</v>
      </c>
      <c r="D15" s="16">
        <v>203636364</v>
      </c>
      <c r="E15" s="17">
        <v>45292</v>
      </c>
      <c r="F15" s="18">
        <f>MONTH(Data!$E15)</f>
        <v>1</v>
      </c>
      <c r="G15" s="16">
        <f>YEAR(Data!$E15)</f>
        <v>2024</v>
      </c>
      <c r="H15" s="15" t="s">
        <v>22</v>
      </c>
      <c r="I15" s="15" t="str">
        <f t="shared" si="0"/>
        <v>Doanh nghiệp</v>
      </c>
      <c r="J15" s="15" t="s">
        <v>1284</v>
      </c>
      <c r="K15" s="15" t="s">
        <v>1268</v>
      </c>
      <c r="L15" s="32">
        <f>Data!$D15/10^6</f>
        <v>203.63636399999999</v>
      </c>
    </row>
    <row r="16" spans="1:15" x14ac:dyDescent="0.25">
      <c r="A16" s="29" t="s">
        <v>51</v>
      </c>
      <c r="B16" s="15" t="s">
        <v>1105</v>
      </c>
      <c r="C16" s="15" t="s">
        <v>10</v>
      </c>
      <c r="D16" s="16">
        <v>31123636</v>
      </c>
      <c r="E16" s="17">
        <v>45292</v>
      </c>
      <c r="F16" s="18">
        <f>MONTH(Data!$E16)</f>
        <v>1</v>
      </c>
      <c r="G16" s="16">
        <f>YEAR(Data!$E16)</f>
        <v>2024</v>
      </c>
      <c r="H16" s="15" t="s">
        <v>42</v>
      </c>
      <c r="I16" s="15" t="str">
        <f t="shared" si="0"/>
        <v>Doanh nghiệp</v>
      </c>
      <c r="J16" s="15" t="s">
        <v>1285</v>
      </c>
      <c r="K16" s="15" t="s">
        <v>1262</v>
      </c>
      <c r="L16" s="32">
        <f>Data!$D16/10^6</f>
        <v>31.123636000000001</v>
      </c>
    </row>
    <row r="17" spans="1:12" x14ac:dyDescent="0.25">
      <c r="A17" s="29" t="s">
        <v>157</v>
      </c>
      <c r="B17" s="15" t="s">
        <v>1106</v>
      </c>
      <c r="C17" s="15" t="s">
        <v>149</v>
      </c>
      <c r="D17" s="16">
        <v>227340000</v>
      </c>
      <c r="E17" s="17">
        <v>45292</v>
      </c>
      <c r="F17" s="18">
        <f>MONTH(Data!$E17)</f>
        <v>1</v>
      </c>
      <c r="G17" s="16">
        <f>YEAR(Data!$E17)</f>
        <v>2024</v>
      </c>
      <c r="H17" s="15" t="s">
        <v>32</v>
      </c>
      <c r="I17" s="15" t="str">
        <f t="shared" si="0"/>
        <v>Doanh nghiệp</v>
      </c>
      <c r="J17" s="15" t="s">
        <v>1284</v>
      </c>
      <c r="K17" s="15" t="s">
        <v>1266</v>
      </c>
      <c r="L17" s="32">
        <f>Data!$D17/10^6</f>
        <v>227.34</v>
      </c>
    </row>
    <row r="18" spans="1:12" x14ac:dyDescent="0.25">
      <c r="A18" s="29" t="s">
        <v>130</v>
      </c>
      <c r="B18" s="15" t="s">
        <v>1110</v>
      </c>
      <c r="C18" s="15" t="s">
        <v>14</v>
      </c>
      <c r="D18" s="16">
        <v>10094194677</v>
      </c>
      <c r="E18" s="17">
        <v>45292</v>
      </c>
      <c r="F18" s="18">
        <f>MONTH(Data!$E18)</f>
        <v>1</v>
      </c>
      <c r="G18" s="16">
        <f>YEAR(Data!$E18)</f>
        <v>2024</v>
      </c>
      <c r="H18" s="15" t="s">
        <v>22</v>
      </c>
      <c r="I18" s="15" t="str">
        <f t="shared" si="0"/>
        <v>Doanh nghiệp</v>
      </c>
      <c r="J18" s="15" t="s">
        <v>1285</v>
      </c>
      <c r="K18" s="15" t="s">
        <v>1264</v>
      </c>
      <c r="L18" s="32">
        <f>Data!$D18/10^6</f>
        <v>10094.194677</v>
      </c>
    </row>
    <row r="19" spans="1:12" x14ac:dyDescent="0.25">
      <c r="A19" s="29" t="s">
        <v>107</v>
      </c>
      <c r="B19" s="15" t="s">
        <v>1115</v>
      </c>
      <c r="C19" s="15" t="s">
        <v>149</v>
      </c>
      <c r="D19" s="16">
        <v>42237779</v>
      </c>
      <c r="E19" s="17">
        <v>45292</v>
      </c>
      <c r="F19" s="18">
        <f>MONTH(Data!$E19)</f>
        <v>1</v>
      </c>
      <c r="G19" s="16">
        <f>YEAR(Data!$E19)</f>
        <v>2024</v>
      </c>
      <c r="H19" s="15" t="s">
        <v>42</v>
      </c>
      <c r="I19" s="15" t="str">
        <f t="shared" si="0"/>
        <v>Doanh nghiệp</v>
      </c>
      <c r="J19" s="15" t="s">
        <v>1284</v>
      </c>
      <c r="K19" s="15" t="s">
        <v>1269</v>
      </c>
      <c r="L19" s="32">
        <f>Data!$D19/10^6</f>
        <v>42.237779000000003</v>
      </c>
    </row>
    <row r="20" spans="1:12" x14ac:dyDescent="0.25">
      <c r="A20" s="29" t="s">
        <v>47</v>
      </c>
      <c r="B20" s="15" t="s">
        <v>1121</v>
      </c>
      <c r="C20" s="15" t="s">
        <v>14</v>
      </c>
      <c r="D20" s="16">
        <v>106719727</v>
      </c>
      <c r="E20" s="17">
        <v>45292</v>
      </c>
      <c r="F20" s="18">
        <f>MONTH(Data!$E20)</f>
        <v>1</v>
      </c>
      <c r="G20" s="16">
        <f>YEAR(Data!$E20)</f>
        <v>2024</v>
      </c>
      <c r="H20" s="15" t="s">
        <v>29</v>
      </c>
      <c r="I20" s="15" t="str">
        <f t="shared" si="0"/>
        <v>Doanh nghiệp</v>
      </c>
      <c r="J20" s="15" t="s">
        <v>1285</v>
      </c>
      <c r="K20" s="15" t="s">
        <v>1264</v>
      </c>
      <c r="L20" s="32">
        <f>Data!$D20/10^6</f>
        <v>106.71972700000001</v>
      </c>
    </row>
    <row r="21" spans="1:12" x14ac:dyDescent="0.25">
      <c r="A21" s="29" t="s">
        <v>45</v>
      </c>
      <c r="B21" s="15" t="s">
        <v>1037</v>
      </c>
      <c r="C21" s="15" t="s">
        <v>149</v>
      </c>
      <c r="D21" s="16">
        <v>206265000</v>
      </c>
      <c r="E21" s="17">
        <v>45292</v>
      </c>
      <c r="F21" s="18">
        <f>MONTH(Data!$E21)</f>
        <v>1</v>
      </c>
      <c r="G21" s="16">
        <f>YEAR(Data!$E21)</f>
        <v>2024</v>
      </c>
      <c r="H21" s="15" t="s">
        <v>29</v>
      </c>
      <c r="I21" s="15" t="str">
        <f t="shared" si="0"/>
        <v>Doanh nghiệp</v>
      </c>
      <c r="J21" s="15" t="s">
        <v>1284</v>
      </c>
      <c r="K21" s="15" t="s">
        <v>1262</v>
      </c>
      <c r="L21" s="32">
        <f>Data!$D21/10^6</f>
        <v>206.26499999999999</v>
      </c>
    </row>
    <row r="22" spans="1:12" x14ac:dyDescent="0.25">
      <c r="A22" s="29" t="s">
        <v>52</v>
      </c>
      <c r="B22" s="15" t="s">
        <v>1041</v>
      </c>
      <c r="C22" s="15" t="s">
        <v>41</v>
      </c>
      <c r="D22" s="16">
        <v>65300000</v>
      </c>
      <c r="E22" s="17">
        <v>45292</v>
      </c>
      <c r="F22" s="18">
        <f>MONTH(Data!$E22)</f>
        <v>1</v>
      </c>
      <c r="G22" s="16">
        <f>YEAR(Data!$E22)</f>
        <v>2024</v>
      </c>
      <c r="H22" s="15" t="s">
        <v>35</v>
      </c>
      <c r="I22" s="15" t="str">
        <f t="shared" si="0"/>
        <v>Doanh nghiệp</v>
      </c>
      <c r="J22" s="15" t="s">
        <v>1285</v>
      </c>
      <c r="K22" s="15" t="s">
        <v>1270</v>
      </c>
      <c r="L22" s="32">
        <f>Data!$D22/10^6</f>
        <v>65.3</v>
      </c>
    </row>
    <row r="23" spans="1:12" x14ac:dyDescent="0.25">
      <c r="A23" s="29" t="s">
        <v>52</v>
      </c>
      <c r="B23" s="15" t="s">
        <v>1042</v>
      </c>
      <c r="C23" s="15" t="s">
        <v>41</v>
      </c>
      <c r="D23" s="16">
        <v>65300000</v>
      </c>
      <c r="E23" s="17">
        <v>45292</v>
      </c>
      <c r="F23" s="18">
        <f>MONTH(Data!$E23)</f>
        <v>1</v>
      </c>
      <c r="G23" s="16">
        <f>YEAR(Data!$E23)</f>
        <v>2024</v>
      </c>
      <c r="H23" s="15" t="s">
        <v>35</v>
      </c>
      <c r="I23" s="15" t="str">
        <f t="shared" si="0"/>
        <v>Doanh nghiệp</v>
      </c>
      <c r="J23" s="15" t="s">
        <v>1284</v>
      </c>
      <c r="K23" s="15" t="s">
        <v>1270</v>
      </c>
      <c r="L23" s="32">
        <f>Data!$D23/10^6</f>
        <v>65.3</v>
      </c>
    </row>
    <row r="24" spans="1:12" x14ac:dyDescent="0.25">
      <c r="A24" s="29" t="s">
        <v>59</v>
      </c>
      <c r="B24" s="15" t="s">
        <v>1043</v>
      </c>
      <c r="C24" s="15" t="s">
        <v>14</v>
      </c>
      <c r="D24" s="16">
        <v>152554318</v>
      </c>
      <c r="E24" s="17">
        <v>45292</v>
      </c>
      <c r="F24" s="18">
        <f>MONTH(Data!$E24)</f>
        <v>1</v>
      </c>
      <c r="G24" s="16">
        <f>YEAR(Data!$E24)</f>
        <v>2024</v>
      </c>
      <c r="H24" s="15" t="s">
        <v>22</v>
      </c>
      <c r="I24" s="15" t="str">
        <f t="shared" si="0"/>
        <v>Doanh nghiệp</v>
      </c>
      <c r="J24" s="15" t="s">
        <v>1285</v>
      </c>
      <c r="K24" s="15" t="s">
        <v>1264</v>
      </c>
      <c r="L24" s="32">
        <f>Data!$D24/10^6</f>
        <v>152.55431799999999</v>
      </c>
    </row>
    <row r="25" spans="1:12" x14ac:dyDescent="0.25">
      <c r="A25" s="29" t="s">
        <v>50</v>
      </c>
      <c r="B25" s="15" t="s">
        <v>1045</v>
      </c>
      <c r="C25" s="15" t="s">
        <v>10</v>
      </c>
      <c r="D25" s="16">
        <v>11087273</v>
      </c>
      <c r="E25" s="17">
        <v>45292</v>
      </c>
      <c r="F25" s="18">
        <f>MONTH(Data!$E25)</f>
        <v>1</v>
      </c>
      <c r="G25" s="16">
        <f>YEAR(Data!$E25)</f>
        <v>2024</v>
      </c>
      <c r="H25" s="15" t="s">
        <v>35</v>
      </c>
      <c r="I25" s="15" t="str">
        <f t="shared" si="0"/>
        <v>Doanh nghiệp</v>
      </c>
      <c r="J25" s="15" t="s">
        <v>1284</v>
      </c>
      <c r="K25" s="15" t="s">
        <v>1262</v>
      </c>
      <c r="L25" s="32">
        <f>Data!$D25/10^6</f>
        <v>11.087273</v>
      </c>
    </row>
    <row r="26" spans="1:12" x14ac:dyDescent="0.25">
      <c r="A26" s="29" t="s">
        <v>59</v>
      </c>
      <c r="B26" s="15" t="s">
        <v>1056</v>
      </c>
      <c r="C26" s="15" t="s">
        <v>46</v>
      </c>
      <c r="D26" s="16">
        <v>28272727</v>
      </c>
      <c r="E26" s="17">
        <v>45292</v>
      </c>
      <c r="F26" s="18">
        <f>MONTH(Data!$E26)</f>
        <v>1</v>
      </c>
      <c r="G26" s="16">
        <f>YEAR(Data!$E26)</f>
        <v>2024</v>
      </c>
      <c r="H26" s="15" t="s">
        <v>22</v>
      </c>
      <c r="I26" s="15" t="str">
        <f t="shared" si="0"/>
        <v>Doanh nghiệp</v>
      </c>
      <c r="J26" s="15" t="s">
        <v>1285</v>
      </c>
      <c r="K26" s="15" t="s">
        <v>1265</v>
      </c>
      <c r="L26" s="32">
        <f>Data!$D26/10^6</f>
        <v>28.272727</v>
      </c>
    </row>
    <row r="27" spans="1:12" x14ac:dyDescent="0.25">
      <c r="A27" s="29" t="s">
        <v>109</v>
      </c>
      <c r="B27" s="15" t="s">
        <v>1061</v>
      </c>
      <c r="C27" s="15" t="s">
        <v>10</v>
      </c>
      <c r="D27" s="16">
        <v>14600000</v>
      </c>
      <c r="E27" s="17">
        <v>45292</v>
      </c>
      <c r="F27" s="18">
        <f>MONTH(Data!$E27)</f>
        <v>1</v>
      </c>
      <c r="G27" s="16">
        <f>YEAR(Data!$E27)</f>
        <v>2024</v>
      </c>
      <c r="H27" s="15" t="s">
        <v>22</v>
      </c>
      <c r="I27" s="15" t="str">
        <f t="shared" si="0"/>
        <v>Doanh nghiệp</v>
      </c>
      <c r="J27" s="15" t="s">
        <v>1284</v>
      </c>
      <c r="K27" s="15" t="s">
        <v>1263</v>
      </c>
      <c r="L27" s="32">
        <f>Data!$D27/10^6</f>
        <v>14.6</v>
      </c>
    </row>
    <row r="28" spans="1:12" x14ac:dyDescent="0.25">
      <c r="A28" s="29" t="s">
        <v>65</v>
      </c>
      <c r="B28" s="15" t="s">
        <v>1062</v>
      </c>
      <c r="C28" s="15" t="s">
        <v>46</v>
      </c>
      <c r="D28" s="16">
        <v>97090909</v>
      </c>
      <c r="E28" s="17">
        <v>45292</v>
      </c>
      <c r="F28" s="18">
        <f>MONTH(Data!$E28)</f>
        <v>1</v>
      </c>
      <c r="G28" s="16">
        <f>YEAR(Data!$E28)</f>
        <v>2024</v>
      </c>
      <c r="H28" s="15" t="s">
        <v>25</v>
      </c>
      <c r="I28" s="15" t="str">
        <f t="shared" si="0"/>
        <v>Doanh nghiệp</v>
      </c>
      <c r="J28" s="15" t="s">
        <v>1285</v>
      </c>
      <c r="K28" s="15" t="s">
        <v>1271</v>
      </c>
      <c r="L28" s="32">
        <f>Data!$D28/10^6</f>
        <v>97.090908999999996</v>
      </c>
    </row>
    <row r="29" spans="1:12" x14ac:dyDescent="0.25">
      <c r="A29" s="29" t="s">
        <v>111</v>
      </c>
      <c r="B29" s="15" t="s">
        <v>1068</v>
      </c>
      <c r="C29" s="15" t="s">
        <v>14</v>
      </c>
      <c r="D29" s="16">
        <v>56136364</v>
      </c>
      <c r="E29" s="17">
        <v>45292</v>
      </c>
      <c r="F29" s="18">
        <f>MONTH(Data!$E29)</f>
        <v>1</v>
      </c>
      <c r="G29" s="16">
        <f>YEAR(Data!$E29)</f>
        <v>2024</v>
      </c>
      <c r="H29" s="15" t="s">
        <v>22</v>
      </c>
      <c r="I29" s="15" t="str">
        <f t="shared" si="0"/>
        <v>Doanh nghiệp</v>
      </c>
      <c r="J29" s="15" t="s">
        <v>1284</v>
      </c>
      <c r="K29" s="15" t="s">
        <v>1272</v>
      </c>
      <c r="L29" s="32">
        <f>Data!$D29/10^6</f>
        <v>56.136364</v>
      </c>
    </row>
    <row r="30" spans="1:12" x14ac:dyDescent="0.25">
      <c r="A30" s="29" t="s">
        <v>157</v>
      </c>
      <c r="B30" s="15" t="s">
        <v>1077</v>
      </c>
      <c r="C30" s="15" t="s">
        <v>149</v>
      </c>
      <c r="D30" s="16">
        <v>29880000</v>
      </c>
      <c r="E30" s="17">
        <v>45292</v>
      </c>
      <c r="F30" s="18">
        <f>MONTH(Data!$E30)</f>
        <v>1</v>
      </c>
      <c r="G30" s="16">
        <f>YEAR(Data!$E30)</f>
        <v>2024</v>
      </c>
      <c r="H30" s="15" t="s">
        <v>32</v>
      </c>
      <c r="I30" s="15" t="str">
        <f t="shared" si="0"/>
        <v>Doanh nghiệp</v>
      </c>
      <c r="J30" s="15" t="s">
        <v>1285</v>
      </c>
      <c r="K30" s="15" t="s">
        <v>1266</v>
      </c>
      <c r="L30" s="32">
        <f>Data!$D30/10^6</f>
        <v>29.88</v>
      </c>
    </row>
    <row r="31" spans="1:12" x14ac:dyDescent="0.25">
      <c r="A31" s="29" t="s">
        <v>68</v>
      </c>
      <c r="B31" s="15" t="s">
        <v>1108</v>
      </c>
      <c r="C31" s="15" t="s">
        <v>149</v>
      </c>
      <c r="D31" s="16">
        <v>68485327</v>
      </c>
      <c r="E31" s="17">
        <v>45292</v>
      </c>
      <c r="F31" s="18">
        <f>MONTH(Data!$E31)</f>
        <v>1</v>
      </c>
      <c r="G31" s="16">
        <f>YEAR(Data!$E31)</f>
        <v>2024</v>
      </c>
      <c r="H31" s="15" t="s">
        <v>22</v>
      </c>
      <c r="I31" s="15" t="str">
        <f t="shared" si="0"/>
        <v>Doanh nghiệp</v>
      </c>
      <c r="J31" s="15" t="s">
        <v>1284</v>
      </c>
      <c r="K31" s="15" t="s">
        <v>1262</v>
      </c>
      <c r="L31" s="32">
        <f>Data!$D31/10^6</f>
        <v>68.485326999999998</v>
      </c>
    </row>
    <row r="32" spans="1:12" x14ac:dyDescent="0.25">
      <c r="A32" s="29" t="s">
        <v>71</v>
      </c>
      <c r="B32" s="15" t="s">
        <v>1057</v>
      </c>
      <c r="C32" s="15" t="s">
        <v>149</v>
      </c>
      <c r="D32" s="16">
        <v>284518490</v>
      </c>
      <c r="E32" s="17">
        <v>45292</v>
      </c>
      <c r="F32" s="18">
        <f>MONTH(Data!$E32)</f>
        <v>1</v>
      </c>
      <c r="G32" s="16">
        <f>YEAR(Data!$E32)</f>
        <v>2024</v>
      </c>
      <c r="H32" s="15" t="s">
        <v>11</v>
      </c>
      <c r="I32" s="15" t="str">
        <f t="shared" si="0"/>
        <v>Doanh nghiệp</v>
      </c>
      <c r="J32" s="15" t="s">
        <v>1285</v>
      </c>
      <c r="K32" s="15" t="s">
        <v>1262</v>
      </c>
      <c r="L32" s="32">
        <f>Data!$D32/10^6</f>
        <v>284.51848999999999</v>
      </c>
    </row>
    <row r="33" spans="1:12" x14ac:dyDescent="0.25">
      <c r="A33" s="29" t="s">
        <v>54</v>
      </c>
      <c r="B33" s="15" t="s">
        <v>1069</v>
      </c>
      <c r="C33" s="15" t="s">
        <v>14</v>
      </c>
      <c r="D33" s="16">
        <v>155513400</v>
      </c>
      <c r="E33" s="17">
        <v>45292</v>
      </c>
      <c r="F33" s="18">
        <f>MONTH(Data!$E33)</f>
        <v>1</v>
      </c>
      <c r="G33" s="16">
        <f>YEAR(Data!$E33)</f>
        <v>2024</v>
      </c>
      <c r="H33" s="15" t="s">
        <v>15</v>
      </c>
      <c r="I33" s="15" t="str">
        <f t="shared" si="0"/>
        <v>Doanh nghiệp</v>
      </c>
      <c r="J33" s="15" t="s">
        <v>1284</v>
      </c>
      <c r="K33" s="15" t="s">
        <v>1264</v>
      </c>
      <c r="L33" s="32">
        <f>Data!$D33/10^6</f>
        <v>155.51339999999999</v>
      </c>
    </row>
    <row r="34" spans="1:12" x14ac:dyDescent="0.25">
      <c r="A34" s="29" t="s">
        <v>21</v>
      </c>
      <c r="B34" s="15" t="s">
        <v>1075</v>
      </c>
      <c r="C34" s="15" t="s">
        <v>10</v>
      </c>
      <c r="D34" s="16">
        <v>41307273</v>
      </c>
      <c r="E34" s="17">
        <v>45292</v>
      </c>
      <c r="F34" s="18">
        <f>MONTH(Data!$E34)</f>
        <v>1</v>
      </c>
      <c r="G34" s="16">
        <f>YEAR(Data!$E34)</f>
        <v>2024</v>
      </c>
      <c r="H34" s="15" t="s">
        <v>22</v>
      </c>
      <c r="I34" s="15" t="str">
        <f t="shared" si="0"/>
        <v>Doanh nghiệp</v>
      </c>
      <c r="J34" s="15" t="s">
        <v>1285</v>
      </c>
      <c r="K34" s="15" t="s">
        <v>1263</v>
      </c>
      <c r="L34" s="32">
        <f>Data!$D34/10^6</f>
        <v>41.307273000000002</v>
      </c>
    </row>
    <row r="35" spans="1:12" x14ac:dyDescent="0.25">
      <c r="A35" s="29" t="s">
        <v>127</v>
      </c>
      <c r="B35" s="15" t="s">
        <v>1076</v>
      </c>
      <c r="C35" s="15" t="s">
        <v>14</v>
      </c>
      <c r="D35" s="16">
        <v>113200000</v>
      </c>
      <c r="E35" s="17">
        <v>45292</v>
      </c>
      <c r="F35" s="18">
        <f>MONTH(Data!$E35)</f>
        <v>1</v>
      </c>
      <c r="G35" s="16">
        <f>YEAR(Data!$E35)</f>
        <v>2024</v>
      </c>
      <c r="H35" s="15" t="s">
        <v>32</v>
      </c>
      <c r="I35" s="15" t="str">
        <f t="shared" si="0"/>
        <v>Doanh nghiệp</v>
      </c>
      <c r="J35" s="15" t="s">
        <v>1284</v>
      </c>
      <c r="K35" s="15" t="s">
        <v>1273</v>
      </c>
      <c r="L35" s="32">
        <f>Data!$D35/10^6</f>
        <v>113.2</v>
      </c>
    </row>
    <row r="36" spans="1:12" x14ac:dyDescent="0.25">
      <c r="A36" s="29" t="s">
        <v>74</v>
      </c>
      <c r="B36" s="15" t="s">
        <v>1078</v>
      </c>
      <c r="C36" s="15" t="s">
        <v>149</v>
      </c>
      <c r="D36" s="16">
        <v>203813527</v>
      </c>
      <c r="E36" s="17">
        <v>45292</v>
      </c>
      <c r="F36" s="18">
        <f>MONTH(Data!$E36)</f>
        <v>1</v>
      </c>
      <c r="G36" s="16">
        <f>YEAR(Data!$E36)</f>
        <v>2024</v>
      </c>
      <c r="H36" s="15" t="s">
        <v>11</v>
      </c>
      <c r="I36" s="15" t="str">
        <f t="shared" si="0"/>
        <v>Doanh nghiệp</v>
      </c>
      <c r="J36" s="15" t="s">
        <v>1285</v>
      </c>
      <c r="K36" s="15" t="s">
        <v>1263</v>
      </c>
      <c r="L36" s="32">
        <f>Data!$D36/10^6</f>
        <v>203.81352699999999</v>
      </c>
    </row>
    <row r="37" spans="1:12" x14ac:dyDescent="0.25">
      <c r="A37" s="29" t="s">
        <v>47</v>
      </c>
      <c r="B37" s="15" t="s">
        <v>1082</v>
      </c>
      <c r="C37" s="15" t="s">
        <v>10</v>
      </c>
      <c r="D37" s="16">
        <v>19908100</v>
      </c>
      <c r="E37" s="17">
        <v>45292</v>
      </c>
      <c r="F37" s="18">
        <f>MONTH(Data!$E37)</f>
        <v>1</v>
      </c>
      <c r="G37" s="16">
        <f>YEAR(Data!$E37)</f>
        <v>2024</v>
      </c>
      <c r="H37" s="15" t="s">
        <v>29</v>
      </c>
      <c r="I37" s="15" t="str">
        <f t="shared" si="0"/>
        <v>Doanh nghiệp</v>
      </c>
      <c r="J37" s="15" t="s">
        <v>1284</v>
      </c>
      <c r="K37" s="15" t="s">
        <v>1263</v>
      </c>
      <c r="L37" s="32">
        <f>Data!$D37/10^6</f>
        <v>19.908100000000001</v>
      </c>
    </row>
    <row r="38" spans="1:12" x14ac:dyDescent="0.25">
      <c r="A38" s="29" t="s">
        <v>52</v>
      </c>
      <c r="B38" s="15" t="s">
        <v>1086</v>
      </c>
      <c r="C38" s="15" t="s">
        <v>149</v>
      </c>
      <c r="D38" s="16">
        <v>72313000</v>
      </c>
      <c r="E38" s="17">
        <v>45292</v>
      </c>
      <c r="F38" s="18">
        <f>MONTH(Data!$E38)</f>
        <v>1</v>
      </c>
      <c r="G38" s="16">
        <f>YEAR(Data!$E38)</f>
        <v>2024</v>
      </c>
      <c r="H38" s="15" t="s">
        <v>35</v>
      </c>
      <c r="I38" s="15" t="str">
        <f t="shared" si="0"/>
        <v>Doanh nghiệp</v>
      </c>
      <c r="J38" s="15" t="s">
        <v>1285</v>
      </c>
      <c r="K38" s="15" t="s">
        <v>1264</v>
      </c>
      <c r="L38" s="32">
        <f>Data!$D38/10^6</f>
        <v>72.313000000000002</v>
      </c>
    </row>
    <row r="39" spans="1:12" x14ac:dyDescent="0.25">
      <c r="A39" s="29" t="s">
        <v>30</v>
      </c>
      <c r="B39" s="15" t="s">
        <v>1105</v>
      </c>
      <c r="C39" s="15" t="s">
        <v>14</v>
      </c>
      <c r="D39" s="16">
        <v>31784545</v>
      </c>
      <c r="E39" s="17">
        <v>45292</v>
      </c>
      <c r="F39" s="18">
        <f>MONTH(Data!$E39)</f>
        <v>1</v>
      </c>
      <c r="G39" s="16">
        <f>YEAR(Data!$E39)</f>
        <v>2024</v>
      </c>
      <c r="H39" s="15" t="s">
        <v>32</v>
      </c>
      <c r="I39" s="15" t="str">
        <f t="shared" si="0"/>
        <v>Doanh nghiệp</v>
      </c>
      <c r="J39" s="15" t="s">
        <v>1284</v>
      </c>
      <c r="K39" s="15" t="s">
        <v>1264</v>
      </c>
      <c r="L39" s="32">
        <f>Data!$D39/10^6</f>
        <v>31.784545000000001</v>
      </c>
    </row>
    <row r="40" spans="1:12" x14ac:dyDescent="0.25">
      <c r="A40" s="29" t="s">
        <v>71</v>
      </c>
      <c r="B40" s="15" t="s">
        <v>1106</v>
      </c>
      <c r="C40" s="15" t="s">
        <v>149</v>
      </c>
      <c r="D40" s="16">
        <v>54332970</v>
      </c>
      <c r="E40" s="17">
        <v>45292</v>
      </c>
      <c r="F40" s="18">
        <f>MONTH(Data!$E40)</f>
        <v>1</v>
      </c>
      <c r="G40" s="16">
        <f>YEAR(Data!$E40)</f>
        <v>2024</v>
      </c>
      <c r="H40" s="15" t="s">
        <v>11</v>
      </c>
      <c r="I40" s="15" t="str">
        <f t="shared" si="0"/>
        <v>Doanh nghiệp</v>
      </c>
      <c r="J40" s="15" t="s">
        <v>1285</v>
      </c>
      <c r="K40" s="15" t="s">
        <v>1273</v>
      </c>
      <c r="L40" s="32">
        <f>Data!$D40/10^6</f>
        <v>54.332970000000003</v>
      </c>
    </row>
    <row r="41" spans="1:12" x14ac:dyDescent="0.25">
      <c r="A41" s="29" t="s">
        <v>102</v>
      </c>
      <c r="B41" s="15" t="s">
        <v>1121</v>
      </c>
      <c r="C41" s="15" t="s">
        <v>149</v>
      </c>
      <c r="D41" s="16">
        <v>95379551</v>
      </c>
      <c r="E41" s="17">
        <v>45292</v>
      </c>
      <c r="F41" s="18">
        <f>MONTH(Data!$E41)</f>
        <v>1</v>
      </c>
      <c r="G41" s="16">
        <f>YEAR(Data!$E41)</f>
        <v>2024</v>
      </c>
      <c r="H41" s="15" t="s">
        <v>22</v>
      </c>
      <c r="I41" s="15" t="str">
        <f t="shared" si="0"/>
        <v>Doanh nghiệp</v>
      </c>
      <c r="J41" s="15" t="s">
        <v>1284</v>
      </c>
      <c r="K41" s="15" t="s">
        <v>1264</v>
      </c>
      <c r="L41" s="32">
        <f>Data!$D41/10^6</f>
        <v>95.379551000000006</v>
      </c>
    </row>
    <row r="42" spans="1:12" x14ac:dyDescent="0.25">
      <c r="A42" s="29" t="s">
        <v>109</v>
      </c>
      <c r="B42" s="15" t="s">
        <v>1028</v>
      </c>
      <c r="C42" s="15" t="s">
        <v>10</v>
      </c>
      <c r="D42" s="16">
        <v>24732727</v>
      </c>
      <c r="E42" s="17">
        <v>45292</v>
      </c>
      <c r="F42" s="18">
        <f>MONTH(Data!$E42)</f>
        <v>1</v>
      </c>
      <c r="G42" s="16">
        <f>YEAR(Data!$E42)</f>
        <v>2024</v>
      </c>
      <c r="H42" s="15" t="s">
        <v>22</v>
      </c>
      <c r="I42" s="15" t="str">
        <f t="shared" si="0"/>
        <v>Doanh nghiệp</v>
      </c>
      <c r="J42" s="15" t="s">
        <v>1285</v>
      </c>
      <c r="K42" s="15" t="s">
        <v>1263</v>
      </c>
      <c r="L42" s="32">
        <f>Data!$D42/10^6</f>
        <v>24.732727000000001</v>
      </c>
    </row>
    <row r="43" spans="1:12" x14ac:dyDescent="0.25">
      <c r="A43" s="29" t="s">
        <v>33</v>
      </c>
      <c r="B43" s="15" t="s">
        <v>1030</v>
      </c>
      <c r="C43" s="15" t="s">
        <v>14</v>
      </c>
      <c r="D43" s="16">
        <v>117938000</v>
      </c>
      <c r="E43" s="17">
        <v>45292</v>
      </c>
      <c r="F43" s="18">
        <f>MONTH(Data!$E43)</f>
        <v>1</v>
      </c>
      <c r="G43" s="16">
        <f>YEAR(Data!$E43)</f>
        <v>2024</v>
      </c>
      <c r="H43" s="15" t="s">
        <v>35</v>
      </c>
      <c r="I43" s="15" t="str">
        <f t="shared" si="0"/>
        <v>Doanh nghiệp</v>
      </c>
      <c r="J43" s="15" t="s">
        <v>1284</v>
      </c>
      <c r="K43" s="15" t="s">
        <v>1264</v>
      </c>
      <c r="L43" s="32">
        <f>Data!$D43/10^6</f>
        <v>117.938</v>
      </c>
    </row>
    <row r="44" spans="1:12" x14ac:dyDescent="0.25">
      <c r="A44" s="29" t="s">
        <v>21</v>
      </c>
      <c r="B44" s="15" t="s">
        <v>1051</v>
      </c>
      <c r="C44" s="15" t="s">
        <v>10</v>
      </c>
      <c r="D44" s="16">
        <v>35550000</v>
      </c>
      <c r="E44" s="17">
        <v>45292</v>
      </c>
      <c r="F44" s="18">
        <f>MONTH(Data!$E44)</f>
        <v>1</v>
      </c>
      <c r="G44" s="16">
        <f>YEAR(Data!$E44)</f>
        <v>2024</v>
      </c>
      <c r="H44" s="15" t="s">
        <v>22</v>
      </c>
      <c r="I44" s="15" t="str">
        <f t="shared" si="0"/>
        <v>Doanh nghiệp</v>
      </c>
      <c r="J44" s="15" t="s">
        <v>1285</v>
      </c>
      <c r="K44" s="15" t="s">
        <v>1263</v>
      </c>
      <c r="L44" s="32">
        <f>Data!$D44/10^6</f>
        <v>35.549999999999997</v>
      </c>
    </row>
    <row r="45" spans="1:12" x14ac:dyDescent="0.25">
      <c r="A45" s="29" t="s">
        <v>100</v>
      </c>
      <c r="B45" s="15" t="s">
        <v>1054</v>
      </c>
      <c r="C45" s="15" t="s">
        <v>14</v>
      </c>
      <c r="D45" s="16">
        <v>29150000</v>
      </c>
      <c r="E45" s="17">
        <v>45292</v>
      </c>
      <c r="F45" s="18">
        <f>MONTH(Data!$E45)</f>
        <v>1</v>
      </c>
      <c r="G45" s="16">
        <f>YEAR(Data!$E45)</f>
        <v>2024</v>
      </c>
      <c r="H45" s="15" t="s">
        <v>42</v>
      </c>
      <c r="I45" s="15" t="str">
        <f t="shared" si="0"/>
        <v>Doanh nghiệp</v>
      </c>
      <c r="J45" s="15" t="s">
        <v>1284</v>
      </c>
      <c r="K45" s="15" t="s">
        <v>1272</v>
      </c>
      <c r="L45" s="32">
        <f>Data!$D45/10^6</f>
        <v>29.15</v>
      </c>
    </row>
    <row r="46" spans="1:12" x14ac:dyDescent="0.25">
      <c r="A46" s="29" t="s">
        <v>56</v>
      </c>
      <c r="B46" s="15" t="s">
        <v>1062</v>
      </c>
      <c r="C46" s="15" t="s">
        <v>149</v>
      </c>
      <c r="D46" s="16">
        <v>12760000</v>
      </c>
      <c r="E46" s="17">
        <v>45292</v>
      </c>
      <c r="F46" s="18">
        <f>MONTH(Data!$E46)</f>
        <v>1</v>
      </c>
      <c r="G46" s="16">
        <f>YEAR(Data!$E46)</f>
        <v>2024</v>
      </c>
      <c r="H46" s="15" t="s">
        <v>25</v>
      </c>
      <c r="I46" s="15" t="str">
        <f t="shared" si="0"/>
        <v>Doanh nghiệp</v>
      </c>
      <c r="J46" s="15" t="s">
        <v>1285</v>
      </c>
      <c r="K46" s="15" t="s">
        <v>1262</v>
      </c>
      <c r="L46" s="32">
        <f>Data!$D46/10^6</f>
        <v>12.76</v>
      </c>
    </row>
    <row r="47" spans="1:12" x14ac:dyDescent="0.25">
      <c r="A47" s="29" t="s">
        <v>39</v>
      </c>
      <c r="B47" s="15" t="s">
        <v>1069</v>
      </c>
      <c r="C47" s="15" t="s">
        <v>149</v>
      </c>
      <c r="D47" s="16">
        <v>2385573085</v>
      </c>
      <c r="E47" s="17">
        <v>45292</v>
      </c>
      <c r="F47" s="18">
        <f>MONTH(Data!$E47)</f>
        <v>1</v>
      </c>
      <c r="G47" s="16">
        <f>YEAR(Data!$E47)</f>
        <v>2024</v>
      </c>
      <c r="H47" s="15" t="s">
        <v>42</v>
      </c>
      <c r="I47" s="15" t="str">
        <f t="shared" si="0"/>
        <v>Doanh nghiệp</v>
      </c>
      <c r="J47" s="15" t="s">
        <v>1284</v>
      </c>
      <c r="K47" s="15" t="s">
        <v>1262</v>
      </c>
      <c r="L47" s="32">
        <f>Data!$D47/10^6</f>
        <v>2385.573085</v>
      </c>
    </row>
    <row r="48" spans="1:12" x14ac:dyDescent="0.25">
      <c r="A48" s="29" t="s">
        <v>72</v>
      </c>
      <c r="B48" s="15" t="s">
        <v>1071</v>
      </c>
      <c r="C48" s="15" t="s">
        <v>10</v>
      </c>
      <c r="D48" s="16">
        <v>252495455</v>
      </c>
      <c r="E48" s="17">
        <v>45292</v>
      </c>
      <c r="F48" s="18">
        <f>MONTH(Data!$E48)</f>
        <v>1</v>
      </c>
      <c r="G48" s="16">
        <f>YEAR(Data!$E48)</f>
        <v>2024</v>
      </c>
      <c r="H48" s="15" t="s">
        <v>22</v>
      </c>
      <c r="I48" s="15" t="str">
        <f t="shared" si="0"/>
        <v>Doanh nghiệp</v>
      </c>
      <c r="J48" s="15" t="s">
        <v>1285</v>
      </c>
      <c r="K48" s="15" t="s">
        <v>1262</v>
      </c>
      <c r="L48" s="32">
        <f>Data!$D48/10^6</f>
        <v>252.49545499999999</v>
      </c>
    </row>
    <row r="49" spans="1:12" x14ac:dyDescent="0.25">
      <c r="A49" s="29" t="s">
        <v>52</v>
      </c>
      <c r="B49" s="15" t="s">
        <v>1074</v>
      </c>
      <c r="C49" s="15" t="s">
        <v>14</v>
      </c>
      <c r="D49" s="16">
        <v>39260909</v>
      </c>
      <c r="E49" s="17">
        <v>45292</v>
      </c>
      <c r="F49" s="18">
        <f>MONTH(Data!$E49)</f>
        <v>1</v>
      </c>
      <c r="G49" s="16">
        <f>YEAR(Data!$E49)</f>
        <v>2024</v>
      </c>
      <c r="H49" s="15" t="s">
        <v>35</v>
      </c>
      <c r="I49" s="15" t="str">
        <f t="shared" si="0"/>
        <v>Doanh nghiệp</v>
      </c>
      <c r="J49" s="15" t="s">
        <v>1284</v>
      </c>
      <c r="K49" s="15" t="s">
        <v>1264</v>
      </c>
      <c r="L49" s="32">
        <f>Data!$D49/10^6</f>
        <v>39.260908999999998</v>
      </c>
    </row>
    <row r="50" spans="1:12" x14ac:dyDescent="0.25">
      <c r="A50" s="29" t="s">
        <v>50</v>
      </c>
      <c r="B50" s="15" t="s">
        <v>1087</v>
      </c>
      <c r="C50" s="15" t="s">
        <v>10</v>
      </c>
      <c r="D50" s="16">
        <v>65493000</v>
      </c>
      <c r="E50" s="17">
        <v>45292</v>
      </c>
      <c r="F50" s="18">
        <f>MONTH(Data!$E50)</f>
        <v>1</v>
      </c>
      <c r="G50" s="16">
        <f>YEAR(Data!$E50)</f>
        <v>2024</v>
      </c>
      <c r="H50" s="15" t="s">
        <v>35</v>
      </c>
      <c r="I50" s="15" t="str">
        <f t="shared" si="0"/>
        <v>Doanh nghiệp</v>
      </c>
      <c r="J50" s="15" t="s">
        <v>1285</v>
      </c>
      <c r="K50" s="15" t="s">
        <v>1263</v>
      </c>
      <c r="L50" s="32">
        <f>Data!$D50/10^6</f>
        <v>65.492999999999995</v>
      </c>
    </row>
    <row r="51" spans="1:12" x14ac:dyDescent="0.25">
      <c r="A51" s="29" t="s">
        <v>30</v>
      </c>
      <c r="B51" s="15" t="s">
        <v>1093</v>
      </c>
      <c r="C51" s="15" t="s">
        <v>10</v>
      </c>
      <c r="D51" s="16">
        <v>679344091</v>
      </c>
      <c r="E51" s="17">
        <v>45292</v>
      </c>
      <c r="F51" s="18">
        <f>MONTH(Data!$E51)</f>
        <v>1</v>
      </c>
      <c r="G51" s="16">
        <f>YEAR(Data!$E51)</f>
        <v>2024</v>
      </c>
      <c r="H51" s="15" t="s">
        <v>32</v>
      </c>
      <c r="I51" s="15" t="str">
        <f t="shared" si="0"/>
        <v>Doanh nghiệp</v>
      </c>
      <c r="J51" s="15" t="s">
        <v>1284</v>
      </c>
      <c r="K51" s="15" t="s">
        <v>1267</v>
      </c>
      <c r="L51" s="32">
        <f>Data!$D51/10^6</f>
        <v>679.34409100000005</v>
      </c>
    </row>
    <row r="52" spans="1:12" x14ac:dyDescent="0.25">
      <c r="A52" s="29" t="s">
        <v>30</v>
      </c>
      <c r="B52" s="15" t="s">
        <v>1094</v>
      </c>
      <c r="C52" s="15" t="s">
        <v>10</v>
      </c>
      <c r="D52" s="16">
        <v>1253945255</v>
      </c>
      <c r="E52" s="17">
        <v>45292</v>
      </c>
      <c r="F52" s="18">
        <f>MONTH(Data!$E52)</f>
        <v>1</v>
      </c>
      <c r="G52" s="16">
        <f>YEAR(Data!$E52)</f>
        <v>2024</v>
      </c>
      <c r="H52" s="15" t="s">
        <v>32</v>
      </c>
      <c r="I52" s="15" t="str">
        <f t="shared" si="0"/>
        <v>Doanh nghiệp</v>
      </c>
      <c r="J52" s="15" t="s">
        <v>1285</v>
      </c>
      <c r="K52" s="15" t="s">
        <v>1267</v>
      </c>
      <c r="L52" s="32">
        <f>Data!$D52/10^6</f>
        <v>1253.9452550000001</v>
      </c>
    </row>
    <row r="53" spans="1:12" x14ac:dyDescent="0.25">
      <c r="A53" s="29" t="s">
        <v>56</v>
      </c>
      <c r="B53" s="15" t="s">
        <v>1032</v>
      </c>
      <c r="C53" s="15" t="s">
        <v>149</v>
      </c>
      <c r="D53" s="16">
        <v>37200000</v>
      </c>
      <c r="E53" s="17">
        <v>45292</v>
      </c>
      <c r="F53" s="18">
        <f>MONTH(Data!$E53)</f>
        <v>1</v>
      </c>
      <c r="G53" s="16">
        <f>YEAR(Data!$E53)</f>
        <v>2024</v>
      </c>
      <c r="H53" s="15" t="s">
        <v>25</v>
      </c>
      <c r="I53" s="15" t="str">
        <f t="shared" si="0"/>
        <v>Doanh nghiệp</v>
      </c>
      <c r="J53" s="15" t="s">
        <v>1284</v>
      </c>
      <c r="K53" s="15" t="s">
        <v>1262</v>
      </c>
      <c r="L53" s="32">
        <f>Data!$D53/10^6</f>
        <v>37.200000000000003</v>
      </c>
    </row>
    <row r="54" spans="1:12" x14ac:dyDescent="0.25">
      <c r="A54" s="29" t="s">
        <v>73</v>
      </c>
      <c r="B54" s="15" t="s">
        <v>1035</v>
      </c>
      <c r="C54" s="15" t="s">
        <v>10</v>
      </c>
      <c r="D54" s="16">
        <v>13952108</v>
      </c>
      <c r="E54" s="17">
        <v>45292</v>
      </c>
      <c r="F54" s="18">
        <f>MONTH(Data!$E54)</f>
        <v>1</v>
      </c>
      <c r="G54" s="16">
        <f>YEAR(Data!$E54)</f>
        <v>2024</v>
      </c>
      <c r="H54" s="15" t="s">
        <v>32</v>
      </c>
      <c r="I54" s="15" t="str">
        <f t="shared" si="0"/>
        <v>Doanh nghiệp</v>
      </c>
      <c r="J54" s="15" t="s">
        <v>1285</v>
      </c>
      <c r="K54" s="15" t="s">
        <v>1263</v>
      </c>
      <c r="L54" s="32">
        <f>Data!$D54/10^6</f>
        <v>13.952108000000001</v>
      </c>
    </row>
    <row r="55" spans="1:12" x14ac:dyDescent="0.25">
      <c r="A55" s="29" t="s">
        <v>73</v>
      </c>
      <c r="B55" s="15" t="s">
        <v>1037</v>
      </c>
      <c r="C55" s="15" t="s">
        <v>10</v>
      </c>
      <c r="D55" s="16">
        <v>17100000</v>
      </c>
      <c r="E55" s="17">
        <v>45292</v>
      </c>
      <c r="F55" s="18">
        <f>MONTH(Data!$E55)</f>
        <v>1</v>
      </c>
      <c r="G55" s="16">
        <f>YEAR(Data!$E55)</f>
        <v>2024</v>
      </c>
      <c r="H55" s="15" t="s">
        <v>32</v>
      </c>
      <c r="I55" s="15" t="str">
        <f t="shared" si="0"/>
        <v>Doanh nghiệp</v>
      </c>
      <c r="J55" s="15" t="s">
        <v>1284</v>
      </c>
      <c r="K55" s="15" t="s">
        <v>1267</v>
      </c>
      <c r="L55" s="32">
        <f>Data!$D55/10^6</f>
        <v>17.100000000000001</v>
      </c>
    </row>
    <row r="56" spans="1:12" x14ac:dyDescent="0.25">
      <c r="A56" s="29" t="s">
        <v>160</v>
      </c>
      <c r="B56" s="15" t="s">
        <v>1093</v>
      </c>
      <c r="C56" s="15" t="s">
        <v>14</v>
      </c>
      <c r="D56" s="16">
        <v>412363636</v>
      </c>
      <c r="E56" s="17">
        <v>45292</v>
      </c>
      <c r="F56" s="18">
        <f>MONTH(Data!$E56)</f>
        <v>1</v>
      </c>
      <c r="G56" s="16">
        <f>YEAR(Data!$E56)</f>
        <v>2024</v>
      </c>
      <c r="H56" s="15" t="s">
        <v>35</v>
      </c>
      <c r="I56" s="15" t="str">
        <f t="shared" si="0"/>
        <v>Doanh nghiệp</v>
      </c>
      <c r="J56" s="15" t="s">
        <v>1285</v>
      </c>
      <c r="K56" s="15" t="s">
        <v>1274</v>
      </c>
      <c r="L56" s="32">
        <f>Data!$D56/10^6</f>
        <v>412.36363599999999</v>
      </c>
    </row>
    <row r="57" spans="1:12" x14ac:dyDescent="0.25">
      <c r="A57" s="29" t="s">
        <v>109</v>
      </c>
      <c r="B57" s="15" t="s">
        <v>1098</v>
      </c>
      <c r="C57" s="15" t="s">
        <v>10</v>
      </c>
      <c r="D57" s="16">
        <v>15918182</v>
      </c>
      <c r="E57" s="17">
        <v>45292</v>
      </c>
      <c r="F57" s="18">
        <f>MONTH(Data!$E57)</f>
        <v>1</v>
      </c>
      <c r="G57" s="16">
        <f>YEAR(Data!$E57)</f>
        <v>2024</v>
      </c>
      <c r="H57" s="15" t="s">
        <v>22</v>
      </c>
      <c r="I57" s="15" t="str">
        <f t="shared" si="0"/>
        <v>Doanh nghiệp</v>
      </c>
      <c r="J57" s="15" t="s">
        <v>1284</v>
      </c>
      <c r="K57" s="15" t="s">
        <v>1263</v>
      </c>
      <c r="L57" s="32">
        <f>Data!$D57/10^6</f>
        <v>15.918182</v>
      </c>
    </row>
    <row r="58" spans="1:12" x14ac:dyDescent="0.25">
      <c r="A58" s="29" t="s">
        <v>85</v>
      </c>
      <c r="B58" s="15" t="s">
        <v>1107</v>
      </c>
      <c r="C58" s="15" t="s">
        <v>10</v>
      </c>
      <c r="D58" s="16">
        <v>26267727</v>
      </c>
      <c r="E58" s="17">
        <v>45292</v>
      </c>
      <c r="F58" s="18">
        <f>MONTH(Data!$E58)</f>
        <v>1</v>
      </c>
      <c r="G58" s="16">
        <f>YEAR(Data!$E58)</f>
        <v>2024</v>
      </c>
      <c r="H58" s="15" t="s">
        <v>15</v>
      </c>
      <c r="I58" s="15" t="str">
        <f t="shared" si="0"/>
        <v>Doanh nghiệp</v>
      </c>
      <c r="J58" s="15" t="s">
        <v>1285</v>
      </c>
      <c r="K58" s="15" t="s">
        <v>1262</v>
      </c>
      <c r="L58" s="32">
        <f>Data!$D58/10^6</f>
        <v>26.267727000000001</v>
      </c>
    </row>
    <row r="59" spans="1:12" x14ac:dyDescent="0.25">
      <c r="A59" s="29" t="s">
        <v>51</v>
      </c>
      <c r="B59" s="15" t="s">
        <v>1118</v>
      </c>
      <c r="C59" s="15" t="s">
        <v>10</v>
      </c>
      <c r="D59" s="16">
        <v>19546182</v>
      </c>
      <c r="E59" s="17">
        <v>45292</v>
      </c>
      <c r="F59" s="18">
        <f>MONTH(Data!$E59)</f>
        <v>1</v>
      </c>
      <c r="G59" s="16">
        <f>YEAR(Data!$E59)</f>
        <v>2024</v>
      </c>
      <c r="H59" s="15" t="s">
        <v>42</v>
      </c>
      <c r="I59" s="15" t="str">
        <f t="shared" si="0"/>
        <v>Doanh nghiệp</v>
      </c>
      <c r="J59" s="15" t="s">
        <v>1284</v>
      </c>
      <c r="K59" s="15" t="s">
        <v>1262</v>
      </c>
      <c r="L59" s="32">
        <f>Data!$D59/10^6</f>
        <v>19.546182000000002</v>
      </c>
    </row>
    <row r="60" spans="1:12" x14ac:dyDescent="0.25">
      <c r="A60" s="29" t="s">
        <v>51</v>
      </c>
      <c r="B60" s="15" t="s">
        <v>1119</v>
      </c>
      <c r="C60" s="15" t="s">
        <v>46</v>
      </c>
      <c r="D60" s="16">
        <v>56247273</v>
      </c>
      <c r="E60" s="17">
        <v>45292</v>
      </c>
      <c r="F60" s="18">
        <f>MONTH(Data!$E60)</f>
        <v>1</v>
      </c>
      <c r="G60" s="16">
        <f>YEAR(Data!$E60)</f>
        <v>2024</v>
      </c>
      <c r="H60" s="15" t="s">
        <v>42</v>
      </c>
      <c r="I60" s="15" t="str">
        <f t="shared" si="0"/>
        <v>Doanh nghiệp</v>
      </c>
      <c r="J60" s="15" t="s">
        <v>1285</v>
      </c>
      <c r="K60" s="15" t="s">
        <v>1265</v>
      </c>
      <c r="L60" s="32">
        <f>Data!$D60/10^6</f>
        <v>56.247273</v>
      </c>
    </row>
    <row r="61" spans="1:12" x14ac:dyDescent="0.25">
      <c r="A61" s="29" t="s">
        <v>85</v>
      </c>
      <c r="B61" s="15" t="s">
        <v>1056</v>
      </c>
      <c r="C61" s="15" t="s">
        <v>10</v>
      </c>
      <c r="D61" s="16">
        <v>27697628</v>
      </c>
      <c r="E61" s="17">
        <v>45292</v>
      </c>
      <c r="F61" s="18">
        <f>MONTH(Data!$E61)</f>
        <v>1</v>
      </c>
      <c r="G61" s="16">
        <f>YEAR(Data!$E61)</f>
        <v>2024</v>
      </c>
      <c r="H61" s="15" t="s">
        <v>15</v>
      </c>
      <c r="I61" s="15" t="str">
        <f t="shared" si="0"/>
        <v>Doanh nghiệp</v>
      </c>
      <c r="J61" s="15" t="s">
        <v>1284</v>
      </c>
      <c r="K61" s="15" t="s">
        <v>1263</v>
      </c>
      <c r="L61" s="32">
        <f>Data!$D61/10^6</f>
        <v>27.697628000000002</v>
      </c>
    </row>
    <row r="62" spans="1:12" x14ac:dyDescent="0.25">
      <c r="A62" s="29" t="s">
        <v>30</v>
      </c>
      <c r="B62" s="15" t="s">
        <v>1057</v>
      </c>
      <c r="C62" s="15" t="s">
        <v>10</v>
      </c>
      <c r="D62" s="16">
        <v>23721364</v>
      </c>
      <c r="E62" s="17">
        <v>45292</v>
      </c>
      <c r="F62" s="18">
        <f>MONTH(Data!$E62)</f>
        <v>1</v>
      </c>
      <c r="G62" s="16">
        <f>YEAR(Data!$E62)</f>
        <v>2024</v>
      </c>
      <c r="H62" s="15" t="s">
        <v>32</v>
      </c>
      <c r="I62" s="15" t="str">
        <f t="shared" si="0"/>
        <v>Doanh nghiệp</v>
      </c>
      <c r="J62" s="15" t="s">
        <v>1285</v>
      </c>
      <c r="K62" s="15" t="s">
        <v>1262</v>
      </c>
      <c r="L62" s="32">
        <f>Data!$D62/10^6</f>
        <v>23.721364000000001</v>
      </c>
    </row>
    <row r="63" spans="1:12" x14ac:dyDescent="0.25">
      <c r="A63" s="29" t="s">
        <v>30</v>
      </c>
      <c r="B63" s="15" t="s">
        <v>1058</v>
      </c>
      <c r="C63" s="15" t="s">
        <v>10</v>
      </c>
      <c r="D63" s="16">
        <v>26814091</v>
      </c>
      <c r="E63" s="17">
        <v>45292</v>
      </c>
      <c r="F63" s="18">
        <f>MONTH(Data!$E63)</f>
        <v>1</v>
      </c>
      <c r="G63" s="16">
        <f>YEAR(Data!$E63)</f>
        <v>2024</v>
      </c>
      <c r="H63" s="15" t="s">
        <v>32</v>
      </c>
      <c r="I63" s="15" t="str">
        <f t="shared" si="0"/>
        <v>Doanh nghiệp</v>
      </c>
      <c r="J63" s="15" t="s">
        <v>1284</v>
      </c>
      <c r="K63" s="15" t="s">
        <v>1262</v>
      </c>
      <c r="L63" s="32">
        <f>Data!$D63/10^6</f>
        <v>26.814091000000001</v>
      </c>
    </row>
    <row r="64" spans="1:12" x14ac:dyDescent="0.25">
      <c r="A64" s="29" t="s">
        <v>78</v>
      </c>
      <c r="B64" s="15" t="s">
        <v>1060</v>
      </c>
      <c r="C64" s="15" t="s">
        <v>14</v>
      </c>
      <c r="D64" s="16">
        <v>29245455</v>
      </c>
      <c r="E64" s="17">
        <v>45292</v>
      </c>
      <c r="F64" s="18">
        <f>MONTH(Data!$E64)</f>
        <v>1</v>
      </c>
      <c r="G64" s="16">
        <f>YEAR(Data!$E64)</f>
        <v>2024</v>
      </c>
      <c r="H64" s="15" t="s">
        <v>15</v>
      </c>
      <c r="I64" s="15" t="str">
        <f t="shared" si="0"/>
        <v>Doanh nghiệp</v>
      </c>
      <c r="J64" s="15" t="s">
        <v>1285</v>
      </c>
      <c r="K64" s="15" t="s">
        <v>1275</v>
      </c>
      <c r="L64" s="32">
        <f>Data!$D64/10^6</f>
        <v>29.245455</v>
      </c>
    </row>
    <row r="65" spans="1:12" x14ac:dyDescent="0.25">
      <c r="A65" s="29" t="s">
        <v>48</v>
      </c>
      <c r="B65" s="15" t="s">
        <v>1064</v>
      </c>
      <c r="C65" s="15" t="s">
        <v>10</v>
      </c>
      <c r="D65" s="16">
        <v>13411818</v>
      </c>
      <c r="E65" s="17">
        <v>45292</v>
      </c>
      <c r="F65" s="18">
        <f>MONTH(Data!$E65)</f>
        <v>1</v>
      </c>
      <c r="G65" s="16">
        <f>YEAR(Data!$E65)</f>
        <v>2024</v>
      </c>
      <c r="H65" s="15" t="s">
        <v>25</v>
      </c>
      <c r="I65" s="15" t="str">
        <f t="shared" si="0"/>
        <v>Doanh nghiệp</v>
      </c>
      <c r="J65" s="15" t="s">
        <v>1284</v>
      </c>
      <c r="K65" s="15" t="s">
        <v>1263</v>
      </c>
      <c r="L65" s="32">
        <f>Data!$D65/10^6</f>
        <v>13.411818</v>
      </c>
    </row>
    <row r="66" spans="1:12" x14ac:dyDescent="0.25">
      <c r="A66" s="29" t="s">
        <v>36</v>
      </c>
      <c r="B66" s="15" t="s">
        <v>1071</v>
      </c>
      <c r="C66" s="15" t="s">
        <v>14</v>
      </c>
      <c r="D66" s="16">
        <v>139454545</v>
      </c>
      <c r="E66" s="17">
        <v>45292</v>
      </c>
      <c r="F66" s="18">
        <f>MONTH(Data!$E66)</f>
        <v>1</v>
      </c>
      <c r="G66" s="16">
        <f>YEAR(Data!$E66)</f>
        <v>2024</v>
      </c>
      <c r="H66" s="15" t="s">
        <v>15</v>
      </c>
      <c r="I66" s="15" t="str">
        <f t="shared" si="0"/>
        <v>Doanh nghiệp</v>
      </c>
      <c r="J66" s="15" t="s">
        <v>1285</v>
      </c>
      <c r="K66" s="15" t="s">
        <v>1275</v>
      </c>
      <c r="L66" s="32">
        <f>Data!$D66/10^6</f>
        <v>139.454545</v>
      </c>
    </row>
    <row r="67" spans="1:12" x14ac:dyDescent="0.25">
      <c r="A67" s="29" t="s">
        <v>56</v>
      </c>
      <c r="B67" s="15" t="s">
        <v>1078</v>
      </c>
      <c r="C67" s="15" t="s">
        <v>10</v>
      </c>
      <c r="D67" s="16">
        <v>20057000</v>
      </c>
      <c r="E67" s="17">
        <v>45292</v>
      </c>
      <c r="F67" s="18">
        <f>MONTH(Data!$E67)</f>
        <v>1</v>
      </c>
      <c r="G67" s="16">
        <f>YEAR(Data!$E67)</f>
        <v>2024</v>
      </c>
      <c r="H67" s="15" t="s">
        <v>25</v>
      </c>
      <c r="I67" s="15" t="str">
        <f t="shared" ref="I67:I130" si="1">IF(ISNUMBER(SEARCH("Công ty",$B67)),"Doanh nghiệp",IF(ISNUMBER(SEARCH("Doanh nghiệp",$B67)),"Doanh nghiệp",IF(ISNUMBER(SEARCH("Tập đoàn",$B67)),"Doanh nghiệp",
IF(ISNUMBER(SEARCH("Bệnh viện",$B67)),"Bệnh viện",
IF(ISNUMBER(SEARCH("Ngân hàng",$B67)),"Ngân hàng",IF(ISNUMBER(SEARCH("trường",$B67)),"Trường học",IF(ISNUMBER(SEARCH("học viện",$B67)),"Trường học",
IF(ISNUMBER(SEARCH("Bộ",$B67)),"Sở ban ngành",IF(ISNUMBER(SEARCH("Đoàn",$B67)),"Sở ban ngành",IF(ISNUMBER(SEARCH("Phòng",$B67)),"Sở ban ngành",IF(ISNUMBER(SEARCH("UBND",$B67)),"Sở ban ngành",IF(ISNUMBER(SEARCH("ủy ban",$B67)),"Sở ban ngành",IF(ISNUMBER(SEARCH("công an",$B67)),"Sở ban ngành",IF(ISNUMBER(SEARCH("sở",$B67)),"Sở ban ngành",IF(ISNUMBER(SEARCH("thôn",$B67)),"Sở ban ngành",IF(ISNUMBER(SEARCH("xã",$B67)),"Sở ban ngành",IF(ISNUMBER(SEARCH("quân khu",$B67)),"Sở ban ngành",IF(ISNUMBER(SEARCH("cục",$B67)),"Sở ban ngành",IF(ISNUMBER(SEARCH("viện",$B67)),"Sở ban ngành",IF(ISNUMBER(SEARCH("quỹ",$B67)),"Sở ban ngành",IF(ISNUMBER(SEARCH("trung tâm",$B67)),"Sở ban ngành",IF(ISNUMBER(SEARCH("quân chủng",$B67)),"Sở ban ngành",IF(ISNUMBER(SEARCH("hội",$B67)),"Sở ban ngành",
"Khác")))))))))))))))))))))))</f>
        <v>Doanh nghiệp</v>
      </c>
      <c r="J67" s="15" t="s">
        <v>1284</v>
      </c>
      <c r="K67" s="15" t="s">
        <v>1263</v>
      </c>
      <c r="L67" s="32">
        <f>Data!$D67/10^6</f>
        <v>20.056999999999999</v>
      </c>
    </row>
    <row r="68" spans="1:12" x14ac:dyDescent="0.25">
      <c r="A68" s="29" t="s">
        <v>30</v>
      </c>
      <c r="B68" s="15" t="s">
        <v>1089</v>
      </c>
      <c r="C68" s="15" t="s">
        <v>10</v>
      </c>
      <c r="D68" s="16">
        <v>54545455</v>
      </c>
      <c r="E68" s="17">
        <v>45292</v>
      </c>
      <c r="F68" s="18">
        <f>MONTH(Data!$E68)</f>
        <v>1</v>
      </c>
      <c r="G68" s="16">
        <f>YEAR(Data!$E68)</f>
        <v>2024</v>
      </c>
      <c r="H68" s="15" t="s">
        <v>32</v>
      </c>
      <c r="I68" s="15" t="str">
        <f t="shared" si="1"/>
        <v>Doanh nghiệp</v>
      </c>
      <c r="J68" s="15" t="s">
        <v>1285</v>
      </c>
      <c r="K68" s="15" t="s">
        <v>1276</v>
      </c>
      <c r="L68" s="32">
        <f>Data!$D68/10^6</f>
        <v>54.545454999999997</v>
      </c>
    </row>
    <row r="69" spans="1:12" x14ac:dyDescent="0.25">
      <c r="A69" s="29" t="s">
        <v>30</v>
      </c>
      <c r="B69" s="15" t="s">
        <v>1094</v>
      </c>
      <c r="C69" s="15" t="s">
        <v>10</v>
      </c>
      <c r="D69" s="16">
        <v>85653011</v>
      </c>
      <c r="E69" s="17">
        <v>45292</v>
      </c>
      <c r="F69" s="18">
        <f>MONTH(Data!$E69)</f>
        <v>1</v>
      </c>
      <c r="G69" s="16">
        <f>YEAR(Data!$E69)</f>
        <v>2024</v>
      </c>
      <c r="H69" s="15" t="s">
        <v>32</v>
      </c>
      <c r="I69" s="15" t="str">
        <f t="shared" si="1"/>
        <v>Doanh nghiệp</v>
      </c>
      <c r="J69" s="15" t="s">
        <v>1284</v>
      </c>
      <c r="K69" s="15" t="s">
        <v>1263</v>
      </c>
      <c r="L69" s="32">
        <f>Data!$D69/10^6</f>
        <v>85.653011000000006</v>
      </c>
    </row>
    <row r="70" spans="1:12" x14ac:dyDescent="0.25">
      <c r="A70" s="29" t="s">
        <v>30</v>
      </c>
      <c r="B70" s="15" t="s">
        <v>1095</v>
      </c>
      <c r="C70" s="15" t="s">
        <v>41</v>
      </c>
      <c r="D70" s="16">
        <v>528467182</v>
      </c>
      <c r="E70" s="17">
        <v>45292</v>
      </c>
      <c r="F70" s="18">
        <f>MONTH(Data!$E70)</f>
        <v>1</v>
      </c>
      <c r="G70" s="16">
        <f>YEAR(Data!$E70)</f>
        <v>2024</v>
      </c>
      <c r="H70" s="15" t="s">
        <v>32</v>
      </c>
      <c r="I70" s="15" t="str">
        <f t="shared" si="1"/>
        <v>Doanh nghiệp</v>
      </c>
      <c r="J70" s="15" t="s">
        <v>1285</v>
      </c>
      <c r="K70" s="15" t="s">
        <v>1269</v>
      </c>
      <c r="L70" s="32">
        <f>Data!$D70/10^6</f>
        <v>528.46718199999998</v>
      </c>
    </row>
    <row r="71" spans="1:12" x14ac:dyDescent="0.25">
      <c r="A71" s="29" t="s">
        <v>17</v>
      </c>
      <c r="B71" s="15" t="s">
        <v>1098</v>
      </c>
      <c r="C71" s="15" t="s">
        <v>14</v>
      </c>
      <c r="D71" s="16">
        <v>51000000</v>
      </c>
      <c r="E71" s="17">
        <v>45292</v>
      </c>
      <c r="F71" s="18">
        <f>MONTH(Data!$E71)</f>
        <v>1</v>
      </c>
      <c r="G71" s="16">
        <f>YEAR(Data!$E71)</f>
        <v>2024</v>
      </c>
      <c r="H71" s="15" t="s">
        <v>11</v>
      </c>
      <c r="I71" s="15" t="str">
        <f t="shared" si="1"/>
        <v>Doanh nghiệp</v>
      </c>
      <c r="J71" s="15" t="s">
        <v>1284</v>
      </c>
      <c r="K71" s="15" t="s">
        <v>1275</v>
      </c>
      <c r="L71" s="32">
        <f>Data!$D71/10^6</f>
        <v>51</v>
      </c>
    </row>
    <row r="72" spans="1:12" x14ac:dyDescent="0.25">
      <c r="A72" s="29" t="s">
        <v>78</v>
      </c>
      <c r="B72" s="15" t="s">
        <v>1102</v>
      </c>
      <c r="C72" s="15" t="s">
        <v>14</v>
      </c>
      <c r="D72" s="16">
        <v>27172727</v>
      </c>
      <c r="E72" s="17">
        <v>45292</v>
      </c>
      <c r="F72" s="18">
        <f>MONTH(Data!$E72)</f>
        <v>1</v>
      </c>
      <c r="G72" s="16">
        <f>YEAR(Data!$E72)</f>
        <v>2024</v>
      </c>
      <c r="H72" s="15" t="s">
        <v>15</v>
      </c>
      <c r="I72" s="15" t="str">
        <f t="shared" si="1"/>
        <v>Doanh nghiệp</v>
      </c>
      <c r="J72" s="15" t="s">
        <v>1285</v>
      </c>
      <c r="K72" s="15" t="s">
        <v>1264</v>
      </c>
      <c r="L72" s="32">
        <f>Data!$D72/10^6</f>
        <v>27.172726999999998</v>
      </c>
    </row>
    <row r="73" spans="1:12" x14ac:dyDescent="0.25">
      <c r="A73" s="29" t="s">
        <v>50</v>
      </c>
      <c r="B73" s="15" t="s">
        <v>1104</v>
      </c>
      <c r="C73" s="15" t="s">
        <v>149</v>
      </c>
      <c r="D73" s="16">
        <v>222283802</v>
      </c>
      <c r="E73" s="17">
        <v>45292</v>
      </c>
      <c r="F73" s="18">
        <f>MONTH(Data!$E73)</f>
        <v>1</v>
      </c>
      <c r="G73" s="16">
        <f>YEAR(Data!$E73)</f>
        <v>2024</v>
      </c>
      <c r="H73" s="15" t="s">
        <v>35</v>
      </c>
      <c r="I73" s="15" t="str">
        <f t="shared" si="1"/>
        <v>Doanh nghiệp</v>
      </c>
      <c r="J73" s="15" t="s">
        <v>1284</v>
      </c>
      <c r="K73" s="15" t="s">
        <v>1262</v>
      </c>
      <c r="L73" s="32">
        <f>Data!$D73/10^6</f>
        <v>222.28380200000001</v>
      </c>
    </row>
    <row r="74" spans="1:12" x14ac:dyDescent="0.25">
      <c r="A74" s="29" t="s">
        <v>92</v>
      </c>
      <c r="B74" s="15" t="s">
        <v>1113</v>
      </c>
      <c r="C74" s="15" t="s">
        <v>14</v>
      </c>
      <c r="D74" s="16">
        <v>35028636</v>
      </c>
      <c r="E74" s="17">
        <v>45292</v>
      </c>
      <c r="F74" s="18">
        <f>MONTH(Data!$E74)</f>
        <v>1</v>
      </c>
      <c r="G74" s="16">
        <f>YEAR(Data!$E74)</f>
        <v>2024</v>
      </c>
      <c r="H74" s="15" t="s">
        <v>29</v>
      </c>
      <c r="I74" s="15" t="str">
        <f t="shared" si="1"/>
        <v>Doanh nghiệp</v>
      </c>
      <c r="J74" s="15" t="s">
        <v>1285</v>
      </c>
      <c r="K74" s="15" t="s">
        <v>1275</v>
      </c>
      <c r="L74" s="32">
        <f>Data!$D74/10^6</f>
        <v>35.028635999999999</v>
      </c>
    </row>
    <row r="75" spans="1:12" x14ac:dyDescent="0.25">
      <c r="A75" s="29" t="s">
        <v>27</v>
      </c>
      <c r="B75" s="15" t="s">
        <v>1116</v>
      </c>
      <c r="C75" s="15" t="s">
        <v>14</v>
      </c>
      <c r="D75" s="16">
        <v>99800768</v>
      </c>
      <c r="E75" s="17">
        <v>45292</v>
      </c>
      <c r="F75" s="18">
        <f>MONTH(Data!$E75)</f>
        <v>1</v>
      </c>
      <c r="G75" s="16">
        <f>YEAR(Data!$E75)</f>
        <v>2024</v>
      </c>
      <c r="H75" s="15" t="s">
        <v>11</v>
      </c>
      <c r="I75" s="15" t="str">
        <f t="shared" si="1"/>
        <v>Doanh nghiệp</v>
      </c>
      <c r="J75" s="15" t="s">
        <v>1284</v>
      </c>
      <c r="K75" s="15" t="s">
        <v>1275</v>
      </c>
      <c r="L75" s="32">
        <f>Data!$D75/10^6</f>
        <v>99.800768000000005</v>
      </c>
    </row>
    <row r="76" spans="1:12" x14ac:dyDescent="0.25">
      <c r="A76" s="29" t="s">
        <v>68</v>
      </c>
      <c r="B76" s="15" t="s">
        <v>1120</v>
      </c>
      <c r="C76" s="15" t="s">
        <v>46</v>
      </c>
      <c r="D76" s="16">
        <v>23636364</v>
      </c>
      <c r="E76" s="17">
        <v>45292</v>
      </c>
      <c r="F76" s="18">
        <f>MONTH(Data!$E76)</f>
        <v>1</v>
      </c>
      <c r="G76" s="16">
        <f>YEAR(Data!$E76)</f>
        <v>2024</v>
      </c>
      <c r="H76" s="15" t="s">
        <v>22</v>
      </c>
      <c r="I76" s="15" t="str">
        <f t="shared" si="1"/>
        <v>Doanh nghiệp</v>
      </c>
      <c r="J76" s="15" t="s">
        <v>1285</v>
      </c>
      <c r="K76" s="15" t="s">
        <v>1271</v>
      </c>
      <c r="L76" s="32">
        <f>Data!$D76/10^6</f>
        <v>23.636364</v>
      </c>
    </row>
    <row r="77" spans="1:12" x14ac:dyDescent="0.25">
      <c r="A77" s="29" t="s">
        <v>68</v>
      </c>
      <c r="B77" s="15" t="s">
        <v>1057</v>
      </c>
      <c r="C77" s="15" t="s">
        <v>149</v>
      </c>
      <c r="D77" s="16">
        <v>152200000</v>
      </c>
      <c r="E77" s="17">
        <v>45292</v>
      </c>
      <c r="F77" s="18">
        <f>MONTH(Data!$E77)</f>
        <v>1</v>
      </c>
      <c r="G77" s="16">
        <f>YEAR(Data!$E77)</f>
        <v>2024</v>
      </c>
      <c r="H77" s="15" t="s">
        <v>22</v>
      </c>
      <c r="I77" s="15" t="str">
        <f t="shared" si="1"/>
        <v>Doanh nghiệp</v>
      </c>
      <c r="J77" s="15" t="s">
        <v>1284</v>
      </c>
      <c r="K77" s="15" t="s">
        <v>1262</v>
      </c>
      <c r="L77" s="32">
        <f>Data!$D77/10^6</f>
        <v>152.19999999999999</v>
      </c>
    </row>
    <row r="78" spans="1:12" x14ac:dyDescent="0.25">
      <c r="A78" s="29" t="s">
        <v>77</v>
      </c>
      <c r="B78" s="15" t="s">
        <v>1071</v>
      </c>
      <c r="C78" s="15" t="s">
        <v>149</v>
      </c>
      <c r="D78" s="16">
        <v>18597153</v>
      </c>
      <c r="E78" s="17">
        <v>45292</v>
      </c>
      <c r="F78" s="18">
        <f>MONTH(Data!$E78)</f>
        <v>1</v>
      </c>
      <c r="G78" s="16">
        <f>YEAR(Data!$E78)</f>
        <v>2024</v>
      </c>
      <c r="H78" s="15" t="s">
        <v>35</v>
      </c>
      <c r="I78" s="15" t="str">
        <f t="shared" si="1"/>
        <v>Doanh nghiệp</v>
      </c>
      <c r="J78" s="15" t="s">
        <v>1285</v>
      </c>
      <c r="K78" s="15" t="s">
        <v>1263</v>
      </c>
      <c r="L78" s="32">
        <f>Data!$D78/10^6</f>
        <v>18.597152999999999</v>
      </c>
    </row>
    <row r="79" spans="1:12" x14ac:dyDescent="0.25">
      <c r="A79" s="29" t="s">
        <v>73</v>
      </c>
      <c r="B79" s="15" t="s">
        <v>1073</v>
      </c>
      <c r="C79" s="15" t="s">
        <v>41</v>
      </c>
      <c r="D79" s="16">
        <v>10000000</v>
      </c>
      <c r="E79" s="17">
        <v>45292</v>
      </c>
      <c r="F79" s="18">
        <f>MONTH(Data!$E79)</f>
        <v>1</v>
      </c>
      <c r="G79" s="16">
        <f>YEAR(Data!$E79)</f>
        <v>2024</v>
      </c>
      <c r="H79" s="15" t="s">
        <v>32</v>
      </c>
      <c r="I79" s="15" t="str">
        <f t="shared" si="1"/>
        <v>Doanh nghiệp</v>
      </c>
      <c r="J79" s="15" t="s">
        <v>1284</v>
      </c>
      <c r="K79" s="15" t="s">
        <v>1269</v>
      </c>
      <c r="L79" s="32">
        <f>Data!$D79/10^6</f>
        <v>10</v>
      </c>
    </row>
    <row r="80" spans="1:12" x14ac:dyDescent="0.25">
      <c r="A80" s="29" t="s">
        <v>73</v>
      </c>
      <c r="B80" s="15" t="s">
        <v>1074</v>
      </c>
      <c r="C80" s="15" t="s">
        <v>10</v>
      </c>
      <c r="D80" s="16">
        <v>8491508</v>
      </c>
      <c r="E80" s="17">
        <v>45292</v>
      </c>
      <c r="F80" s="18">
        <f>MONTH(Data!$E80)</f>
        <v>1</v>
      </c>
      <c r="G80" s="16">
        <f>YEAR(Data!$E80)</f>
        <v>2024</v>
      </c>
      <c r="H80" s="15" t="s">
        <v>32</v>
      </c>
      <c r="I80" s="15" t="str">
        <f t="shared" si="1"/>
        <v>Doanh nghiệp</v>
      </c>
      <c r="J80" s="15" t="s">
        <v>1285</v>
      </c>
      <c r="K80" s="15" t="s">
        <v>1267</v>
      </c>
      <c r="L80" s="32">
        <f>Data!$D80/10^6</f>
        <v>8.4915079999999996</v>
      </c>
    </row>
    <row r="81" spans="1:12" x14ac:dyDescent="0.25">
      <c r="A81" s="29" t="s">
        <v>74</v>
      </c>
      <c r="B81" s="15" t="s">
        <v>1084</v>
      </c>
      <c r="C81" s="15" t="s">
        <v>149</v>
      </c>
      <c r="D81" s="16">
        <v>24902455</v>
      </c>
      <c r="E81" s="17">
        <v>45292</v>
      </c>
      <c r="F81" s="18">
        <f>MONTH(Data!$E81)</f>
        <v>1</v>
      </c>
      <c r="G81" s="16">
        <f>YEAR(Data!$E81)</f>
        <v>2024</v>
      </c>
      <c r="H81" s="15" t="s">
        <v>11</v>
      </c>
      <c r="I81" s="15" t="str">
        <f t="shared" si="1"/>
        <v>Doanh nghiệp</v>
      </c>
      <c r="J81" s="15" t="s">
        <v>1284</v>
      </c>
      <c r="K81" s="15" t="s">
        <v>1273</v>
      </c>
      <c r="L81" s="32">
        <f>Data!$D81/10^6</f>
        <v>24.902455</v>
      </c>
    </row>
    <row r="82" spans="1:12" x14ac:dyDescent="0.25">
      <c r="A82" s="29" t="s">
        <v>56</v>
      </c>
      <c r="B82" s="15" t="s">
        <v>1087</v>
      </c>
      <c r="C82" s="15" t="s">
        <v>10</v>
      </c>
      <c r="D82" s="16">
        <v>48732727</v>
      </c>
      <c r="E82" s="17">
        <v>45292</v>
      </c>
      <c r="F82" s="18">
        <f>MONTH(Data!$E82)</f>
        <v>1</v>
      </c>
      <c r="G82" s="16">
        <f>YEAR(Data!$E82)</f>
        <v>2024</v>
      </c>
      <c r="H82" s="15" t="s">
        <v>25</v>
      </c>
      <c r="I82" s="15" t="str">
        <f t="shared" si="1"/>
        <v>Doanh nghiệp</v>
      </c>
      <c r="J82" s="15" t="s">
        <v>1285</v>
      </c>
      <c r="K82" s="15" t="s">
        <v>1262</v>
      </c>
      <c r="L82" s="32">
        <f>Data!$D82/10^6</f>
        <v>48.732726999999997</v>
      </c>
    </row>
    <row r="83" spans="1:12" x14ac:dyDescent="0.25">
      <c r="A83" s="29" t="s">
        <v>48</v>
      </c>
      <c r="B83" s="15" t="s">
        <v>1093</v>
      </c>
      <c r="C83" s="15" t="s">
        <v>10</v>
      </c>
      <c r="D83" s="16">
        <v>11027273</v>
      </c>
      <c r="E83" s="17">
        <v>45292</v>
      </c>
      <c r="F83" s="18">
        <f>MONTH(Data!$E83)</f>
        <v>1</v>
      </c>
      <c r="G83" s="16">
        <f>YEAR(Data!$E83)</f>
        <v>2024</v>
      </c>
      <c r="H83" s="15" t="s">
        <v>25</v>
      </c>
      <c r="I83" s="15" t="str">
        <f t="shared" si="1"/>
        <v>Doanh nghiệp</v>
      </c>
      <c r="J83" s="15" t="s">
        <v>1284</v>
      </c>
      <c r="K83" s="15" t="s">
        <v>1262</v>
      </c>
      <c r="L83" s="32">
        <f>Data!$D83/10^6</f>
        <v>11.027272999999999</v>
      </c>
    </row>
    <row r="84" spans="1:12" x14ac:dyDescent="0.25">
      <c r="A84" s="29" t="s">
        <v>71</v>
      </c>
      <c r="B84" s="15" t="s">
        <v>1107</v>
      </c>
      <c r="C84" s="15" t="s">
        <v>10</v>
      </c>
      <c r="D84" s="16">
        <v>202516391</v>
      </c>
      <c r="E84" s="17">
        <v>45292</v>
      </c>
      <c r="F84" s="18">
        <f>MONTH(Data!$E84)</f>
        <v>1</v>
      </c>
      <c r="G84" s="16">
        <f>YEAR(Data!$E84)</f>
        <v>2024</v>
      </c>
      <c r="H84" s="15" t="s">
        <v>11</v>
      </c>
      <c r="I84" s="15" t="str">
        <f t="shared" si="1"/>
        <v>Doanh nghiệp</v>
      </c>
      <c r="J84" s="15" t="s">
        <v>1285</v>
      </c>
      <c r="K84" s="15" t="s">
        <v>1262</v>
      </c>
      <c r="L84" s="32">
        <f>Data!$D84/10^6</f>
        <v>202.516391</v>
      </c>
    </row>
    <row r="85" spans="1:12" x14ac:dyDescent="0.25">
      <c r="A85" s="29" t="s">
        <v>123</v>
      </c>
      <c r="B85" s="15" t="s">
        <v>1113</v>
      </c>
      <c r="C85" s="15" t="s">
        <v>14</v>
      </c>
      <c r="D85" s="16">
        <v>126950000</v>
      </c>
      <c r="E85" s="17">
        <v>45292</v>
      </c>
      <c r="F85" s="18">
        <f>MONTH(Data!$E85)</f>
        <v>1</v>
      </c>
      <c r="G85" s="16">
        <f>YEAR(Data!$E85)</f>
        <v>2024</v>
      </c>
      <c r="H85" s="15" t="s">
        <v>15</v>
      </c>
      <c r="I85" s="15" t="str">
        <f t="shared" si="1"/>
        <v>Doanh nghiệp</v>
      </c>
      <c r="J85" s="15" t="s">
        <v>1284</v>
      </c>
      <c r="K85" s="15" t="s">
        <v>1264</v>
      </c>
      <c r="L85" s="32">
        <f>Data!$D85/10^6</f>
        <v>126.95</v>
      </c>
    </row>
    <row r="86" spans="1:12" x14ac:dyDescent="0.25">
      <c r="A86" s="29" t="s">
        <v>51</v>
      </c>
      <c r="B86" s="15" t="s">
        <v>1025</v>
      </c>
      <c r="C86" s="15" t="s">
        <v>10</v>
      </c>
      <c r="D86" s="16">
        <v>67568182</v>
      </c>
      <c r="E86" s="17">
        <v>45292</v>
      </c>
      <c r="F86" s="18">
        <f>MONTH(Data!$E86)</f>
        <v>1</v>
      </c>
      <c r="G86" s="16">
        <f>YEAR(Data!$E86)</f>
        <v>2024</v>
      </c>
      <c r="H86" s="15" t="s">
        <v>42</v>
      </c>
      <c r="I86" s="15" t="str">
        <f t="shared" si="1"/>
        <v>Doanh nghiệp</v>
      </c>
      <c r="J86" s="15" t="s">
        <v>1285</v>
      </c>
      <c r="K86" s="15" t="s">
        <v>1262</v>
      </c>
      <c r="L86" s="32">
        <f>Data!$D86/10^6</f>
        <v>67.568181999999993</v>
      </c>
    </row>
    <row r="87" spans="1:12" x14ac:dyDescent="0.25">
      <c r="A87" s="29" t="s">
        <v>47</v>
      </c>
      <c r="B87" s="15" t="s">
        <v>1030</v>
      </c>
      <c r="C87" s="15" t="s">
        <v>10</v>
      </c>
      <c r="D87" s="16">
        <v>28202269</v>
      </c>
      <c r="E87" s="17">
        <v>45292</v>
      </c>
      <c r="F87" s="18">
        <f>MONTH(Data!$E87)</f>
        <v>1</v>
      </c>
      <c r="G87" s="16">
        <f>YEAR(Data!$E87)</f>
        <v>2024</v>
      </c>
      <c r="H87" s="15" t="s">
        <v>29</v>
      </c>
      <c r="I87" s="15" t="str">
        <f t="shared" si="1"/>
        <v>Doanh nghiệp</v>
      </c>
      <c r="J87" s="15" t="s">
        <v>1284</v>
      </c>
      <c r="K87" s="15" t="s">
        <v>1263</v>
      </c>
      <c r="L87" s="32">
        <f>Data!$D87/10^6</f>
        <v>28.202269000000001</v>
      </c>
    </row>
    <row r="88" spans="1:12" x14ac:dyDescent="0.25">
      <c r="A88" s="29" t="s">
        <v>77</v>
      </c>
      <c r="B88" s="15" t="s">
        <v>1040</v>
      </c>
      <c r="C88" s="15" t="s">
        <v>10</v>
      </c>
      <c r="D88" s="16">
        <v>99783452</v>
      </c>
      <c r="E88" s="17">
        <v>45292</v>
      </c>
      <c r="F88" s="18">
        <f>MONTH(Data!$E88)</f>
        <v>1</v>
      </c>
      <c r="G88" s="16">
        <f>YEAR(Data!$E88)</f>
        <v>2024</v>
      </c>
      <c r="H88" s="15" t="s">
        <v>35</v>
      </c>
      <c r="I88" s="15" t="str">
        <f t="shared" si="1"/>
        <v>Doanh nghiệp</v>
      </c>
      <c r="J88" s="15" t="s">
        <v>1285</v>
      </c>
      <c r="K88" s="15" t="s">
        <v>1276</v>
      </c>
      <c r="L88" s="32">
        <f>Data!$D88/10^6</f>
        <v>99.783451999999997</v>
      </c>
    </row>
    <row r="89" spans="1:12" x14ac:dyDescent="0.25">
      <c r="A89" s="29" t="s">
        <v>23</v>
      </c>
      <c r="B89" s="15" t="s">
        <v>1049</v>
      </c>
      <c r="C89" s="15" t="s">
        <v>10</v>
      </c>
      <c r="D89" s="16">
        <v>24305455</v>
      </c>
      <c r="E89" s="17">
        <v>45292</v>
      </c>
      <c r="F89" s="18">
        <f>MONTH(Data!$E89)</f>
        <v>1</v>
      </c>
      <c r="G89" s="16">
        <f>YEAR(Data!$E89)</f>
        <v>2024</v>
      </c>
      <c r="H89" s="15" t="s">
        <v>25</v>
      </c>
      <c r="I89" s="15" t="str">
        <f t="shared" si="1"/>
        <v>Doanh nghiệp</v>
      </c>
      <c r="J89" s="15" t="s">
        <v>1284</v>
      </c>
      <c r="K89" s="15" t="s">
        <v>1263</v>
      </c>
      <c r="L89" s="32">
        <f>Data!$D89/10^6</f>
        <v>24.305454999999998</v>
      </c>
    </row>
    <row r="90" spans="1:12" x14ac:dyDescent="0.25">
      <c r="A90" s="29" t="s">
        <v>78</v>
      </c>
      <c r="B90" s="15" t="s">
        <v>1059</v>
      </c>
      <c r="C90" s="15" t="s">
        <v>14</v>
      </c>
      <c r="D90" s="16">
        <v>22545455</v>
      </c>
      <c r="E90" s="17">
        <v>45292</v>
      </c>
      <c r="F90" s="18">
        <f>MONTH(Data!$E90)</f>
        <v>1</v>
      </c>
      <c r="G90" s="16">
        <f>YEAR(Data!$E90)</f>
        <v>2024</v>
      </c>
      <c r="H90" s="15" t="s">
        <v>15</v>
      </c>
      <c r="I90" s="15" t="str">
        <f t="shared" si="1"/>
        <v>Doanh nghiệp</v>
      </c>
      <c r="J90" s="15" t="s">
        <v>1285</v>
      </c>
      <c r="K90" s="15" t="s">
        <v>1277</v>
      </c>
      <c r="L90" s="32">
        <f>Data!$D90/10^6</f>
        <v>22.545455</v>
      </c>
    </row>
    <row r="91" spans="1:12" x14ac:dyDescent="0.25">
      <c r="A91" s="29" t="s">
        <v>85</v>
      </c>
      <c r="B91" s="15" t="s">
        <v>1062</v>
      </c>
      <c r="C91" s="15" t="s">
        <v>10</v>
      </c>
      <c r="D91" s="16">
        <v>44345455</v>
      </c>
      <c r="E91" s="17">
        <v>45292</v>
      </c>
      <c r="F91" s="18">
        <f>MONTH(Data!$E91)</f>
        <v>1</v>
      </c>
      <c r="G91" s="16">
        <f>YEAR(Data!$E91)</f>
        <v>2024</v>
      </c>
      <c r="H91" s="15" t="s">
        <v>15</v>
      </c>
      <c r="I91" s="15" t="str">
        <f t="shared" si="1"/>
        <v>Doanh nghiệp</v>
      </c>
      <c r="J91" s="15" t="s">
        <v>1284</v>
      </c>
      <c r="K91" s="15" t="s">
        <v>1263</v>
      </c>
      <c r="L91" s="32">
        <f>Data!$D91/10^6</f>
        <v>44.345455000000001</v>
      </c>
    </row>
    <row r="92" spans="1:12" x14ac:dyDescent="0.25">
      <c r="A92" s="29" t="s">
        <v>47</v>
      </c>
      <c r="B92" s="15" t="s">
        <v>1069</v>
      </c>
      <c r="C92" s="15" t="s">
        <v>41</v>
      </c>
      <c r="D92" s="16">
        <v>42045455</v>
      </c>
      <c r="E92" s="17">
        <v>45292</v>
      </c>
      <c r="F92" s="18">
        <f>MONTH(Data!$E92)</f>
        <v>1</v>
      </c>
      <c r="G92" s="16">
        <f>YEAR(Data!$E92)</f>
        <v>2024</v>
      </c>
      <c r="H92" s="15" t="s">
        <v>29</v>
      </c>
      <c r="I92" s="15" t="str">
        <f t="shared" si="1"/>
        <v>Doanh nghiệp</v>
      </c>
      <c r="J92" s="15" t="s">
        <v>1285</v>
      </c>
      <c r="K92" s="15" t="s">
        <v>1269</v>
      </c>
      <c r="L92" s="32">
        <f>Data!$D92/10^6</f>
        <v>42.045454999999997</v>
      </c>
    </row>
    <row r="93" spans="1:12" x14ac:dyDescent="0.25">
      <c r="A93" s="29" t="s">
        <v>62</v>
      </c>
      <c r="B93" s="15" t="s">
        <v>1082</v>
      </c>
      <c r="C93" s="15" t="s">
        <v>46</v>
      </c>
      <c r="D93" s="16">
        <v>11372727</v>
      </c>
      <c r="E93" s="17">
        <v>45292</v>
      </c>
      <c r="F93" s="18">
        <f>MONTH(Data!$E93)</f>
        <v>1</v>
      </c>
      <c r="G93" s="16">
        <f>YEAR(Data!$E93)</f>
        <v>2024</v>
      </c>
      <c r="H93" s="15" t="s">
        <v>15</v>
      </c>
      <c r="I93" s="15" t="str">
        <f t="shared" si="1"/>
        <v>Doanh nghiệp</v>
      </c>
      <c r="J93" s="15" t="s">
        <v>1284</v>
      </c>
      <c r="K93" s="15" t="s">
        <v>1265</v>
      </c>
      <c r="L93" s="32">
        <f>Data!$D93/10^6</f>
        <v>11.372726999999999</v>
      </c>
    </row>
    <row r="94" spans="1:12" x14ac:dyDescent="0.25">
      <c r="A94" s="29" t="s">
        <v>85</v>
      </c>
      <c r="B94" s="15" t="s">
        <v>1093</v>
      </c>
      <c r="C94" s="15" t="s">
        <v>10</v>
      </c>
      <c r="D94" s="16">
        <v>27595636</v>
      </c>
      <c r="E94" s="17">
        <v>45292</v>
      </c>
      <c r="F94" s="18">
        <f>MONTH(Data!$E94)</f>
        <v>1</v>
      </c>
      <c r="G94" s="16">
        <f>YEAR(Data!$E94)</f>
        <v>2024</v>
      </c>
      <c r="H94" s="15" t="s">
        <v>15</v>
      </c>
      <c r="I94" s="15" t="str">
        <f t="shared" si="1"/>
        <v>Doanh nghiệp</v>
      </c>
      <c r="J94" s="15" t="s">
        <v>1285</v>
      </c>
      <c r="K94" s="15" t="s">
        <v>1263</v>
      </c>
      <c r="L94" s="32">
        <f>Data!$D94/10^6</f>
        <v>27.595635999999999</v>
      </c>
    </row>
    <row r="95" spans="1:12" x14ac:dyDescent="0.25">
      <c r="A95" s="29" t="s">
        <v>27</v>
      </c>
      <c r="B95" s="15" t="s">
        <v>1095</v>
      </c>
      <c r="C95" s="15" t="s">
        <v>10</v>
      </c>
      <c r="D95" s="16">
        <v>29660000</v>
      </c>
      <c r="E95" s="17">
        <v>45292</v>
      </c>
      <c r="F95" s="18">
        <f>MONTH(Data!$E95)</f>
        <v>1</v>
      </c>
      <c r="G95" s="16">
        <f>YEAR(Data!$E95)</f>
        <v>2024</v>
      </c>
      <c r="H95" s="15" t="s">
        <v>11</v>
      </c>
      <c r="I95" s="15" t="str">
        <f t="shared" si="1"/>
        <v>Doanh nghiệp</v>
      </c>
      <c r="J95" s="15" t="s">
        <v>1284</v>
      </c>
      <c r="K95" s="15" t="s">
        <v>1262</v>
      </c>
      <c r="L95" s="32">
        <f>Data!$D95/10^6</f>
        <v>29.66</v>
      </c>
    </row>
    <row r="96" spans="1:12" x14ac:dyDescent="0.25">
      <c r="A96" s="29" t="s">
        <v>13</v>
      </c>
      <c r="B96" s="15" t="s">
        <v>1105</v>
      </c>
      <c r="C96" s="15" t="s">
        <v>14</v>
      </c>
      <c r="D96" s="16">
        <v>136270215</v>
      </c>
      <c r="E96" s="17">
        <v>45292</v>
      </c>
      <c r="F96" s="18">
        <f>MONTH(Data!$E96)</f>
        <v>1</v>
      </c>
      <c r="G96" s="16">
        <f>YEAR(Data!$E96)</f>
        <v>2024</v>
      </c>
      <c r="H96" s="15" t="s">
        <v>15</v>
      </c>
      <c r="I96" s="15" t="str">
        <f t="shared" si="1"/>
        <v>Doanh nghiệp</v>
      </c>
      <c r="J96" s="15" t="s">
        <v>1285</v>
      </c>
      <c r="K96" s="15" t="s">
        <v>1275</v>
      </c>
      <c r="L96" s="32">
        <f>Data!$D96/10^6</f>
        <v>136.27021500000001</v>
      </c>
    </row>
    <row r="97" spans="1:12" x14ac:dyDescent="0.25">
      <c r="A97" s="29" t="s">
        <v>59</v>
      </c>
      <c r="B97" s="15" t="s">
        <v>1113</v>
      </c>
      <c r="C97" s="15" t="s">
        <v>10</v>
      </c>
      <c r="D97" s="16">
        <v>100625386</v>
      </c>
      <c r="E97" s="17">
        <v>45292</v>
      </c>
      <c r="F97" s="18">
        <f>MONTH(Data!$E97)</f>
        <v>1</v>
      </c>
      <c r="G97" s="16">
        <f>YEAR(Data!$E97)</f>
        <v>2024</v>
      </c>
      <c r="H97" s="15" t="s">
        <v>22</v>
      </c>
      <c r="I97" s="15" t="str">
        <f t="shared" si="1"/>
        <v>Doanh nghiệp</v>
      </c>
      <c r="J97" s="15" t="s">
        <v>1284</v>
      </c>
      <c r="K97" s="15" t="s">
        <v>1263</v>
      </c>
      <c r="L97" s="32">
        <f>Data!$D97/10^6</f>
        <v>100.62538600000001</v>
      </c>
    </row>
    <row r="98" spans="1:12" x14ac:dyDescent="0.25">
      <c r="A98" s="29" t="s">
        <v>39</v>
      </c>
      <c r="B98" s="15" t="s">
        <v>1050</v>
      </c>
      <c r="C98" s="15" t="s">
        <v>14</v>
      </c>
      <c r="D98" s="16">
        <v>245454545</v>
      </c>
      <c r="E98" s="17">
        <v>45292</v>
      </c>
      <c r="F98" s="18">
        <f>MONTH(Data!$E98)</f>
        <v>1</v>
      </c>
      <c r="G98" s="16">
        <f>YEAR(Data!$E98)</f>
        <v>2024</v>
      </c>
      <c r="H98" s="15" t="s">
        <v>42</v>
      </c>
      <c r="I98" s="15" t="str">
        <f t="shared" si="1"/>
        <v>Doanh nghiệp</v>
      </c>
      <c r="J98" s="15" t="s">
        <v>1285</v>
      </c>
      <c r="K98" s="15" t="s">
        <v>1266</v>
      </c>
      <c r="L98" s="32">
        <f>Data!$D98/10^6</f>
        <v>245.454545</v>
      </c>
    </row>
    <row r="99" spans="1:12" x14ac:dyDescent="0.25">
      <c r="A99" s="29" t="s">
        <v>39</v>
      </c>
      <c r="B99" s="15" t="s">
        <v>1051</v>
      </c>
      <c r="C99" s="15" t="s">
        <v>14</v>
      </c>
      <c r="D99" s="16">
        <v>245454545</v>
      </c>
      <c r="E99" s="17">
        <v>45292</v>
      </c>
      <c r="F99" s="18">
        <f>MONTH(Data!$E99)</f>
        <v>1</v>
      </c>
      <c r="G99" s="16">
        <f>YEAR(Data!$E99)</f>
        <v>2024</v>
      </c>
      <c r="H99" s="15" t="s">
        <v>42</v>
      </c>
      <c r="I99" s="15" t="str">
        <f t="shared" si="1"/>
        <v>Doanh nghiệp</v>
      </c>
      <c r="J99" s="15" t="s">
        <v>1284</v>
      </c>
      <c r="K99" s="15" t="s">
        <v>1266</v>
      </c>
      <c r="L99" s="32">
        <f>Data!$D99/10^6</f>
        <v>245.454545</v>
      </c>
    </row>
    <row r="100" spans="1:12" x14ac:dyDescent="0.25">
      <c r="A100" s="29" t="s">
        <v>92</v>
      </c>
      <c r="B100" s="15" t="s">
        <v>1056</v>
      </c>
      <c r="C100" s="15" t="s">
        <v>41</v>
      </c>
      <c r="D100" s="16">
        <v>62297818</v>
      </c>
      <c r="E100" s="17">
        <v>45292</v>
      </c>
      <c r="F100" s="18">
        <f>MONTH(Data!$E100)</f>
        <v>1</v>
      </c>
      <c r="G100" s="16">
        <f>YEAR(Data!$E100)</f>
        <v>2024</v>
      </c>
      <c r="H100" s="15" t="s">
        <v>29</v>
      </c>
      <c r="I100" s="15" t="str">
        <f t="shared" si="1"/>
        <v>Doanh nghiệp</v>
      </c>
      <c r="J100" s="15" t="s">
        <v>1285</v>
      </c>
      <c r="K100" s="15" t="s">
        <v>1269</v>
      </c>
      <c r="L100" s="32">
        <f>Data!$D100/10^6</f>
        <v>62.297817999999999</v>
      </c>
    </row>
    <row r="101" spans="1:12" x14ac:dyDescent="0.25">
      <c r="A101" s="29" t="s">
        <v>92</v>
      </c>
      <c r="B101" s="15" t="s">
        <v>1057</v>
      </c>
      <c r="C101" s="15" t="s">
        <v>41</v>
      </c>
      <c r="D101" s="16">
        <v>102908882</v>
      </c>
      <c r="E101" s="17">
        <v>45292</v>
      </c>
      <c r="F101" s="18">
        <f>MONTH(Data!$E101)</f>
        <v>1</v>
      </c>
      <c r="G101" s="16">
        <f>YEAR(Data!$E101)</f>
        <v>2024</v>
      </c>
      <c r="H101" s="15" t="s">
        <v>29</v>
      </c>
      <c r="I101" s="15" t="str">
        <f t="shared" si="1"/>
        <v>Doanh nghiệp</v>
      </c>
      <c r="J101" s="15" t="s">
        <v>1284</v>
      </c>
      <c r="K101" s="15" t="s">
        <v>1269</v>
      </c>
      <c r="L101" s="32">
        <f>Data!$D101/10^6</f>
        <v>102.90888200000001</v>
      </c>
    </row>
    <row r="102" spans="1:12" x14ac:dyDescent="0.25">
      <c r="A102" s="29" t="s">
        <v>51</v>
      </c>
      <c r="B102" s="15" t="s">
        <v>1106</v>
      </c>
      <c r="C102" s="15" t="s">
        <v>10</v>
      </c>
      <c r="D102" s="16">
        <v>104549091</v>
      </c>
      <c r="E102" s="17">
        <v>45292</v>
      </c>
      <c r="F102" s="18">
        <f>MONTH(Data!$E102)</f>
        <v>1</v>
      </c>
      <c r="G102" s="16">
        <f>YEAR(Data!$E102)</f>
        <v>2024</v>
      </c>
      <c r="H102" s="15" t="s">
        <v>42</v>
      </c>
      <c r="I102" s="15" t="str">
        <f t="shared" si="1"/>
        <v>Doanh nghiệp</v>
      </c>
      <c r="J102" s="15" t="s">
        <v>1285</v>
      </c>
      <c r="K102" s="15" t="s">
        <v>1262</v>
      </c>
      <c r="L102" s="32">
        <f>Data!$D102/10^6</f>
        <v>104.549091</v>
      </c>
    </row>
    <row r="103" spans="1:12" x14ac:dyDescent="0.25">
      <c r="A103" s="29" t="s">
        <v>55</v>
      </c>
      <c r="B103" s="15" t="s">
        <v>1116</v>
      </c>
      <c r="C103" s="15" t="s">
        <v>10</v>
      </c>
      <c r="D103" s="16">
        <v>151322673</v>
      </c>
      <c r="E103" s="17">
        <v>45292</v>
      </c>
      <c r="F103" s="18">
        <f>MONTH(Data!$E103)</f>
        <v>1</v>
      </c>
      <c r="G103" s="16">
        <f>YEAR(Data!$E103)</f>
        <v>2024</v>
      </c>
      <c r="H103" s="15" t="s">
        <v>15</v>
      </c>
      <c r="I103" s="15" t="str">
        <f t="shared" si="1"/>
        <v>Doanh nghiệp</v>
      </c>
      <c r="J103" s="15" t="s">
        <v>1284</v>
      </c>
      <c r="K103" s="15" t="s">
        <v>1278</v>
      </c>
      <c r="L103" s="32">
        <f>Data!$D103/10^6</f>
        <v>151.32267300000001</v>
      </c>
    </row>
    <row r="104" spans="1:12" x14ac:dyDescent="0.25">
      <c r="A104" s="29" t="s">
        <v>30</v>
      </c>
      <c r="B104" s="15" t="s">
        <v>1117</v>
      </c>
      <c r="C104" s="15" t="s">
        <v>14</v>
      </c>
      <c r="D104" s="16">
        <v>2395108705</v>
      </c>
      <c r="E104" s="17">
        <v>45292</v>
      </c>
      <c r="F104" s="18">
        <f>MONTH(Data!$E104)</f>
        <v>1</v>
      </c>
      <c r="G104" s="16">
        <f>YEAR(Data!$E104)</f>
        <v>2024</v>
      </c>
      <c r="H104" s="15" t="s">
        <v>32</v>
      </c>
      <c r="I104" s="15" t="str">
        <f t="shared" si="1"/>
        <v>Doanh nghiệp</v>
      </c>
      <c r="J104" s="15" t="s">
        <v>1285</v>
      </c>
      <c r="K104" s="15" t="s">
        <v>1266</v>
      </c>
      <c r="L104" s="32">
        <f>Data!$D104/10^6</f>
        <v>2395.1087050000001</v>
      </c>
    </row>
    <row r="105" spans="1:12" x14ac:dyDescent="0.25">
      <c r="A105" s="29" t="s">
        <v>36</v>
      </c>
      <c r="B105" s="15" t="s">
        <v>1034</v>
      </c>
      <c r="C105" s="15" t="s">
        <v>10</v>
      </c>
      <c r="D105" s="16">
        <v>10818182</v>
      </c>
      <c r="E105" s="17">
        <v>45292</v>
      </c>
      <c r="F105" s="18">
        <f>MONTH(Data!$E105)</f>
        <v>1</v>
      </c>
      <c r="G105" s="16">
        <f>YEAR(Data!$E105)</f>
        <v>2024</v>
      </c>
      <c r="H105" s="15" t="s">
        <v>15</v>
      </c>
      <c r="I105" s="15" t="str">
        <f t="shared" si="1"/>
        <v>Doanh nghiệp</v>
      </c>
      <c r="J105" s="15" t="s">
        <v>1284</v>
      </c>
      <c r="K105" s="15" t="s">
        <v>1263</v>
      </c>
      <c r="L105" s="32">
        <f>Data!$D105/10^6</f>
        <v>10.818182</v>
      </c>
    </row>
    <row r="106" spans="1:12" x14ac:dyDescent="0.25">
      <c r="A106" s="29" t="s">
        <v>62</v>
      </c>
      <c r="B106" s="15" t="s">
        <v>1045</v>
      </c>
      <c r="C106" s="15" t="s">
        <v>14</v>
      </c>
      <c r="D106" s="16">
        <v>47599091</v>
      </c>
      <c r="E106" s="17">
        <v>45292</v>
      </c>
      <c r="F106" s="18">
        <f>MONTH(Data!$E106)</f>
        <v>1</v>
      </c>
      <c r="G106" s="16">
        <f>YEAR(Data!$E106)</f>
        <v>2024</v>
      </c>
      <c r="H106" s="15" t="s">
        <v>15</v>
      </c>
      <c r="I106" s="15" t="str">
        <f t="shared" si="1"/>
        <v>Doanh nghiệp</v>
      </c>
      <c r="J106" s="15" t="s">
        <v>1285</v>
      </c>
      <c r="K106" s="15" t="s">
        <v>1275</v>
      </c>
      <c r="L106" s="32">
        <f>Data!$D106/10^6</f>
        <v>47.599091000000001</v>
      </c>
    </row>
    <row r="107" spans="1:12" x14ac:dyDescent="0.25">
      <c r="A107" s="29" t="s">
        <v>62</v>
      </c>
      <c r="B107" s="15" t="s">
        <v>1046</v>
      </c>
      <c r="C107" s="15" t="s">
        <v>10</v>
      </c>
      <c r="D107" s="16">
        <v>8054545</v>
      </c>
      <c r="E107" s="17">
        <v>45292</v>
      </c>
      <c r="F107" s="18">
        <f>MONTH(Data!$E107)</f>
        <v>1</v>
      </c>
      <c r="G107" s="16">
        <f>YEAR(Data!$E107)</f>
        <v>2024</v>
      </c>
      <c r="H107" s="15" t="s">
        <v>15</v>
      </c>
      <c r="I107" s="15" t="str">
        <f t="shared" si="1"/>
        <v>Doanh nghiệp</v>
      </c>
      <c r="J107" s="15" t="s">
        <v>1284</v>
      </c>
      <c r="K107" s="15" t="s">
        <v>1267</v>
      </c>
      <c r="L107" s="32">
        <f>Data!$D107/10^6</f>
        <v>8.0545449999999992</v>
      </c>
    </row>
    <row r="108" spans="1:12" x14ac:dyDescent="0.25">
      <c r="A108" s="29" t="s">
        <v>100</v>
      </c>
      <c r="B108" s="15" t="s">
        <v>1050</v>
      </c>
      <c r="C108" s="15" t="s">
        <v>149</v>
      </c>
      <c r="D108" s="16">
        <v>135110945</v>
      </c>
      <c r="E108" s="17">
        <v>45292</v>
      </c>
      <c r="F108" s="18">
        <f>MONTH(Data!$E108)</f>
        <v>1</v>
      </c>
      <c r="G108" s="16">
        <f>YEAR(Data!$E108)</f>
        <v>2024</v>
      </c>
      <c r="H108" s="15" t="s">
        <v>42</v>
      </c>
      <c r="I108" s="15" t="str">
        <f t="shared" si="1"/>
        <v>Doanh nghiệp</v>
      </c>
      <c r="J108" s="15" t="s">
        <v>1285</v>
      </c>
      <c r="K108" s="15" t="s">
        <v>1262</v>
      </c>
      <c r="L108" s="32">
        <f>Data!$D108/10^6</f>
        <v>135.11094499999999</v>
      </c>
    </row>
    <row r="109" spans="1:12" x14ac:dyDescent="0.25">
      <c r="A109" s="29" t="s">
        <v>55</v>
      </c>
      <c r="B109" s="15" t="s">
        <v>1053</v>
      </c>
      <c r="C109" s="15" t="s">
        <v>10</v>
      </c>
      <c r="D109" s="16">
        <v>26958182</v>
      </c>
      <c r="E109" s="17">
        <v>45292</v>
      </c>
      <c r="F109" s="18">
        <f>MONTH(Data!$E109)</f>
        <v>1</v>
      </c>
      <c r="G109" s="16">
        <f>YEAR(Data!$E109)</f>
        <v>2024</v>
      </c>
      <c r="H109" s="15" t="s">
        <v>15</v>
      </c>
      <c r="I109" s="15" t="str">
        <f t="shared" si="1"/>
        <v>Doanh nghiệp</v>
      </c>
      <c r="J109" s="15" t="s">
        <v>1284</v>
      </c>
      <c r="K109" s="15" t="s">
        <v>1262</v>
      </c>
      <c r="L109" s="32">
        <f>Data!$D109/10^6</f>
        <v>26.958182000000001</v>
      </c>
    </row>
    <row r="110" spans="1:12" x14ac:dyDescent="0.25">
      <c r="A110" s="29" t="s">
        <v>36</v>
      </c>
      <c r="B110" s="15" t="s">
        <v>1054</v>
      </c>
      <c r="C110" s="15" t="s">
        <v>10</v>
      </c>
      <c r="D110" s="16">
        <v>31850909</v>
      </c>
      <c r="E110" s="17">
        <v>45292</v>
      </c>
      <c r="F110" s="18">
        <f>MONTH(Data!$E110)</f>
        <v>1</v>
      </c>
      <c r="G110" s="16">
        <f>YEAR(Data!$E110)</f>
        <v>2024</v>
      </c>
      <c r="H110" s="15" t="s">
        <v>15</v>
      </c>
      <c r="I110" s="15" t="str">
        <f t="shared" si="1"/>
        <v>Doanh nghiệp</v>
      </c>
      <c r="J110" s="15" t="s">
        <v>1285</v>
      </c>
      <c r="K110" s="15" t="s">
        <v>1263</v>
      </c>
      <c r="L110" s="32">
        <f>Data!$D110/10^6</f>
        <v>31.850909000000001</v>
      </c>
    </row>
    <row r="111" spans="1:12" x14ac:dyDescent="0.25">
      <c r="A111" s="29" t="s">
        <v>36</v>
      </c>
      <c r="B111" s="15" t="s">
        <v>1055</v>
      </c>
      <c r="C111" s="15" t="s">
        <v>10</v>
      </c>
      <c r="D111" s="16">
        <v>143276859</v>
      </c>
      <c r="E111" s="17">
        <v>45292</v>
      </c>
      <c r="F111" s="18">
        <f>MONTH(Data!$E111)</f>
        <v>1</v>
      </c>
      <c r="G111" s="16">
        <f>YEAR(Data!$E111)</f>
        <v>2024</v>
      </c>
      <c r="H111" s="15" t="s">
        <v>15</v>
      </c>
      <c r="I111" s="15" t="str">
        <f t="shared" si="1"/>
        <v>Doanh nghiệp</v>
      </c>
      <c r="J111" s="15" t="s">
        <v>1284</v>
      </c>
      <c r="K111" s="15" t="s">
        <v>1263</v>
      </c>
      <c r="L111" s="32">
        <f>Data!$D111/10^6</f>
        <v>143.276859</v>
      </c>
    </row>
    <row r="112" spans="1:12" x14ac:dyDescent="0.25">
      <c r="A112" s="29" t="s">
        <v>37</v>
      </c>
      <c r="B112" s="15" t="s">
        <v>1059</v>
      </c>
      <c r="C112" s="15" t="s">
        <v>14</v>
      </c>
      <c r="D112" s="16">
        <v>42709091</v>
      </c>
      <c r="E112" s="17">
        <v>45292</v>
      </c>
      <c r="F112" s="18">
        <f>MONTH(Data!$E112)</f>
        <v>1</v>
      </c>
      <c r="G112" s="16">
        <f>YEAR(Data!$E112)</f>
        <v>2024</v>
      </c>
      <c r="H112" s="15" t="s">
        <v>11</v>
      </c>
      <c r="I112" s="15" t="str">
        <f t="shared" si="1"/>
        <v>Doanh nghiệp</v>
      </c>
      <c r="J112" s="15" t="s">
        <v>1285</v>
      </c>
      <c r="K112" s="15" t="s">
        <v>1264</v>
      </c>
      <c r="L112" s="32">
        <f>Data!$D112/10^6</f>
        <v>42.709091000000001</v>
      </c>
    </row>
    <row r="113" spans="1:12" x14ac:dyDescent="0.25">
      <c r="A113" s="29" t="s">
        <v>37</v>
      </c>
      <c r="B113" s="15" t="s">
        <v>1060</v>
      </c>
      <c r="C113" s="15" t="s">
        <v>10</v>
      </c>
      <c r="D113" s="16">
        <v>25281818</v>
      </c>
      <c r="E113" s="17">
        <v>45292</v>
      </c>
      <c r="F113" s="18">
        <f>MONTH(Data!$E113)</f>
        <v>1</v>
      </c>
      <c r="G113" s="16">
        <f>YEAR(Data!$E113)</f>
        <v>2024</v>
      </c>
      <c r="H113" s="15" t="s">
        <v>11</v>
      </c>
      <c r="I113" s="15" t="str">
        <f t="shared" si="1"/>
        <v>Doanh nghiệp</v>
      </c>
      <c r="J113" s="15" t="s">
        <v>1284</v>
      </c>
      <c r="K113" s="15" t="s">
        <v>1263</v>
      </c>
      <c r="L113" s="32">
        <f>Data!$D113/10^6</f>
        <v>25.281818000000001</v>
      </c>
    </row>
    <row r="114" spans="1:12" x14ac:dyDescent="0.25">
      <c r="A114" s="29" t="s">
        <v>37</v>
      </c>
      <c r="B114" s="15" t="s">
        <v>1061</v>
      </c>
      <c r="C114" s="15" t="s">
        <v>14</v>
      </c>
      <c r="D114" s="16">
        <v>42172727</v>
      </c>
      <c r="E114" s="17">
        <v>45292</v>
      </c>
      <c r="F114" s="18">
        <f>MONTH(Data!$E114)</f>
        <v>1</v>
      </c>
      <c r="G114" s="16">
        <f>YEAR(Data!$E114)</f>
        <v>2024</v>
      </c>
      <c r="H114" s="15" t="s">
        <v>11</v>
      </c>
      <c r="I114" s="15" t="str">
        <f t="shared" si="1"/>
        <v>Doanh nghiệp</v>
      </c>
      <c r="J114" s="15" t="s">
        <v>1285</v>
      </c>
      <c r="K114" s="15" t="s">
        <v>1264</v>
      </c>
      <c r="L114" s="32">
        <f>Data!$D114/10^6</f>
        <v>42.172727000000002</v>
      </c>
    </row>
    <row r="115" spans="1:12" x14ac:dyDescent="0.25">
      <c r="A115" s="29" t="s">
        <v>52</v>
      </c>
      <c r="B115" s="15" t="s">
        <v>1070</v>
      </c>
      <c r="C115" s="15" t="s">
        <v>14</v>
      </c>
      <c r="D115" s="16">
        <v>23400000</v>
      </c>
      <c r="E115" s="17">
        <v>45292</v>
      </c>
      <c r="F115" s="18">
        <f>MONTH(Data!$E115)</f>
        <v>1</v>
      </c>
      <c r="G115" s="16">
        <f>YEAR(Data!$E115)</f>
        <v>2024</v>
      </c>
      <c r="H115" s="15" t="s">
        <v>35</v>
      </c>
      <c r="I115" s="15" t="str">
        <f t="shared" si="1"/>
        <v>Doanh nghiệp</v>
      </c>
      <c r="J115" s="15" t="s">
        <v>1284</v>
      </c>
      <c r="K115" s="15" t="s">
        <v>1275</v>
      </c>
      <c r="L115" s="32">
        <f>Data!$D115/10^6</f>
        <v>23.4</v>
      </c>
    </row>
    <row r="116" spans="1:12" x14ac:dyDescent="0.25">
      <c r="A116" s="29" t="s">
        <v>87</v>
      </c>
      <c r="B116" s="15" t="s">
        <v>1090</v>
      </c>
      <c r="C116" s="15" t="s">
        <v>41</v>
      </c>
      <c r="D116" s="16">
        <v>65759091</v>
      </c>
      <c r="E116" s="17">
        <v>45292</v>
      </c>
      <c r="F116" s="18">
        <f>MONTH(Data!$E116)</f>
        <v>1</v>
      </c>
      <c r="G116" s="16">
        <f>YEAR(Data!$E116)</f>
        <v>2024</v>
      </c>
      <c r="H116" s="15" t="s">
        <v>29</v>
      </c>
      <c r="I116" s="15" t="str">
        <f t="shared" si="1"/>
        <v>Doanh nghiệp</v>
      </c>
      <c r="J116" s="15" t="s">
        <v>1285</v>
      </c>
      <c r="K116" s="15" t="s">
        <v>1269</v>
      </c>
      <c r="L116" s="32">
        <f>Data!$D116/10^6</f>
        <v>65.759090999999998</v>
      </c>
    </row>
    <row r="117" spans="1:12" x14ac:dyDescent="0.25">
      <c r="A117" s="29" t="s">
        <v>102</v>
      </c>
      <c r="B117" s="15" t="s">
        <v>1091</v>
      </c>
      <c r="C117" s="15" t="s">
        <v>10</v>
      </c>
      <c r="D117" s="16">
        <v>198113636</v>
      </c>
      <c r="E117" s="17">
        <v>45292</v>
      </c>
      <c r="F117" s="18">
        <f>MONTH(Data!$E117)</f>
        <v>1</v>
      </c>
      <c r="G117" s="16">
        <f>YEAR(Data!$E117)</f>
        <v>2024</v>
      </c>
      <c r="H117" s="15" t="s">
        <v>22</v>
      </c>
      <c r="I117" s="15" t="str">
        <f t="shared" si="1"/>
        <v>Doanh nghiệp</v>
      </c>
      <c r="J117" s="15" t="s">
        <v>1284</v>
      </c>
      <c r="K117" s="15" t="s">
        <v>1267</v>
      </c>
      <c r="L117" s="32">
        <f>Data!$D117/10^6</f>
        <v>198.11363600000001</v>
      </c>
    </row>
    <row r="118" spans="1:12" x14ac:dyDescent="0.25">
      <c r="A118" s="29" t="s">
        <v>68</v>
      </c>
      <c r="B118" s="15" t="s">
        <v>1092</v>
      </c>
      <c r="C118" s="15" t="s">
        <v>10</v>
      </c>
      <c r="D118" s="16">
        <v>34041000</v>
      </c>
      <c r="E118" s="17">
        <v>45292</v>
      </c>
      <c r="F118" s="18">
        <f>MONTH(Data!$E118)</f>
        <v>1</v>
      </c>
      <c r="G118" s="16">
        <f>YEAR(Data!$E118)</f>
        <v>2024</v>
      </c>
      <c r="H118" s="15" t="s">
        <v>22</v>
      </c>
      <c r="I118" s="15" t="str">
        <f t="shared" si="1"/>
        <v>Doanh nghiệp</v>
      </c>
      <c r="J118" s="15" t="s">
        <v>1285</v>
      </c>
      <c r="K118" s="15" t="s">
        <v>1263</v>
      </c>
      <c r="L118" s="32">
        <f>Data!$D118/10^6</f>
        <v>34.040999999999997</v>
      </c>
    </row>
    <row r="119" spans="1:12" x14ac:dyDescent="0.25">
      <c r="A119" s="29" t="s">
        <v>68</v>
      </c>
      <c r="B119" s="15" t="s">
        <v>1093</v>
      </c>
      <c r="C119" s="15" t="s">
        <v>10</v>
      </c>
      <c r="D119" s="16">
        <v>10078000</v>
      </c>
      <c r="E119" s="17">
        <v>45292</v>
      </c>
      <c r="F119" s="18">
        <f>MONTH(Data!$E119)</f>
        <v>1</v>
      </c>
      <c r="G119" s="16">
        <f>YEAR(Data!$E119)</f>
        <v>2024</v>
      </c>
      <c r="H119" s="15" t="s">
        <v>22</v>
      </c>
      <c r="I119" s="15" t="str">
        <f t="shared" si="1"/>
        <v>Doanh nghiệp</v>
      </c>
      <c r="J119" s="15" t="s">
        <v>1284</v>
      </c>
      <c r="K119" s="15" t="s">
        <v>1263</v>
      </c>
      <c r="L119" s="32">
        <f>Data!$D119/10^6</f>
        <v>10.077999999999999</v>
      </c>
    </row>
    <row r="120" spans="1:12" x14ac:dyDescent="0.25">
      <c r="A120" s="29" t="s">
        <v>87</v>
      </c>
      <c r="B120" s="15" t="s">
        <v>1107</v>
      </c>
      <c r="C120" s="15" t="s">
        <v>10</v>
      </c>
      <c r="D120" s="16">
        <v>24898455</v>
      </c>
      <c r="E120" s="17">
        <v>45292</v>
      </c>
      <c r="F120" s="18">
        <f>MONTH(Data!$E120)</f>
        <v>1</v>
      </c>
      <c r="G120" s="16">
        <f>YEAR(Data!$E120)</f>
        <v>2024</v>
      </c>
      <c r="H120" s="15" t="s">
        <v>29</v>
      </c>
      <c r="I120" s="15" t="str">
        <f t="shared" si="1"/>
        <v>Doanh nghiệp</v>
      </c>
      <c r="J120" s="15" t="s">
        <v>1285</v>
      </c>
      <c r="K120" s="15" t="s">
        <v>1263</v>
      </c>
      <c r="L120" s="32">
        <f>Data!$D120/10^6</f>
        <v>24.898454999999998</v>
      </c>
    </row>
    <row r="121" spans="1:12" x14ac:dyDescent="0.25">
      <c r="A121" s="29" t="s">
        <v>73</v>
      </c>
      <c r="B121" s="15" t="s">
        <v>1110</v>
      </c>
      <c r="C121" s="15" t="s">
        <v>10</v>
      </c>
      <c r="D121" s="16">
        <v>22472727</v>
      </c>
      <c r="E121" s="17">
        <v>45292</v>
      </c>
      <c r="F121" s="18">
        <f>MONTH(Data!$E121)</f>
        <v>1</v>
      </c>
      <c r="G121" s="16">
        <f>YEAR(Data!$E121)</f>
        <v>2024</v>
      </c>
      <c r="H121" s="15" t="s">
        <v>32</v>
      </c>
      <c r="I121" s="15" t="str">
        <f t="shared" si="1"/>
        <v>Doanh nghiệp</v>
      </c>
      <c r="J121" s="15" t="s">
        <v>1284</v>
      </c>
      <c r="K121" s="15" t="s">
        <v>1263</v>
      </c>
      <c r="L121" s="32">
        <f>Data!$D121/10^6</f>
        <v>22.472726999999999</v>
      </c>
    </row>
    <row r="122" spans="1:12" x14ac:dyDescent="0.25">
      <c r="A122" s="29" t="s">
        <v>107</v>
      </c>
      <c r="B122" s="15" t="s">
        <v>1111</v>
      </c>
      <c r="C122" s="15" t="s">
        <v>14</v>
      </c>
      <c r="D122" s="16">
        <v>243154545</v>
      </c>
      <c r="E122" s="17">
        <v>45292</v>
      </c>
      <c r="F122" s="18">
        <f>MONTH(Data!$E122)</f>
        <v>1</v>
      </c>
      <c r="G122" s="16">
        <f>YEAR(Data!$E122)</f>
        <v>2024</v>
      </c>
      <c r="H122" s="15" t="s">
        <v>42</v>
      </c>
      <c r="I122" s="15" t="str">
        <f t="shared" si="1"/>
        <v>Doanh nghiệp</v>
      </c>
      <c r="J122" s="15" t="s">
        <v>1285</v>
      </c>
      <c r="K122" s="15" t="s">
        <v>1275</v>
      </c>
      <c r="L122" s="32">
        <f>Data!$D122/10^6</f>
        <v>243.15454500000001</v>
      </c>
    </row>
    <row r="123" spans="1:12" x14ac:dyDescent="0.25">
      <c r="A123" s="29" t="s">
        <v>92</v>
      </c>
      <c r="B123" s="15" t="s">
        <v>1112</v>
      </c>
      <c r="C123" s="15" t="s">
        <v>14</v>
      </c>
      <c r="D123" s="16">
        <v>44690000</v>
      </c>
      <c r="E123" s="17">
        <v>45292</v>
      </c>
      <c r="F123" s="18">
        <f>MONTH(Data!$E123)</f>
        <v>1</v>
      </c>
      <c r="G123" s="16">
        <f>YEAR(Data!$E123)</f>
        <v>2024</v>
      </c>
      <c r="H123" s="15" t="s">
        <v>29</v>
      </c>
      <c r="I123" s="15" t="str">
        <f t="shared" si="1"/>
        <v>Doanh nghiệp</v>
      </c>
      <c r="J123" s="15" t="s">
        <v>1284</v>
      </c>
      <c r="K123" s="15" t="s">
        <v>1264</v>
      </c>
      <c r="L123" s="32">
        <f>Data!$D123/10^6</f>
        <v>44.69</v>
      </c>
    </row>
    <row r="124" spans="1:12" x14ac:dyDescent="0.25">
      <c r="A124" s="29" t="s">
        <v>48</v>
      </c>
      <c r="B124" s="15" t="s">
        <v>1123</v>
      </c>
      <c r="C124" s="15" t="s">
        <v>10</v>
      </c>
      <c r="D124" s="16">
        <v>16936364</v>
      </c>
      <c r="E124" s="17">
        <v>45292</v>
      </c>
      <c r="F124" s="18">
        <f>MONTH(Data!$E124)</f>
        <v>1</v>
      </c>
      <c r="G124" s="16">
        <f>YEAR(Data!$E124)</f>
        <v>2024</v>
      </c>
      <c r="H124" s="15" t="s">
        <v>25</v>
      </c>
      <c r="I124" s="15" t="str">
        <f t="shared" si="1"/>
        <v>Doanh nghiệp</v>
      </c>
      <c r="J124" s="15" t="s">
        <v>1285</v>
      </c>
      <c r="K124" s="15" t="s">
        <v>1262</v>
      </c>
      <c r="L124" s="32">
        <f>Data!$D124/10^6</f>
        <v>16.936364000000001</v>
      </c>
    </row>
    <row r="125" spans="1:12" x14ac:dyDescent="0.25">
      <c r="A125" s="29" t="s">
        <v>87</v>
      </c>
      <c r="B125" s="15" t="s">
        <v>1033</v>
      </c>
      <c r="C125" s="15" t="s">
        <v>14</v>
      </c>
      <c r="D125" s="16">
        <v>49272727</v>
      </c>
      <c r="E125" s="17">
        <v>45292</v>
      </c>
      <c r="F125" s="18">
        <f>MONTH(Data!$E125)</f>
        <v>1</v>
      </c>
      <c r="G125" s="16">
        <f>YEAR(Data!$E125)</f>
        <v>2024</v>
      </c>
      <c r="H125" s="15" t="s">
        <v>29</v>
      </c>
      <c r="I125" s="15" t="str">
        <f t="shared" si="1"/>
        <v>Doanh nghiệp</v>
      </c>
      <c r="J125" s="15" t="s">
        <v>1284</v>
      </c>
      <c r="K125" s="15" t="s">
        <v>1275</v>
      </c>
      <c r="L125" s="32">
        <f>Data!$D125/10^6</f>
        <v>49.272727000000003</v>
      </c>
    </row>
    <row r="126" spans="1:12" x14ac:dyDescent="0.25">
      <c r="A126" s="29" t="s">
        <v>128</v>
      </c>
      <c r="B126" s="15" t="s">
        <v>1036</v>
      </c>
      <c r="C126" s="15" t="s">
        <v>14</v>
      </c>
      <c r="D126" s="16">
        <v>39371331</v>
      </c>
      <c r="E126" s="17">
        <v>45292</v>
      </c>
      <c r="F126" s="18">
        <f>MONTH(Data!$E126)</f>
        <v>1</v>
      </c>
      <c r="G126" s="16">
        <f>YEAR(Data!$E126)</f>
        <v>2024</v>
      </c>
      <c r="H126" s="15" t="s">
        <v>42</v>
      </c>
      <c r="I126" s="15" t="str">
        <f t="shared" si="1"/>
        <v>Doanh nghiệp</v>
      </c>
      <c r="J126" s="15" t="s">
        <v>1285</v>
      </c>
      <c r="K126" s="15" t="s">
        <v>1266</v>
      </c>
      <c r="L126" s="32">
        <f>Data!$D126/10^6</f>
        <v>39.371330999999998</v>
      </c>
    </row>
    <row r="127" spans="1:12" x14ac:dyDescent="0.25">
      <c r="A127" s="29" t="s">
        <v>48</v>
      </c>
      <c r="B127" s="15" t="s">
        <v>1043</v>
      </c>
      <c r="C127" s="15" t="s">
        <v>10</v>
      </c>
      <c r="D127" s="16">
        <v>14335182</v>
      </c>
      <c r="E127" s="17">
        <v>45292</v>
      </c>
      <c r="F127" s="18">
        <f>MONTH(Data!$E127)</f>
        <v>1</v>
      </c>
      <c r="G127" s="16">
        <f>YEAR(Data!$E127)</f>
        <v>2024</v>
      </c>
      <c r="H127" s="15" t="s">
        <v>25</v>
      </c>
      <c r="I127" s="15" t="str">
        <f t="shared" si="1"/>
        <v>Doanh nghiệp</v>
      </c>
      <c r="J127" s="15" t="s">
        <v>1284</v>
      </c>
      <c r="K127" s="15" t="s">
        <v>1262</v>
      </c>
      <c r="L127" s="32">
        <f>Data!$D127/10^6</f>
        <v>14.335182</v>
      </c>
    </row>
    <row r="128" spans="1:12" x14ac:dyDescent="0.25">
      <c r="A128" s="29" t="s">
        <v>48</v>
      </c>
      <c r="B128" s="15" t="s">
        <v>1044</v>
      </c>
      <c r="C128" s="15" t="s">
        <v>41</v>
      </c>
      <c r="D128" s="16">
        <v>22934000</v>
      </c>
      <c r="E128" s="17">
        <v>45292</v>
      </c>
      <c r="F128" s="18">
        <f>MONTH(Data!$E128)</f>
        <v>1</v>
      </c>
      <c r="G128" s="16">
        <f>YEAR(Data!$E128)</f>
        <v>2024</v>
      </c>
      <c r="H128" s="15" t="s">
        <v>25</v>
      </c>
      <c r="I128" s="15" t="str">
        <f t="shared" si="1"/>
        <v>Doanh nghiệp</v>
      </c>
      <c r="J128" s="15" t="s">
        <v>1285</v>
      </c>
      <c r="K128" s="15" t="s">
        <v>1269</v>
      </c>
      <c r="L128" s="32">
        <f>Data!$D128/10^6</f>
        <v>22.934000000000001</v>
      </c>
    </row>
    <row r="129" spans="1:12" x14ac:dyDescent="0.25">
      <c r="A129" s="29" t="s">
        <v>48</v>
      </c>
      <c r="B129" s="15" t="s">
        <v>1045</v>
      </c>
      <c r="C129" s="15" t="s">
        <v>10</v>
      </c>
      <c r="D129" s="16">
        <v>10025370</v>
      </c>
      <c r="E129" s="17">
        <v>45292</v>
      </c>
      <c r="F129" s="18">
        <f>MONTH(Data!$E129)</f>
        <v>1</v>
      </c>
      <c r="G129" s="16">
        <f>YEAR(Data!$E129)</f>
        <v>2024</v>
      </c>
      <c r="H129" s="15" t="s">
        <v>25</v>
      </c>
      <c r="I129" s="15" t="str">
        <f t="shared" si="1"/>
        <v>Doanh nghiệp</v>
      </c>
      <c r="J129" s="15" t="s">
        <v>1284</v>
      </c>
      <c r="K129" s="15" t="s">
        <v>1262</v>
      </c>
      <c r="L129" s="32">
        <f>Data!$D129/10^6</f>
        <v>10.025370000000001</v>
      </c>
    </row>
    <row r="130" spans="1:12" x14ac:dyDescent="0.25">
      <c r="A130" s="29" t="s">
        <v>65</v>
      </c>
      <c r="B130" s="15" t="s">
        <v>1052</v>
      </c>
      <c r="C130" s="15" t="s">
        <v>14</v>
      </c>
      <c r="D130" s="16">
        <v>74171318</v>
      </c>
      <c r="E130" s="17">
        <v>45292</v>
      </c>
      <c r="F130" s="18">
        <f>MONTH(Data!$E130)</f>
        <v>1</v>
      </c>
      <c r="G130" s="16">
        <f>YEAR(Data!$E130)</f>
        <v>2024</v>
      </c>
      <c r="H130" s="15" t="s">
        <v>25</v>
      </c>
      <c r="I130" s="15" t="str">
        <f t="shared" si="1"/>
        <v>Doanh nghiệp</v>
      </c>
      <c r="J130" s="15" t="s">
        <v>1285</v>
      </c>
      <c r="K130" s="15" t="s">
        <v>1264</v>
      </c>
      <c r="L130" s="32">
        <f>Data!$D130/10^6</f>
        <v>74.171317999999999</v>
      </c>
    </row>
    <row r="131" spans="1:12" x14ac:dyDescent="0.25">
      <c r="A131" s="29" t="s">
        <v>65</v>
      </c>
      <c r="B131" s="15" t="s">
        <v>1053</v>
      </c>
      <c r="C131" s="15" t="s">
        <v>14</v>
      </c>
      <c r="D131" s="16">
        <v>16863636</v>
      </c>
      <c r="E131" s="17">
        <v>45292</v>
      </c>
      <c r="F131" s="18">
        <f>MONTH(Data!$E131)</f>
        <v>1</v>
      </c>
      <c r="G131" s="16">
        <f>YEAR(Data!$E131)</f>
        <v>2024</v>
      </c>
      <c r="H131" s="15" t="s">
        <v>25</v>
      </c>
      <c r="I131" s="15" t="str">
        <f t="shared" ref="I131:I194" si="2">IF(ISNUMBER(SEARCH("Công ty",$B131)),"Doanh nghiệp",IF(ISNUMBER(SEARCH("Doanh nghiệp",$B131)),"Doanh nghiệp",IF(ISNUMBER(SEARCH("Tập đoàn",$B131)),"Doanh nghiệp",
IF(ISNUMBER(SEARCH("Bệnh viện",$B131)),"Bệnh viện",
IF(ISNUMBER(SEARCH("Ngân hàng",$B131)),"Ngân hàng",IF(ISNUMBER(SEARCH("trường",$B131)),"Trường học",IF(ISNUMBER(SEARCH("học viện",$B131)),"Trường học",
IF(ISNUMBER(SEARCH("Bộ",$B131)),"Sở ban ngành",IF(ISNUMBER(SEARCH("Đoàn",$B131)),"Sở ban ngành",IF(ISNUMBER(SEARCH("Phòng",$B131)),"Sở ban ngành",IF(ISNUMBER(SEARCH("UBND",$B131)),"Sở ban ngành",IF(ISNUMBER(SEARCH("ủy ban",$B131)),"Sở ban ngành",IF(ISNUMBER(SEARCH("công an",$B131)),"Sở ban ngành",IF(ISNUMBER(SEARCH("sở",$B131)),"Sở ban ngành",IF(ISNUMBER(SEARCH("thôn",$B131)),"Sở ban ngành",IF(ISNUMBER(SEARCH("xã",$B131)),"Sở ban ngành",IF(ISNUMBER(SEARCH("quân khu",$B131)),"Sở ban ngành",IF(ISNUMBER(SEARCH("cục",$B131)),"Sở ban ngành",IF(ISNUMBER(SEARCH("viện",$B131)),"Sở ban ngành",IF(ISNUMBER(SEARCH("quỹ",$B131)),"Sở ban ngành",IF(ISNUMBER(SEARCH("trung tâm",$B131)),"Sở ban ngành",IF(ISNUMBER(SEARCH("quân chủng",$B131)),"Sở ban ngành",IF(ISNUMBER(SEARCH("hội",$B131)),"Sở ban ngành",
"Khác")))))))))))))))))))))))</f>
        <v>Doanh nghiệp</v>
      </c>
      <c r="J131" s="15" t="s">
        <v>1284</v>
      </c>
      <c r="K131" s="15" t="s">
        <v>1275</v>
      </c>
      <c r="L131" s="32">
        <f>Data!$D131/10^6</f>
        <v>16.863636</v>
      </c>
    </row>
    <row r="132" spans="1:12" x14ac:dyDescent="0.25">
      <c r="A132" s="29" t="s">
        <v>65</v>
      </c>
      <c r="B132" s="15" t="s">
        <v>1054</v>
      </c>
      <c r="C132" s="15" t="s">
        <v>149</v>
      </c>
      <c r="D132" s="16">
        <v>159444541</v>
      </c>
      <c r="E132" s="17">
        <v>45292</v>
      </c>
      <c r="F132" s="18">
        <f>MONTH(Data!$E132)</f>
        <v>1</v>
      </c>
      <c r="G132" s="16">
        <f>YEAR(Data!$E132)</f>
        <v>2024</v>
      </c>
      <c r="H132" s="15" t="s">
        <v>25</v>
      </c>
      <c r="I132" s="15" t="str">
        <f t="shared" si="2"/>
        <v>Doanh nghiệp</v>
      </c>
      <c r="J132" s="15" t="s">
        <v>1285</v>
      </c>
      <c r="K132" s="15" t="s">
        <v>1267</v>
      </c>
      <c r="L132" s="32">
        <f>Data!$D132/10^6</f>
        <v>159.44454099999999</v>
      </c>
    </row>
    <row r="133" spans="1:12" x14ac:dyDescent="0.25">
      <c r="A133" s="29" t="s">
        <v>146</v>
      </c>
      <c r="B133" s="15" t="s">
        <v>1055</v>
      </c>
      <c r="C133" s="15" t="s">
        <v>14</v>
      </c>
      <c r="D133" s="16">
        <v>56200000</v>
      </c>
      <c r="E133" s="17">
        <v>45292</v>
      </c>
      <c r="F133" s="18">
        <f>MONTH(Data!$E133)</f>
        <v>1</v>
      </c>
      <c r="G133" s="16">
        <f>YEAR(Data!$E133)</f>
        <v>2024</v>
      </c>
      <c r="H133" s="15" t="s">
        <v>32</v>
      </c>
      <c r="I133" s="15" t="str">
        <f t="shared" si="2"/>
        <v>Doanh nghiệp</v>
      </c>
      <c r="J133" s="15" t="s">
        <v>1284</v>
      </c>
      <c r="K133" s="15" t="s">
        <v>1275</v>
      </c>
      <c r="L133" s="32">
        <f>Data!$D133/10^6</f>
        <v>56.2</v>
      </c>
    </row>
    <row r="134" spans="1:12" x14ac:dyDescent="0.25">
      <c r="A134" s="29" t="s">
        <v>52</v>
      </c>
      <c r="B134" s="15" t="s">
        <v>1059</v>
      </c>
      <c r="C134" s="15" t="s">
        <v>41</v>
      </c>
      <c r="D134" s="16">
        <v>98350000</v>
      </c>
      <c r="E134" s="17">
        <v>45292</v>
      </c>
      <c r="F134" s="18">
        <f>MONTH(Data!$E134)</f>
        <v>1</v>
      </c>
      <c r="G134" s="16">
        <f>YEAR(Data!$E134)</f>
        <v>2024</v>
      </c>
      <c r="H134" s="15" t="s">
        <v>35</v>
      </c>
      <c r="I134" s="15" t="str">
        <f t="shared" si="2"/>
        <v>Doanh nghiệp</v>
      </c>
      <c r="J134" s="15" t="s">
        <v>1285</v>
      </c>
      <c r="K134" s="15" t="s">
        <v>1270</v>
      </c>
      <c r="L134" s="32">
        <f>Data!$D134/10^6</f>
        <v>98.35</v>
      </c>
    </row>
    <row r="135" spans="1:12" x14ac:dyDescent="0.25">
      <c r="A135" s="29" t="s">
        <v>73</v>
      </c>
      <c r="B135" s="15" t="s">
        <v>1060</v>
      </c>
      <c r="C135" s="15" t="s">
        <v>10</v>
      </c>
      <c r="D135" s="16">
        <v>15572557</v>
      </c>
      <c r="E135" s="17">
        <v>45292</v>
      </c>
      <c r="F135" s="18">
        <f>MONTH(Data!$E135)</f>
        <v>1</v>
      </c>
      <c r="G135" s="16">
        <f>YEAR(Data!$E135)</f>
        <v>2024</v>
      </c>
      <c r="H135" s="15" t="s">
        <v>32</v>
      </c>
      <c r="I135" s="15" t="str">
        <f t="shared" si="2"/>
        <v>Doanh nghiệp</v>
      </c>
      <c r="J135" s="15" t="s">
        <v>1284</v>
      </c>
      <c r="K135" s="15" t="s">
        <v>1263</v>
      </c>
      <c r="L135" s="32">
        <f>Data!$D135/10^6</f>
        <v>15.572557</v>
      </c>
    </row>
    <row r="136" spans="1:12" x14ac:dyDescent="0.25">
      <c r="A136" s="29" t="s">
        <v>65</v>
      </c>
      <c r="B136" s="15" t="s">
        <v>1066</v>
      </c>
      <c r="C136" s="15" t="s">
        <v>14</v>
      </c>
      <c r="D136" s="16">
        <v>18181818</v>
      </c>
      <c r="E136" s="17">
        <v>45292</v>
      </c>
      <c r="F136" s="18">
        <f>MONTH(Data!$E136)</f>
        <v>1</v>
      </c>
      <c r="G136" s="16">
        <f>YEAR(Data!$E136)</f>
        <v>2024</v>
      </c>
      <c r="H136" s="15" t="s">
        <v>25</v>
      </c>
      <c r="I136" s="15" t="str">
        <f t="shared" si="2"/>
        <v>Doanh nghiệp</v>
      </c>
      <c r="J136" s="15" t="s">
        <v>1285</v>
      </c>
      <c r="K136" s="15" t="s">
        <v>1264</v>
      </c>
      <c r="L136" s="32">
        <f>Data!$D136/10^6</f>
        <v>18.181818</v>
      </c>
    </row>
    <row r="137" spans="1:12" x14ac:dyDescent="0.25">
      <c r="A137" s="29" t="s">
        <v>111</v>
      </c>
      <c r="B137" s="15" t="s">
        <v>1085</v>
      </c>
      <c r="C137" s="15" t="s">
        <v>14</v>
      </c>
      <c r="D137" s="16">
        <v>35681818</v>
      </c>
      <c r="E137" s="17">
        <v>45292</v>
      </c>
      <c r="F137" s="18">
        <f>MONTH(Data!$E137)</f>
        <v>1</v>
      </c>
      <c r="G137" s="16">
        <f>YEAR(Data!$E137)</f>
        <v>2024</v>
      </c>
      <c r="H137" s="15" t="s">
        <v>22</v>
      </c>
      <c r="I137" s="15" t="str">
        <f t="shared" si="2"/>
        <v>Doanh nghiệp</v>
      </c>
      <c r="J137" s="15" t="s">
        <v>1284</v>
      </c>
      <c r="K137" s="15" t="s">
        <v>1264</v>
      </c>
      <c r="L137" s="32">
        <f>Data!$D137/10^6</f>
        <v>35.681818</v>
      </c>
    </row>
    <row r="138" spans="1:12" x14ac:dyDescent="0.25">
      <c r="A138" s="29" t="s">
        <v>111</v>
      </c>
      <c r="B138" s="15" t="s">
        <v>1086</v>
      </c>
      <c r="C138" s="15" t="s">
        <v>14</v>
      </c>
      <c r="D138" s="16">
        <v>33872727</v>
      </c>
      <c r="E138" s="17">
        <v>45292</v>
      </c>
      <c r="F138" s="18">
        <f>MONTH(Data!$E138)</f>
        <v>1</v>
      </c>
      <c r="G138" s="16">
        <f>YEAR(Data!$E138)</f>
        <v>2024</v>
      </c>
      <c r="H138" s="15" t="s">
        <v>22</v>
      </c>
      <c r="I138" s="15" t="str">
        <f t="shared" si="2"/>
        <v>Doanh nghiệp</v>
      </c>
      <c r="J138" s="15" t="s">
        <v>1285</v>
      </c>
      <c r="K138" s="15" t="s">
        <v>1264</v>
      </c>
      <c r="L138" s="32">
        <f>Data!$D138/10^6</f>
        <v>33.872726999999998</v>
      </c>
    </row>
    <row r="139" spans="1:12" x14ac:dyDescent="0.25">
      <c r="A139" s="29" t="s">
        <v>72</v>
      </c>
      <c r="B139" s="15" t="s">
        <v>1097</v>
      </c>
      <c r="C139" s="15" t="s">
        <v>14</v>
      </c>
      <c r="D139" s="16">
        <v>27000000</v>
      </c>
      <c r="E139" s="17">
        <v>45292</v>
      </c>
      <c r="F139" s="18">
        <f>MONTH(Data!$E139)</f>
        <v>1</v>
      </c>
      <c r="G139" s="16">
        <f>YEAR(Data!$E139)</f>
        <v>2024</v>
      </c>
      <c r="H139" s="15" t="s">
        <v>22</v>
      </c>
      <c r="I139" s="15" t="str">
        <f t="shared" si="2"/>
        <v>Doanh nghiệp</v>
      </c>
      <c r="J139" s="15" t="s">
        <v>1284</v>
      </c>
      <c r="K139" s="15" t="s">
        <v>1275</v>
      </c>
      <c r="L139" s="32">
        <f>Data!$D139/10^6</f>
        <v>27</v>
      </c>
    </row>
    <row r="140" spans="1:12" x14ac:dyDescent="0.25">
      <c r="A140" s="29" t="s">
        <v>116</v>
      </c>
      <c r="B140" s="15" t="s">
        <v>1113</v>
      </c>
      <c r="C140" s="15" t="s">
        <v>10</v>
      </c>
      <c r="D140" s="16">
        <v>185400000</v>
      </c>
      <c r="E140" s="17">
        <v>45292</v>
      </c>
      <c r="F140" s="18">
        <f>MONTH(Data!$E140)</f>
        <v>1</v>
      </c>
      <c r="G140" s="16">
        <f>YEAR(Data!$E140)</f>
        <v>2024</v>
      </c>
      <c r="H140" s="15" t="s">
        <v>15</v>
      </c>
      <c r="I140" s="15" t="str">
        <f t="shared" si="2"/>
        <v>Doanh nghiệp</v>
      </c>
      <c r="J140" s="15" t="s">
        <v>1285</v>
      </c>
      <c r="K140" s="15" t="s">
        <v>1262</v>
      </c>
      <c r="L140" s="32">
        <f>Data!$D140/10^6</f>
        <v>185.4</v>
      </c>
    </row>
    <row r="141" spans="1:12" x14ac:dyDescent="0.25">
      <c r="A141" s="29" t="s">
        <v>77</v>
      </c>
      <c r="B141" s="15" t="s">
        <v>1113</v>
      </c>
      <c r="C141" s="15" t="s">
        <v>149</v>
      </c>
      <c r="D141" s="16">
        <v>41638575</v>
      </c>
      <c r="E141" s="17">
        <v>45292</v>
      </c>
      <c r="F141" s="18">
        <f>MONTH(Data!$E141)</f>
        <v>1</v>
      </c>
      <c r="G141" s="16">
        <f>YEAR(Data!$E141)</f>
        <v>2024</v>
      </c>
      <c r="H141" s="15" t="s">
        <v>35</v>
      </c>
      <c r="I141" s="15" t="str">
        <f t="shared" si="2"/>
        <v>Doanh nghiệp</v>
      </c>
      <c r="J141" s="15" t="s">
        <v>1284</v>
      </c>
      <c r="K141" s="15" t="s">
        <v>1266</v>
      </c>
      <c r="L141" s="32">
        <f>Data!$D141/10^6</f>
        <v>41.638575000000003</v>
      </c>
    </row>
    <row r="142" spans="1:12" x14ac:dyDescent="0.25">
      <c r="A142" s="29" t="s">
        <v>78</v>
      </c>
      <c r="B142" s="15" t="s">
        <v>1113</v>
      </c>
      <c r="C142" s="15" t="s">
        <v>46</v>
      </c>
      <c r="D142" s="16">
        <v>27970000</v>
      </c>
      <c r="E142" s="17">
        <v>45292</v>
      </c>
      <c r="F142" s="18">
        <f>MONTH(Data!$E142)</f>
        <v>1</v>
      </c>
      <c r="G142" s="16">
        <f>YEAR(Data!$E142)</f>
        <v>2024</v>
      </c>
      <c r="H142" s="15" t="s">
        <v>15</v>
      </c>
      <c r="I142" s="15" t="str">
        <f t="shared" si="2"/>
        <v>Doanh nghiệp</v>
      </c>
      <c r="J142" s="15" t="s">
        <v>1285</v>
      </c>
      <c r="K142" s="15" t="s">
        <v>1271</v>
      </c>
      <c r="L142" s="32">
        <f>Data!$D142/10^6</f>
        <v>27.97</v>
      </c>
    </row>
    <row r="143" spans="1:12" x14ac:dyDescent="0.25">
      <c r="A143" s="29" t="s">
        <v>13</v>
      </c>
      <c r="B143" s="15" t="s">
        <v>1132</v>
      </c>
      <c r="C143" s="15" t="s">
        <v>10</v>
      </c>
      <c r="D143" s="16">
        <v>122539382</v>
      </c>
      <c r="E143" s="17">
        <v>45292</v>
      </c>
      <c r="F143" s="18">
        <f>MONTH(Data!$E143)</f>
        <v>1</v>
      </c>
      <c r="G143" s="16">
        <f>YEAR(Data!$E143)</f>
        <v>2024</v>
      </c>
      <c r="H143" s="15" t="s">
        <v>15</v>
      </c>
      <c r="I143" s="15" t="str">
        <f t="shared" si="2"/>
        <v>Doanh nghiệp</v>
      </c>
      <c r="J143" s="15" t="s">
        <v>1284</v>
      </c>
      <c r="K143" s="15" t="s">
        <v>1263</v>
      </c>
      <c r="L143" s="32">
        <f>Data!$D143/10^6</f>
        <v>122.539382</v>
      </c>
    </row>
    <row r="144" spans="1:12" x14ac:dyDescent="0.25">
      <c r="A144" s="29" t="s">
        <v>87</v>
      </c>
      <c r="B144" s="15" t="s">
        <v>1133</v>
      </c>
      <c r="C144" s="15" t="s">
        <v>149</v>
      </c>
      <c r="D144" s="16">
        <v>24181818</v>
      </c>
      <c r="E144" s="17">
        <v>45292</v>
      </c>
      <c r="F144" s="18">
        <f>MONTH(Data!$E144)</f>
        <v>1</v>
      </c>
      <c r="G144" s="16">
        <f>YEAR(Data!$E144)</f>
        <v>2024</v>
      </c>
      <c r="H144" s="15" t="s">
        <v>29</v>
      </c>
      <c r="I144" s="15" t="str">
        <f t="shared" si="2"/>
        <v>Doanh nghiệp</v>
      </c>
      <c r="J144" s="15" t="s">
        <v>1285</v>
      </c>
      <c r="K144" s="15" t="s">
        <v>1262</v>
      </c>
      <c r="L144" s="32">
        <f>Data!$D144/10^6</f>
        <v>24.181818</v>
      </c>
    </row>
    <row r="145" spans="1:12" x14ac:dyDescent="0.25">
      <c r="A145" s="29" t="s">
        <v>74</v>
      </c>
      <c r="B145" s="15" t="s">
        <v>1135</v>
      </c>
      <c r="C145" s="15" t="s">
        <v>10</v>
      </c>
      <c r="D145" s="16">
        <v>51500000</v>
      </c>
      <c r="E145" s="17">
        <v>45292</v>
      </c>
      <c r="F145" s="18">
        <f>MONTH(Data!$E145)</f>
        <v>1</v>
      </c>
      <c r="G145" s="16">
        <f>YEAR(Data!$E145)</f>
        <v>2024</v>
      </c>
      <c r="H145" s="15" t="s">
        <v>11</v>
      </c>
      <c r="I145" s="15" t="str">
        <f t="shared" si="2"/>
        <v>Doanh nghiệp</v>
      </c>
      <c r="J145" s="15" t="s">
        <v>1284</v>
      </c>
      <c r="K145" s="15" t="s">
        <v>1263</v>
      </c>
      <c r="L145" s="32">
        <f>Data!$D145/10^6</f>
        <v>51.5</v>
      </c>
    </row>
    <row r="146" spans="1:12" x14ac:dyDescent="0.25">
      <c r="A146" s="29" t="s">
        <v>74</v>
      </c>
      <c r="B146" s="15" t="s">
        <v>1136</v>
      </c>
      <c r="C146" s="15" t="s">
        <v>14</v>
      </c>
      <c r="D146" s="16">
        <v>37127273</v>
      </c>
      <c r="E146" s="17">
        <v>45292</v>
      </c>
      <c r="F146" s="18">
        <f>MONTH(Data!$E146)</f>
        <v>1</v>
      </c>
      <c r="G146" s="16">
        <f>YEAR(Data!$E146)</f>
        <v>2024</v>
      </c>
      <c r="H146" s="15" t="s">
        <v>11</v>
      </c>
      <c r="I146" s="15" t="str">
        <f t="shared" si="2"/>
        <v>Doanh nghiệp</v>
      </c>
      <c r="J146" s="15" t="s">
        <v>1285</v>
      </c>
      <c r="K146" s="15" t="s">
        <v>1275</v>
      </c>
      <c r="L146" s="32">
        <f>Data!$D146/10^6</f>
        <v>37.127273000000002</v>
      </c>
    </row>
    <row r="147" spans="1:12" x14ac:dyDescent="0.25">
      <c r="A147" s="29" t="s">
        <v>111</v>
      </c>
      <c r="B147" s="15" t="s">
        <v>1139</v>
      </c>
      <c r="C147" s="15" t="s">
        <v>14</v>
      </c>
      <c r="D147" s="16">
        <v>150800000</v>
      </c>
      <c r="E147" s="17">
        <v>45292</v>
      </c>
      <c r="F147" s="18">
        <f>MONTH(Data!$E147)</f>
        <v>1</v>
      </c>
      <c r="G147" s="16">
        <f>YEAR(Data!$E147)</f>
        <v>2024</v>
      </c>
      <c r="H147" s="15" t="s">
        <v>22</v>
      </c>
      <c r="I147" s="15" t="str">
        <f t="shared" si="2"/>
        <v>Doanh nghiệp</v>
      </c>
      <c r="J147" s="15" t="s">
        <v>1284</v>
      </c>
      <c r="K147" s="15" t="s">
        <v>1277</v>
      </c>
      <c r="L147" s="32">
        <f>Data!$D147/10^6</f>
        <v>150.80000000000001</v>
      </c>
    </row>
    <row r="148" spans="1:12" x14ac:dyDescent="0.25">
      <c r="A148" s="29" t="s">
        <v>151</v>
      </c>
      <c r="B148" s="15" t="s">
        <v>1149</v>
      </c>
      <c r="C148" s="15" t="s">
        <v>149</v>
      </c>
      <c r="D148" s="16">
        <v>195044836</v>
      </c>
      <c r="E148" s="17">
        <v>45292</v>
      </c>
      <c r="F148" s="18">
        <f>MONTH(Data!$E148)</f>
        <v>1</v>
      </c>
      <c r="G148" s="16">
        <f>YEAR(Data!$E148)</f>
        <v>2024</v>
      </c>
      <c r="H148" s="15" t="s">
        <v>15</v>
      </c>
      <c r="I148" s="15" t="str">
        <f t="shared" si="2"/>
        <v>Doanh nghiệp</v>
      </c>
      <c r="J148" s="15" t="s">
        <v>1285</v>
      </c>
      <c r="K148" s="15" t="s">
        <v>1264</v>
      </c>
      <c r="L148" s="32">
        <f>Data!$D148/10^6</f>
        <v>195.044836</v>
      </c>
    </row>
    <row r="149" spans="1:12" x14ac:dyDescent="0.25">
      <c r="A149" s="29" t="s">
        <v>36</v>
      </c>
      <c r="B149" s="15" t="s">
        <v>1144</v>
      </c>
      <c r="C149" s="15" t="s">
        <v>14</v>
      </c>
      <c r="D149" s="16">
        <v>21172727</v>
      </c>
      <c r="E149" s="17">
        <v>45292</v>
      </c>
      <c r="F149" s="18">
        <f>MONTH(Data!$E149)</f>
        <v>1</v>
      </c>
      <c r="G149" s="16">
        <f>YEAR(Data!$E149)</f>
        <v>2024</v>
      </c>
      <c r="H149" s="15" t="s">
        <v>15</v>
      </c>
      <c r="I149" s="15" t="str">
        <f t="shared" si="2"/>
        <v>Doanh nghiệp</v>
      </c>
      <c r="J149" s="15" t="s">
        <v>1284</v>
      </c>
      <c r="K149" s="15" t="s">
        <v>1273</v>
      </c>
      <c r="L149" s="32">
        <f>Data!$D149/10^6</f>
        <v>21.172726999999998</v>
      </c>
    </row>
    <row r="150" spans="1:12" x14ac:dyDescent="0.25">
      <c r="A150" s="29" t="s">
        <v>36</v>
      </c>
      <c r="B150" s="15" t="s">
        <v>1145</v>
      </c>
      <c r="C150" s="15" t="s">
        <v>10</v>
      </c>
      <c r="D150" s="16">
        <v>19090909</v>
      </c>
      <c r="E150" s="17">
        <v>45292</v>
      </c>
      <c r="F150" s="18">
        <f>MONTH(Data!$E150)</f>
        <v>1</v>
      </c>
      <c r="G150" s="16">
        <f>YEAR(Data!$E150)</f>
        <v>2024</v>
      </c>
      <c r="H150" s="15" t="s">
        <v>15</v>
      </c>
      <c r="I150" s="15" t="str">
        <f t="shared" si="2"/>
        <v>Doanh nghiệp</v>
      </c>
      <c r="J150" s="15" t="s">
        <v>1285</v>
      </c>
      <c r="K150" s="15" t="s">
        <v>1263</v>
      </c>
      <c r="L150" s="32">
        <f>Data!$D150/10^6</f>
        <v>19.090909</v>
      </c>
    </row>
    <row r="151" spans="1:12" x14ac:dyDescent="0.25">
      <c r="A151" s="29" t="s">
        <v>55</v>
      </c>
      <c r="B151" s="15" t="s">
        <v>1147</v>
      </c>
      <c r="C151" s="15" t="s">
        <v>10</v>
      </c>
      <c r="D151" s="16">
        <v>157670000</v>
      </c>
      <c r="E151" s="17">
        <v>45292</v>
      </c>
      <c r="F151" s="18">
        <f>MONTH(Data!$E151)</f>
        <v>1</v>
      </c>
      <c r="G151" s="16">
        <f>YEAR(Data!$E151)</f>
        <v>2024</v>
      </c>
      <c r="H151" s="15" t="s">
        <v>15</v>
      </c>
      <c r="I151" s="15" t="str">
        <f t="shared" si="2"/>
        <v>Doanh nghiệp</v>
      </c>
      <c r="J151" s="15" t="s">
        <v>1284</v>
      </c>
      <c r="K151" s="15" t="s">
        <v>1263</v>
      </c>
      <c r="L151" s="32">
        <f>Data!$D151/10^6</f>
        <v>157.66999999999999</v>
      </c>
    </row>
    <row r="152" spans="1:12" x14ac:dyDescent="0.25">
      <c r="A152" s="29" t="s">
        <v>8</v>
      </c>
      <c r="B152" s="15" t="s">
        <v>1138</v>
      </c>
      <c r="C152" s="15" t="s">
        <v>149</v>
      </c>
      <c r="D152" s="16">
        <v>33812000</v>
      </c>
      <c r="E152" s="17">
        <v>45292</v>
      </c>
      <c r="F152" s="18">
        <f>MONTH(Data!$E152)</f>
        <v>1</v>
      </c>
      <c r="G152" s="16">
        <f>YEAR(Data!$E152)</f>
        <v>2024</v>
      </c>
      <c r="H152" s="15" t="s">
        <v>11</v>
      </c>
      <c r="I152" s="15" t="str">
        <f t="shared" si="2"/>
        <v>Doanh nghiệp</v>
      </c>
      <c r="J152" s="15" t="s">
        <v>1285</v>
      </c>
      <c r="K152" s="15" t="s">
        <v>1263</v>
      </c>
      <c r="L152" s="32">
        <f>Data!$D152/10^6</f>
        <v>33.811999999999998</v>
      </c>
    </row>
    <row r="153" spans="1:12" x14ac:dyDescent="0.25">
      <c r="A153" s="29" t="s">
        <v>8</v>
      </c>
      <c r="B153" s="15" t="s">
        <v>1139</v>
      </c>
      <c r="C153" s="15" t="s">
        <v>149</v>
      </c>
      <c r="D153" s="16">
        <v>20886500</v>
      </c>
      <c r="E153" s="17">
        <v>45292</v>
      </c>
      <c r="F153" s="18">
        <f>MONTH(Data!$E153)</f>
        <v>1</v>
      </c>
      <c r="G153" s="16">
        <f>YEAR(Data!$E153)</f>
        <v>2024</v>
      </c>
      <c r="H153" s="15" t="s">
        <v>11</v>
      </c>
      <c r="I153" s="15" t="str">
        <f t="shared" si="2"/>
        <v>Doanh nghiệp</v>
      </c>
      <c r="J153" s="15" t="s">
        <v>1284</v>
      </c>
      <c r="K153" s="15" t="s">
        <v>1263</v>
      </c>
      <c r="L153" s="32">
        <f>Data!$D153/10^6</f>
        <v>20.886500000000002</v>
      </c>
    </row>
    <row r="154" spans="1:12" x14ac:dyDescent="0.25">
      <c r="A154" s="29" t="s">
        <v>8</v>
      </c>
      <c r="B154" s="15" t="s">
        <v>1140</v>
      </c>
      <c r="C154" s="15" t="s">
        <v>149</v>
      </c>
      <c r="D154" s="16">
        <v>17257500</v>
      </c>
      <c r="E154" s="17">
        <v>45292</v>
      </c>
      <c r="F154" s="18">
        <f>MONTH(Data!$E154)</f>
        <v>1</v>
      </c>
      <c r="G154" s="16">
        <f>YEAR(Data!$E154)</f>
        <v>2024</v>
      </c>
      <c r="H154" s="15" t="s">
        <v>11</v>
      </c>
      <c r="I154" s="15" t="str">
        <f t="shared" si="2"/>
        <v>Doanh nghiệp</v>
      </c>
      <c r="J154" s="15" t="s">
        <v>1285</v>
      </c>
      <c r="K154" s="15" t="s">
        <v>1263</v>
      </c>
      <c r="L154" s="32">
        <f>Data!$D154/10^6</f>
        <v>17.2575</v>
      </c>
    </row>
    <row r="155" spans="1:12" x14ac:dyDescent="0.25">
      <c r="A155" s="29" t="s">
        <v>47</v>
      </c>
      <c r="B155" s="15" t="s">
        <v>1142</v>
      </c>
      <c r="C155" s="15" t="s">
        <v>10</v>
      </c>
      <c r="D155" s="16">
        <v>37581818</v>
      </c>
      <c r="E155" s="17">
        <v>45292</v>
      </c>
      <c r="F155" s="18">
        <f>MONTH(Data!$E155)</f>
        <v>1</v>
      </c>
      <c r="G155" s="16">
        <f>YEAR(Data!$E155)</f>
        <v>2024</v>
      </c>
      <c r="H155" s="15" t="s">
        <v>29</v>
      </c>
      <c r="I155" s="15" t="str">
        <f t="shared" si="2"/>
        <v>Doanh nghiệp</v>
      </c>
      <c r="J155" s="15" t="s">
        <v>1284</v>
      </c>
      <c r="K155" s="15" t="s">
        <v>1263</v>
      </c>
      <c r="L155" s="32">
        <f>Data!$D155/10^6</f>
        <v>37.581817999999998</v>
      </c>
    </row>
    <row r="156" spans="1:12" x14ac:dyDescent="0.25">
      <c r="A156" s="29" t="s">
        <v>92</v>
      </c>
      <c r="B156" s="15" t="s">
        <v>1143</v>
      </c>
      <c r="C156" s="15" t="s">
        <v>41</v>
      </c>
      <c r="D156" s="16">
        <v>76290000</v>
      </c>
      <c r="E156" s="17">
        <v>45292</v>
      </c>
      <c r="F156" s="18">
        <f>MONTH(Data!$E156)</f>
        <v>1</v>
      </c>
      <c r="G156" s="16">
        <f>YEAR(Data!$E156)</f>
        <v>2024</v>
      </c>
      <c r="H156" s="15" t="s">
        <v>29</v>
      </c>
      <c r="I156" s="15" t="str">
        <f t="shared" si="2"/>
        <v>Doanh nghiệp</v>
      </c>
      <c r="J156" s="15" t="s">
        <v>1285</v>
      </c>
      <c r="K156" s="15" t="s">
        <v>1269</v>
      </c>
      <c r="L156" s="32">
        <f>Data!$D156/10^6</f>
        <v>76.290000000000006</v>
      </c>
    </row>
    <row r="157" spans="1:12" x14ac:dyDescent="0.25">
      <c r="A157" s="29" t="s">
        <v>146</v>
      </c>
      <c r="B157" s="15" t="s">
        <v>1144</v>
      </c>
      <c r="C157" s="15" t="s">
        <v>10</v>
      </c>
      <c r="D157" s="16">
        <v>110766364</v>
      </c>
      <c r="E157" s="17">
        <v>45292</v>
      </c>
      <c r="F157" s="18">
        <f>MONTH(Data!$E157)</f>
        <v>1</v>
      </c>
      <c r="G157" s="16">
        <f>YEAR(Data!$E157)</f>
        <v>2024</v>
      </c>
      <c r="H157" s="15" t="s">
        <v>32</v>
      </c>
      <c r="I157" s="15" t="str">
        <f t="shared" si="2"/>
        <v>Doanh nghiệp</v>
      </c>
      <c r="J157" s="15" t="s">
        <v>1284</v>
      </c>
      <c r="K157" s="15" t="s">
        <v>1267</v>
      </c>
      <c r="L157" s="32">
        <f>Data!$D157/10^6</f>
        <v>110.766364</v>
      </c>
    </row>
    <row r="158" spans="1:12" x14ac:dyDescent="0.25">
      <c r="A158" s="29" t="s">
        <v>107</v>
      </c>
      <c r="B158" s="15" t="s">
        <v>1145</v>
      </c>
      <c r="C158" s="15" t="s">
        <v>14</v>
      </c>
      <c r="D158" s="16">
        <v>769133636</v>
      </c>
      <c r="E158" s="17">
        <v>45292</v>
      </c>
      <c r="F158" s="18">
        <f>MONTH(Data!$E158)</f>
        <v>1</v>
      </c>
      <c r="G158" s="16">
        <f>YEAR(Data!$E158)</f>
        <v>2024</v>
      </c>
      <c r="H158" s="15" t="s">
        <v>42</v>
      </c>
      <c r="I158" s="15" t="str">
        <f t="shared" si="2"/>
        <v>Doanh nghiệp</v>
      </c>
      <c r="J158" s="15" t="s">
        <v>1285</v>
      </c>
      <c r="K158" s="15" t="s">
        <v>1266</v>
      </c>
      <c r="L158" s="32">
        <f>Data!$D158/10^6</f>
        <v>769.13363600000002</v>
      </c>
    </row>
    <row r="159" spans="1:12" x14ac:dyDescent="0.25">
      <c r="A159" s="29" t="s">
        <v>146</v>
      </c>
      <c r="B159" s="15" t="s">
        <v>1146</v>
      </c>
      <c r="C159" s="15" t="s">
        <v>14</v>
      </c>
      <c r="D159" s="16">
        <v>12681818</v>
      </c>
      <c r="E159" s="17">
        <v>45292</v>
      </c>
      <c r="F159" s="18">
        <f>MONTH(Data!$E159)</f>
        <v>1</v>
      </c>
      <c r="G159" s="16">
        <f>YEAR(Data!$E159)</f>
        <v>2024</v>
      </c>
      <c r="H159" s="15" t="s">
        <v>32</v>
      </c>
      <c r="I159" s="15" t="str">
        <f t="shared" si="2"/>
        <v>Doanh nghiệp</v>
      </c>
      <c r="J159" s="15" t="s">
        <v>1284</v>
      </c>
      <c r="K159" s="15" t="s">
        <v>1266</v>
      </c>
      <c r="L159" s="32">
        <f>Data!$D159/10^6</f>
        <v>12.681818</v>
      </c>
    </row>
    <row r="160" spans="1:12" x14ac:dyDescent="0.25">
      <c r="A160" s="29" t="s">
        <v>98</v>
      </c>
      <c r="B160" s="15" t="s">
        <v>1129</v>
      </c>
      <c r="C160" s="15" t="s">
        <v>10</v>
      </c>
      <c r="D160" s="16">
        <v>443706000</v>
      </c>
      <c r="E160" s="17">
        <v>45292</v>
      </c>
      <c r="F160" s="18">
        <f>MONTH(Data!$E160)</f>
        <v>1</v>
      </c>
      <c r="G160" s="16">
        <f>YEAR(Data!$E160)</f>
        <v>2024</v>
      </c>
      <c r="H160" s="15" t="s">
        <v>11</v>
      </c>
      <c r="I160" s="15" t="str">
        <f t="shared" si="2"/>
        <v>Doanh nghiệp</v>
      </c>
      <c r="J160" s="15" t="s">
        <v>1285</v>
      </c>
      <c r="K160" s="15" t="s">
        <v>1267</v>
      </c>
      <c r="L160" s="32">
        <f>Data!$D160/10^6</f>
        <v>443.70600000000002</v>
      </c>
    </row>
    <row r="161" spans="1:12" x14ac:dyDescent="0.25">
      <c r="A161" s="29" t="s">
        <v>98</v>
      </c>
      <c r="B161" s="15" t="s">
        <v>1130</v>
      </c>
      <c r="C161" s="15" t="s">
        <v>14</v>
      </c>
      <c r="D161" s="16">
        <v>1503106327</v>
      </c>
      <c r="E161" s="17">
        <v>45292</v>
      </c>
      <c r="F161" s="18">
        <f>MONTH(Data!$E161)</f>
        <v>1</v>
      </c>
      <c r="G161" s="16">
        <f>YEAR(Data!$E161)</f>
        <v>2024</v>
      </c>
      <c r="H161" s="15" t="s">
        <v>11</v>
      </c>
      <c r="I161" s="15" t="str">
        <f t="shared" si="2"/>
        <v>Doanh nghiệp</v>
      </c>
      <c r="J161" s="15" t="s">
        <v>1284</v>
      </c>
      <c r="K161" s="15" t="s">
        <v>1266</v>
      </c>
      <c r="L161" s="32">
        <f>Data!$D161/10^6</f>
        <v>1503.106327</v>
      </c>
    </row>
    <row r="162" spans="1:12" x14ac:dyDescent="0.25">
      <c r="A162" s="29" t="s">
        <v>98</v>
      </c>
      <c r="B162" s="15" t="s">
        <v>1131</v>
      </c>
      <c r="C162" s="15" t="s">
        <v>10</v>
      </c>
      <c r="D162" s="16">
        <v>844000080</v>
      </c>
      <c r="E162" s="17">
        <v>45292</v>
      </c>
      <c r="F162" s="18">
        <f>MONTH(Data!$E162)</f>
        <v>1</v>
      </c>
      <c r="G162" s="16">
        <f>YEAR(Data!$E162)</f>
        <v>2024</v>
      </c>
      <c r="H162" s="15" t="s">
        <v>11</v>
      </c>
      <c r="I162" s="15" t="str">
        <f t="shared" si="2"/>
        <v>Doanh nghiệp</v>
      </c>
      <c r="J162" s="15" t="s">
        <v>1285</v>
      </c>
      <c r="K162" s="15" t="s">
        <v>1267</v>
      </c>
      <c r="L162" s="32">
        <f>Data!$D162/10^6</f>
        <v>844.00008000000003</v>
      </c>
    </row>
    <row r="163" spans="1:12" x14ac:dyDescent="0.25">
      <c r="A163" s="29" t="s">
        <v>78</v>
      </c>
      <c r="B163" s="15" t="s">
        <v>1148</v>
      </c>
      <c r="C163" s="15" t="s">
        <v>149</v>
      </c>
      <c r="D163" s="16">
        <v>20000000</v>
      </c>
      <c r="E163" s="17">
        <v>45292</v>
      </c>
      <c r="F163" s="18">
        <f>MONTH(Data!$E163)</f>
        <v>1</v>
      </c>
      <c r="G163" s="16">
        <f>YEAR(Data!$E163)</f>
        <v>2024</v>
      </c>
      <c r="H163" s="15" t="s">
        <v>15</v>
      </c>
      <c r="I163" s="15" t="str">
        <f t="shared" si="2"/>
        <v>Doanh nghiệp</v>
      </c>
      <c r="J163" s="15" t="s">
        <v>1284</v>
      </c>
      <c r="K163" s="15" t="s">
        <v>1279</v>
      </c>
      <c r="L163" s="32">
        <f>Data!$D163/10^6</f>
        <v>20</v>
      </c>
    </row>
    <row r="164" spans="1:12" x14ac:dyDescent="0.25">
      <c r="A164" s="29" t="s">
        <v>75</v>
      </c>
      <c r="B164" s="15" t="s">
        <v>1136</v>
      </c>
      <c r="C164" s="15" t="s">
        <v>10</v>
      </c>
      <c r="D164" s="16">
        <v>155909091</v>
      </c>
      <c r="E164" s="17">
        <v>45292</v>
      </c>
      <c r="F164" s="18">
        <f>MONTH(Data!$E164)</f>
        <v>1</v>
      </c>
      <c r="G164" s="16">
        <f>YEAR(Data!$E164)</f>
        <v>2024</v>
      </c>
      <c r="H164" s="15" t="s">
        <v>15</v>
      </c>
      <c r="I164" s="15" t="str">
        <f t="shared" si="2"/>
        <v>Doanh nghiệp</v>
      </c>
      <c r="J164" s="15" t="s">
        <v>1285</v>
      </c>
      <c r="K164" s="15" t="s">
        <v>1263</v>
      </c>
      <c r="L164" s="32">
        <f>Data!$D164/10^6</f>
        <v>155.90909099999999</v>
      </c>
    </row>
    <row r="165" spans="1:12" x14ac:dyDescent="0.25">
      <c r="A165" s="29" t="s">
        <v>48</v>
      </c>
      <c r="B165" s="15" t="s">
        <v>1158</v>
      </c>
      <c r="C165" s="15" t="s">
        <v>14</v>
      </c>
      <c r="D165" s="16">
        <v>136327337</v>
      </c>
      <c r="E165" s="17">
        <v>45292</v>
      </c>
      <c r="F165" s="18">
        <f>MONTH(Data!$E165)</f>
        <v>1</v>
      </c>
      <c r="G165" s="16">
        <f>YEAR(Data!$E165)</f>
        <v>2024</v>
      </c>
      <c r="H165" s="15" t="s">
        <v>25</v>
      </c>
      <c r="I165" s="15" t="str">
        <f t="shared" si="2"/>
        <v>Doanh nghiệp</v>
      </c>
      <c r="J165" s="15" t="s">
        <v>1284</v>
      </c>
      <c r="K165" s="15" t="s">
        <v>1272</v>
      </c>
      <c r="L165" s="32">
        <f>Data!$D165/10^6</f>
        <v>136.327337</v>
      </c>
    </row>
    <row r="166" spans="1:12" x14ac:dyDescent="0.25">
      <c r="A166" s="29" t="s">
        <v>64</v>
      </c>
      <c r="B166" s="15" t="s">
        <v>1172</v>
      </c>
      <c r="C166" s="15" t="s">
        <v>10</v>
      </c>
      <c r="D166" s="16">
        <v>42720000</v>
      </c>
      <c r="E166" s="17">
        <v>45292</v>
      </c>
      <c r="F166" s="18">
        <f>MONTH(Data!$E166)</f>
        <v>1</v>
      </c>
      <c r="G166" s="16">
        <f>YEAR(Data!$E166)</f>
        <v>2024</v>
      </c>
      <c r="H166" s="15" t="s">
        <v>29</v>
      </c>
      <c r="I166" s="15" t="str">
        <f t="shared" si="2"/>
        <v>Doanh nghiệp</v>
      </c>
      <c r="J166" s="15" t="s">
        <v>1285</v>
      </c>
      <c r="K166" s="15" t="s">
        <v>1262</v>
      </c>
      <c r="L166" s="32">
        <f>Data!$D166/10^6</f>
        <v>42.72</v>
      </c>
    </row>
    <row r="167" spans="1:12" x14ac:dyDescent="0.25">
      <c r="A167" s="29" t="s">
        <v>27</v>
      </c>
      <c r="B167" s="15" t="s">
        <v>1187</v>
      </c>
      <c r="C167" s="15" t="s">
        <v>149</v>
      </c>
      <c r="D167" s="16">
        <v>150251605</v>
      </c>
      <c r="E167" s="17">
        <v>45292</v>
      </c>
      <c r="F167" s="18">
        <f>MONTH(Data!$E167)</f>
        <v>1</v>
      </c>
      <c r="G167" s="16">
        <f>YEAR(Data!$E167)</f>
        <v>2024</v>
      </c>
      <c r="H167" s="15" t="s">
        <v>11</v>
      </c>
      <c r="I167" s="15" t="str">
        <f t="shared" si="2"/>
        <v>Doanh nghiệp</v>
      </c>
      <c r="J167" s="15" t="s">
        <v>1284</v>
      </c>
      <c r="K167" s="15" t="s">
        <v>1262</v>
      </c>
      <c r="L167" s="32">
        <f>Data!$D167/10^6</f>
        <v>150.25160500000001</v>
      </c>
    </row>
    <row r="168" spans="1:12" x14ac:dyDescent="0.25">
      <c r="A168" s="29" t="s">
        <v>95</v>
      </c>
      <c r="B168" s="15" t="s">
        <v>1192</v>
      </c>
      <c r="C168" s="15" t="s">
        <v>10</v>
      </c>
      <c r="D168" s="16">
        <v>46475000</v>
      </c>
      <c r="E168" s="17">
        <v>45292</v>
      </c>
      <c r="F168" s="18">
        <f>MONTH(Data!$E168)</f>
        <v>1</v>
      </c>
      <c r="G168" s="16">
        <f>YEAR(Data!$E168)</f>
        <v>2024</v>
      </c>
      <c r="H168" s="15" t="s">
        <v>35</v>
      </c>
      <c r="I168" s="15" t="str">
        <f t="shared" si="2"/>
        <v>Doanh nghiệp</v>
      </c>
      <c r="J168" s="15" t="s">
        <v>1285</v>
      </c>
      <c r="K168" s="15" t="s">
        <v>1263</v>
      </c>
      <c r="L168" s="32">
        <f>Data!$D168/10^6</f>
        <v>46.475000000000001</v>
      </c>
    </row>
    <row r="169" spans="1:12" x14ac:dyDescent="0.25">
      <c r="A169" s="29" t="s">
        <v>111</v>
      </c>
      <c r="B169" s="15" t="s">
        <v>1237</v>
      </c>
      <c r="C169" s="15" t="s">
        <v>10</v>
      </c>
      <c r="D169" s="16">
        <v>59154545</v>
      </c>
      <c r="E169" s="17">
        <v>45292</v>
      </c>
      <c r="F169" s="18">
        <f>MONTH(Data!$E169)</f>
        <v>1</v>
      </c>
      <c r="G169" s="16">
        <f>YEAR(Data!$E169)</f>
        <v>2024</v>
      </c>
      <c r="H169" s="15" t="s">
        <v>22</v>
      </c>
      <c r="I169" s="15" t="str">
        <f t="shared" si="2"/>
        <v>Doanh nghiệp</v>
      </c>
      <c r="J169" s="15" t="s">
        <v>1284</v>
      </c>
      <c r="K169" s="15" t="s">
        <v>1276</v>
      </c>
      <c r="L169" s="32">
        <f>Data!$D169/10^6</f>
        <v>59.154544999999999</v>
      </c>
    </row>
    <row r="170" spans="1:12" x14ac:dyDescent="0.25">
      <c r="A170" s="29" t="s">
        <v>73</v>
      </c>
      <c r="B170" s="15" t="s">
        <v>1249</v>
      </c>
      <c r="C170" s="15" t="s">
        <v>46</v>
      </c>
      <c r="D170" s="16">
        <v>181818182</v>
      </c>
      <c r="E170" s="17">
        <v>45292</v>
      </c>
      <c r="F170" s="18">
        <f>MONTH(Data!$E170)</f>
        <v>1</v>
      </c>
      <c r="G170" s="16">
        <f>YEAR(Data!$E170)</f>
        <v>2024</v>
      </c>
      <c r="H170" s="15" t="s">
        <v>32</v>
      </c>
      <c r="I170" s="15" t="str">
        <f t="shared" si="2"/>
        <v>Doanh nghiệp</v>
      </c>
      <c r="J170" s="15" t="s">
        <v>1285</v>
      </c>
      <c r="K170" s="15" t="s">
        <v>1271</v>
      </c>
      <c r="L170" s="32">
        <f>Data!$D170/10^6</f>
        <v>181.81818200000001</v>
      </c>
    </row>
    <row r="171" spans="1:12" x14ac:dyDescent="0.25">
      <c r="A171" s="29" t="s">
        <v>45</v>
      </c>
      <c r="B171" s="15" t="s">
        <v>1248</v>
      </c>
      <c r="C171" s="15" t="s">
        <v>46</v>
      </c>
      <c r="D171" s="16">
        <v>34600000</v>
      </c>
      <c r="E171" s="17">
        <v>45292</v>
      </c>
      <c r="F171" s="18">
        <f>MONTH(Data!$E171)</f>
        <v>1</v>
      </c>
      <c r="G171" s="16">
        <f>YEAR(Data!$E171)</f>
        <v>2024</v>
      </c>
      <c r="H171" s="15" t="s">
        <v>29</v>
      </c>
      <c r="I171" s="15" t="str">
        <f t="shared" si="2"/>
        <v>Doanh nghiệp</v>
      </c>
      <c r="J171" s="15" t="s">
        <v>1284</v>
      </c>
      <c r="K171" s="15" t="s">
        <v>1271</v>
      </c>
      <c r="L171" s="32">
        <f>Data!$D171/10^6</f>
        <v>34.6</v>
      </c>
    </row>
    <row r="172" spans="1:12" x14ac:dyDescent="0.25">
      <c r="A172" s="29" t="s">
        <v>74</v>
      </c>
      <c r="B172" s="15" t="s">
        <v>1249</v>
      </c>
      <c r="C172" s="15" t="s">
        <v>10</v>
      </c>
      <c r="D172" s="16">
        <v>1527727273</v>
      </c>
      <c r="E172" s="17">
        <v>45292</v>
      </c>
      <c r="F172" s="18">
        <f>MONTH(Data!$E172)</f>
        <v>1</v>
      </c>
      <c r="G172" s="16">
        <f>YEAR(Data!$E172)</f>
        <v>2024</v>
      </c>
      <c r="H172" s="15" t="s">
        <v>11</v>
      </c>
      <c r="I172" s="15" t="str">
        <f t="shared" si="2"/>
        <v>Doanh nghiệp</v>
      </c>
      <c r="J172" s="15" t="s">
        <v>1285</v>
      </c>
      <c r="K172" s="15" t="s">
        <v>1267</v>
      </c>
      <c r="L172" s="32">
        <f>Data!$D172/10^6</f>
        <v>1527.727273</v>
      </c>
    </row>
    <row r="173" spans="1:12" x14ac:dyDescent="0.25">
      <c r="A173" s="29" t="s">
        <v>85</v>
      </c>
      <c r="B173" s="15" t="s">
        <v>86</v>
      </c>
      <c r="C173" s="15" t="s">
        <v>10</v>
      </c>
      <c r="D173" s="16">
        <v>54511273</v>
      </c>
      <c r="E173" s="17">
        <v>45292</v>
      </c>
      <c r="F173" s="18">
        <f>MONTH(Data!$E173)</f>
        <v>1</v>
      </c>
      <c r="G173" s="16">
        <f>YEAR(Data!$E173)</f>
        <v>2024</v>
      </c>
      <c r="H173" s="15" t="s">
        <v>15</v>
      </c>
      <c r="I173" s="15" t="str">
        <f t="shared" si="2"/>
        <v>Sở ban ngành</v>
      </c>
      <c r="J173" s="15" t="s">
        <v>1284</v>
      </c>
      <c r="K173" s="15" t="s">
        <v>1262</v>
      </c>
      <c r="L173" s="32">
        <f>Data!$D173/10^6</f>
        <v>54.511273000000003</v>
      </c>
    </row>
    <row r="174" spans="1:12" x14ac:dyDescent="0.25">
      <c r="A174" s="29" t="s">
        <v>85</v>
      </c>
      <c r="B174" s="15" t="s">
        <v>86</v>
      </c>
      <c r="C174" s="15" t="s">
        <v>10</v>
      </c>
      <c r="D174" s="16">
        <v>17840000</v>
      </c>
      <c r="E174" s="17">
        <v>45292</v>
      </c>
      <c r="F174" s="18">
        <f>MONTH(Data!$E174)</f>
        <v>1</v>
      </c>
      <c r="G174" s="16">
        <f>YEAR(Data!$E174)</f>
        <v>2024</v>
      </c>
      <c r="H174" s="15" t="s">
        <v>15</v>
      </c>
      <c r="I174" s="15" t="str">
        <f t="shared" si="2"/>
        <v>Sở ban ngành</v>
      </c>
      <c r="J174" s="15" t="s">
        <v>1285</v>
      </c>
      <c r="K174" s="15" t="s">
        <v>1262</v>
      </c>
      <c r="L174" s="32">
        <f>Data!$D174/10^6</f>
        <v>17.84</v>
      </c>
    </row>
    <row r="175" spans="1:12" x14ac:dyDescent="0.25">
      <c r="A175" s="29" t="s">
        <v>43</v>
      </c>
      <c r="B175" s="15" t="s">
        <v>44</v>
      </c>
      <c r="C175" s="15" t="s">
        <v>14</v>
      </c>
      <c r="D175" s="16">
        <v>72102000</v>
      </c>
      <c r="E175" s="17">
        <v>45292</v>
      </c>
      <c r="F175" s="18">
        <f>MONTH(Data!$E175)</f>
        <v>1</v>
      </c>
      <c r="G175" s="16">
        <f>YEAR(Data!$E175)</f>
        <v>2024</v>
      </c>
      <c r="H175" s="15" t="s">
        <v>35</v>
      </c>
      <c r="I175" s="15" t="str">
        <f t="shared" si="2"/>
        <v>Sở ban ngành</v>
      </c>
      <c r="J175" s="15" t="s">
        <v>1284</v>
      </c>
      <c r="K175" s="15" t="s">
        <v>1266</v>
      </c>
      <c r="L175" s="32">
        <f>Data!$D175/10^6</f>
        <v>72.102000000000004</v>
      </c>
    </row>
    <row r="176" spans="1:12" x14ac:dyDescent="0.25">
      <c r="A176" s="29" t="s">
        <v>43</v>
      </c>
      <c r="B176" s="15" t="s">
        <v>44</v>
      </c>
      <c r="C176" s="15" t="s">
        <v>10</v>
      </c>
      <c r="D176" s="16">
        <v>87669077</v>
      </c>
      <c r="E176" s="17">
        <v>45292</v>
      </c>
      <c r="F176" s="18">
        <f>MONTH(Data!$E176)</f>
        <v>1</v>
      </c>
      <c r="G176" s="16">
        <f>YEAR(Data!$E176)</f>
        <v>2024</v>
      </c>
      <c r="H176" s="15" t="s">
        <v>35</v>
      </c>
      <c r="I176" s="15" t="str">
        <f t="shared" si="2"/>
        <v>Sở ban ngành</v>
      </c>
      <c r="J176" s="15" t="s">
        <v>1285</v>
      </c>
      <c r="K176" s="15" t="s">
        <v>1263</v>
      </c>
      <c r="L176" s="32">
        <f>Data!$D176/10^6</f>
        <v>87.669077000000001</v>
      </c>
    </row>
    <row r="177" spans="1:12" x14ac:dyDescent="0.25">
      <c r="A177" s="29" t="s">
        <v>87</v>
      </c>
      <c r="B177" s="15" t="s">
        <v>1063</v>
      </c>
      <c r="C177" s="15" t="s">
        <v>10</v>
      </c>
      <c r="D177" s="16">
        <v>2709091</v>
      </c>
      <c r="E177" s="17">
        <v>45292</v>
      </c>
      <c r="F177" s="18">
        <f>MONTH(Data!$E177)</f>
        <v>1</v>
      </c>
      <c r="G177" s="16">
        <f>YEAR(Data!$E177)</f>
        <v>2024</v>
      </c>
      <c r="H177" s="15" t="s">
        <v>29</v>
      </c>
      <c r="I177" s="15" t="str">
        <f t="shared" si="2"/>
        <v>Doanh nghiệp</v>
      </c>
      <c r="J177" s="15" t="s">
        <v>1284</v>
      </c>
      <c r="K177" s="15" t="s">
        <v>1263</v>
      </c>
      <c r="L177" s="32">
        <f>Data!$D177/10^6</f>
        <v>2.7090909999999999</v>
      </c>
    </row>
    <row r="178" spans="1:12" x14ac:dyDescent="0.25">
      <c r="A178" s="29" t="s">
        <v>48</v>
      </c>
      <c r="B178" s="15" t="s">
        <v>1122</v>
      </c>
      <c r="C178" s="15" t="s">
        <v>10</v>
      </c>
      <c r="D178" s="16">
        <v>8680909</v>
      </c>
      <c r="E178" s="17">
        <v>45292</v>
      </c>
      <c r="F178" s="18">
        <f>MONTH(Data!$E178)</f>
        <v>1</v>
      </c>
      <c r="G178" s="16">
        <f>YEAR(Data!$E178)</f>
        <v>2024</v>
      </c>
      <c r="H178" s="15" t="s">
        <v>25</v>
      </c>
      <c r="I178" s="15" t="str">
        <f t="shared" si="2"/>
        <v>Doanh nghiệp</v>
      </c>
      <c r="J178" s="15" t="s">
        <v>1285</v>
      </c>
      <c r="K178" s="15" t="s">
        <v>1262</v>
      </c>
      <c r="L178" s="32">
        <f>Data!$D178/10^6</f>
        <v>8.6809089999999998</v>
      </c>
    </row>
    <row r="179" spans="1:12" x14ac:dyDescent="0.25">
      <c r="A179" s="29" t="s">
        <v>51</v>
      </c>
      <c r="B179" s="15" t="s">
        <v>158</v>
      </c>
      <c r="C179" s="15" t="s">
        <v>149</v>
      </c>
      <c r="D179" s="16">
        <v>17672727</v>
      </c>
      <c r="E179" s="17">
        <v>45292</v>
      </c>
      <c r="F179" s="18">
        <f>MONTH(Data!$E179)</f>
        <v>1</v>
      </c>
      <c r="G179" s="16">
        <f>YEAR(Data!$E179)</f>
        <v>2024</v>
      </c>
      <c r="H179" s="15" t="s">
        <v>42</v>
      </c>
      <c r="I179" s="15" t="str">
        <f t="shared" si="2"/>
        <v>Sở ban ngành</v>
      </c>
      <c r="J179" s="15" t="s">
        <v>1284</v>
      </c>
      <c r="K179" s="15" t="s">
        <v>1264</v>
      </c>
      <c r="L179" s="32">
        <f>Data!$D179/10^6</f>
        <v>17.672726999999998</v>
      </c>
    </row>
    <row r="180" spans="1:12" x14ac:dyDescent="0.25">
      <c r="A180" s="29" t="s">
        <v>74</v>
      </c>
      <c r="B180" s="15" t="s">
        <v>155</v>
      </c>
      <c r="C180" s="15" t="s">
        <v>149</v>
      </c>
      <c r="D180" s="16">
        <v>45916818</v>
      </c>
      <c r="E180" s="17">
        <v>45292</v>
      </c>
      <c r="F180" s="18">
        <f>MONTH(Data!$E180)</f>
        <v>1</v>
      </c>
      <c r="G180" s="16">
        <f>YEAR(Data!$E180)</f>
        <v>2024</v>
      </c>
      <c r="H180" s="15" t="s">
        <v>11</v>
      </c>
      <c r="I180" s="15" t="str">
        <f t="shared" si="2"/>
        <v>Sở ban ngành</v>
      </c>
      <c r="J180" s="15" t="s">
        <v>1285</v>
      </c>
      <c r="K180" s="15" t="s">
        <v>1267</v>
      </c>
      <c r="L180" s="32">
        <f>Data!$D180/10^6</f>
        <v>45.916817999999999</v>
      </c>
    </row>
    <row r="181" spans="1:12" x14ac:dyDescent="0.25">
      <c r="A181" s="29" t="s">
        <v>56</v>
      </c>
      <c r="B181" s="15" t="s">
        <v>57</v>
      </c>
      <c r="C181" s="15" t="s">
        <v>14</v>
      </c>
      <c r="D181" s="16">
        <v>1500000000</v>
      </c>
      <c r="E181" s="17">
        <v>45292</v>
      </c>
      <c r="F181" s="18">
        <f>MONTH(Data!$E181)</f>
        <v>1</v>
      </c>
      <c r="G181" s="16">
        <f>YEAR(Data!$E181)</f>
        <v>2024</v>
      </c>
      <c r="H181" s="15" t="s">
        <v>25</v>
      </c>
      <c r="I181" s="15" t="str">
        <f t="shared" si="2"/>
        <v>Sở ban ngành</v>
      </c>
      <c r="J181" s="15" t="s">
        <v>1284</v>
      </c>
      <c r="K181" s="15" t="s">
        <v>1273</v>
      </c>
      <c r="L181" s="32">
        <f>Data!$D181/10^6</f>
        <v>1500</v>
      </c>
    </row>
    <row r="182" spans="1:12" x14ac:dyDescent="0.25">
      <c r="A182" s="29" t="s">
        <v>56</v>
      </c>
      <c r="B182" s="15" t="s">
        <v>106</v>
      </c>
      <c r="C182" s="15" t="s">
        <v>10</v>
      </c>
      <c r="D182" s="16">
        <v>393171818</v>
      </c>
      <c r="E182" s="17">
        <v>45292</v>
      </c>
      <c r="F182" s="18">
        <f>MONTH(Data!$E182)</f>
        <v>1</v>
      </c>
      <c r="G182" s="16">
        <f>YEAR(Data!$E182)</f>
        <v>2024</v>
      </c>
      <c r="H182" s="15" t="s">
        <v>25</v>
      </c>
      <c r="I182" s="15" t="str">
        <f t="shared" si="2"/>
        <v>Sở ban ngành</v>
      </c>
      <c r="J182" s="15" t="s">
        <v>1285</v>
      </c>
      <c r="K182" s="15" t="s">
        <v>1262</v>
      </c>
      <c r="L182" s="32">
        <f>Data!$D182/10^6</f>
        <v>393.17181799999997</v>
      </c>
    </row>
    <row r="183" spans="1:12" x14ac:dyDescent="0.25">
      <c r="A183" s="29" t="s">
        <v>62</v>
      </c>
      <c r="B183" s="15" t="s">
        <v>82</v>
      </c>
      <c r="C183" s="15" t="s">
        <v>10</v>
      </c>
      <c r="D183" s="16">
        <v>9100000</v>
      </c>
      <c r="E183" s="17">
        <v>45292</v>
      </c>
      <c r="F183" s="18">
        <f>MONTH(Data!$E183)</f>
        <v>1</v>
      </c>
      <c r="G183" s="16">
        <f>YEAR(Data!$E183)</f>
        <v>2024</v>
      </c>
      <c r="H183" s="15" t="s">
        <v>15</v>
      </c>
      <c r="I183" s="15" t="str">
        <f t="shared" si="2"/>
        <v>Sở ban ngành</v>
      </c>
      <c r="J183" s="15" t="s">
        <v>1284</v>
      </c>
      <c r="K183" s="15" t="s">
        <v>1263</v>
      </c>
      <c r="L183" s="32">
        <f>Data!$D183/10^6</f>
        <v>9.1</v>
      </c>
    </row>
    <row r="184" spans="1:12" x14ac:dyDescent="0.25">
      <c r="A184" s="29" t="s">
        <v>45</v>
      </c>
      <c r="B184" s="15" t="s">
        <v>154</v>
      </c>
      <c r="C184" s="15" t="s">
        <v>149</v>
      </c>
      <c r="D184" s="16">
        <v>23818182</v>
      </c>
      <c r="E184" s="17">
        <v>45292</v>
      </c>
      <c r="F184" s="18">
        <f>MONTH(Data!$E184)</f>
        <v>1</v>
      </c>
      <c r="G184" s="16">
        <f>YEAR(Data!$E184)</f>
        <v>2024</v>
      </c>
      <c r="H184" s="15" t="s">
        <v>29</v>
      </c>
      <c r="I184" s="15" t="str">
        <f t="shared" si="2"/>
        <v>Sở ban ngành</v>
      </c>
      <c r="J184" s="15" t="s">
        <v>1285</v>
      </c>
      <c r="K184" s="15" t="s">
        <v>1263</v>
      </c>
      <c r="L184" s="32">
        <f>Data!$D184/10^6</f>
        <v>23.818182</v>
      </c>
    </row>
    <row r="185" spans="1:12" x14ac:dyDescent="0.25">
      <c r="A185" s="29" t="s">
        <v>45</v>
      </c>
      <c r="B185" s="15" t="s">
        <v>152</v>
      </c>
      <c r="C185" s="15" t="s">
        <v>149</v>
      </c>
      <c r="D185" s="16">
        <v>40618182</v>
      </c>
      <c r="E185" s="17">
        <v>45292</v>
      </c>
      <c r="F185" s="18">
        <f>MONTH(Data!$E185)</f>
        <v>1</v>
      </c>
      <c r="G185" s="16">
        <f>YEAR(Data!$E185)</f>
        <v>2024</v>
      </c>
      <c r="H185" s="15" t="s">
        <v>29</v>
      </c>
      <c r="I185" s="15" t="str">
        <f t="shared" si="2"/>
        <v>Sở ban ngành</v>
      </c>
      <c r="J185" s="15" t="s">
        <v>1284</v>
      </c>
      <c r="K185" s="15" t="s">
        <v>1263</v>
      </c>
      <c r="L185" s="32">
        <f>Data!$D185/10^6</f>
        <v>40.618181999999997</v>
      </c>
    </row>
    <row r="186" spans="1:12" x14ac:dyDescent="0.25">
      <c r="A186" s="29" t="s">
        <v>45</v>
      </c>
      <c r="B186" s="15" t="s">
        <v>152</v>
      </c>
      <c r="C186" s="15" t="s">
        <v>149</v>
      </c>
      <c r="D186" s="16">
        <v>40618182</v>
      </c>
      <c r="E186" s="17">
        <v>45292</v>
      </c>
      <c r="F186" s="18">
        <f>MONTH(Data!$E186)</f>
        <v>1</v>
      </c>
      <c r="G186" s="16">
        <f>YEAR(Data!$E186)</f>
        <v>2024</v>
      </c>
      <c r="H186" s="15" t="s">
        <v>29</v>
      </c>
      <c r="I186" s="15" t="str">
        <f t="shared" si="2"/>
        <v>Sở ban ngành</v>
      </c>
      <c r="J186" s="15" t="s">
        <v>1285</v>
      </c>
      <c r="K186" s="15" t="s">
        <v>1263</v>
      </c>
      <c r="L186" s="32">
        <f>Data!$D186/10^6</f>
        <v>40.618181999999997</v>
      </c>
    </row>
    <row r="187" spans="1:12" x14ac:dyDescent="0.25">
      <c r="A187" s="29" t="s">
        <v>146</v>
      </c>
      <c r="B187" s="15" t="s">
        <v>153</v>
      </c>
      <c r="C187" s="15" t="s">
        <v>149</v>
      </c>
      <c r="D187" s="16">
        <v>200332727</v>
      </c>
      <c r="E187" s="17">
        <v>45292</v>
      </c>
      <c r="F187" s="18">
        <f>MONTH(Data!$E187)</f>
        <v>1</v>
      </c>
      <c r="G187" s="16">
        <f>YEAR(Data!$E187)</f>
        <v>2024</v>
      </c>
      <c r="H187" s="15" t="s">
        <v>32</v>
      </c>
      <c r="I187" s="15" t="str">
        <f t="shared" si="2"/>
        <v>Sở ban ngành</v>
      </c>
      <c r="J187" s="15" t="s">
        <v>1284</v>
      </c>
      <c r="K187" s="15" t="s">
        <v>1264</v>
      </c>
      <c r="L187" s="32">
        <f>Data!$D187/10^6</f>
        <v>200.33272700000001</v>
      </c>
    </row>
    <row r="188" spans="1:12" x14ac:dyDescent="0.25">
      <c r="A188" s="29" t="s">
        <v>52</v>
      </c>
      <c r="B188" s="15" t="s">
        <v>133</v>
      </c>
      <c r="C188" s="15" t="s">
        <v>41</v>
      </c>
      <c r="D188" s="16">
        <v>81540000</v>
      </c>
      <c r="E188" s="17">
        <v>45292</v>
      </c>
      <c r="F188" s="18">
        <f>MONTH(Data!$E188)</f>
        <v>1</v>
      </c>
      <c r="G188" s="16">
        <f>YEAR(Data!$E188)</f>
        <v>2024</v>
      </c>
      <c r="H188" s="15" t="s">
        <v>35</v>
      </c>
      <c r="I188" s="15" t="str">
        <f t="shared" si="2"/>
        <v>Sở ban ngành</v>
      </c>
      <c r="J188" s="15" t="s">
        <v>1285</v>
      </c>
      <c r="K188" s="15" t="s">
        <v>1269</v>
      </c>
      <c r="L188" s="32">
        <f>Data!$D188/10^6</f>
        <v>81.540000000000006</v>
      </c>
    </row>
    <row r="189" spans="1:12" x14ac:dyDescent="0.25">
      <c r="A189" s="29" t="s">
        <v>17</v>
      </c>
      <c r="B189" s="15" t="s">
        <v>1045</v>
      </c>
      <c r="C189" s="15" t="s">
        <v>41</v>
      </c>
      <c r="D189" s="16">
        <v>73872000</v>
      </c>
      <c r="E189" s="17">
        <v>45292</v>
      </c>
      <c r="F189" s="18">
        <f>MONTH(Data!$E189)</f>
        <v>1</v>
      </c>
      <c r="G189" s="16">
        <f>YEAR(Data!$E189)</f>
        <v>2024</v>
      </c>
      <c r="H189" s="15" t="s">
        <v>11</v>
      </c>
      <c r="I189" s="15" t="str">
        <f t="shared" si="2"/>
        <v>Doanh nghiệp</v>
      </c>
      <c r="J189" s="15" t="s">
        <v>1284</v>
      </c>
      <c r="K189" s="15" t="s">
        <v>1269</v>
      </c>
      <c r="L189" s="32">
        <f>Data!$D189/10^6</f>
        <v>73.872</v>
      </c>
    </row>
    <row r="190" spans="1:12" x14ac:dyDescent="0.25">
      <c r="A190" s="29" t="s">
        <v>21</v>
      </c>
      <c r="B190" s="15" t="s">
        <v>125</v>
      </c>
      <c r="C190" s="15" t="s">
        <v>10</v>
      </c>
      <c r="D190" s="16">
        <v>12727273</v>
      </c>
      <c r="E190" s="17">
        <v>45292</v>
      </c>
      <c r="F190" s="18">
        <f>MONTH(Data!$E190)</f>
        <v>1</v>
      </c>
      <c r="G190" s="16">
        <f>YEAR(Data!$E190)</f>
        <v>2024</v>
      </c>
      <c r="H190" s="15" t="s">
        <v>22</v>
      </c>
      <c r="I190" s="15" t="str">
        <f t="shared" si="2"/>
        <v>Sở ban ngành</v>
      </c>
      <c r="J190" s="15" t="s">
        <v>1285</v>
      </c>
      <c r="K190" s="15" t="s">
        <v>1262</v>
      </c>
      <c r="L190" s="32">
        <f>Data!$D190/10^6</f>
        <v>12.727273</v>
      </c>
    </row>
    <row r="191" spans="1:12" x14ac:dyDescent="0.25">
      <c r="A191" s="29" t="s">
        <v>87</v>
      </c>
      <c r="B191" s="15" t="s">
        <v>141</v>
      </c>
      <c r="C191" s="15" t="s">
        <v>10</v>
      </c>
      <c r="D191" s="16">
        <v>5418182</v>
      </c>
      <c r="E191" s="17">
        <v>45292</v>
      </c>
      <c r="F191" s="18">
        <f>MONTH(Data!$E191)</f>
        <v>1</v>
      </c>
      <c r="G191" s="16">
        <f>YEAR(Data!$E191)</f>
        <v>2024</v>
      </c>
      <c r="H191" s="15" t="s">
        <v>29</v>
      </c>
      <c r="I191" s="15" t="str">
        <f t="shared" si="2"/>
        <v>Ngân hàng</v>
      </c>
      <c r="J191" s="15" t="s">
        <v>1284</v>
      </c>
      <c r="K191" s="15" t="s">
        <v>1263</v>
      </c>
      <c r="L191" s="32">
        <f>Data!$D191/10^6</f>
        <v>5.4181819999999998</v>
      </c>
    </row>
    <row r="192" spans="1:12" x14ac:dyDescent="0.25">
      <c r="A192" s="29" t="s">
        <v>87</v>
      </c>
      <c r="B192" s="15" t="s">
        <v>144</v>
      </c>
      <c r="C192" s="15" t="s">
        <v>10</v>
      </c>
      <c r="D192" s="16">
        <v>5418182</v>
      </c>
      <c r="E192" s="17">
        <v>45292</v>
      </c>
      <c r="F192" s="18">
        <f>MONTH(Data!$E192)</f>
        <v>1</v>
      </c>
      <c r="G192" s="16">
        <f>YEAR(Data!$E192)</f>
        <v>2024</v>
      </c>
      <c r="H192" s="15" t="s">
        <v>29</v>
      </c>
      <c r="I192" s="15" t="str">
        <f t="shared" si="2"/>
        <v>Ngân hàng</v>
      </c>
      <c r="J192" s="15" t="s">
        <v>1285</v>
      </c>
      <c r="K192" s="15" t="s">
        <v>1268</v>
      </c>
      <c r="L192" s="32">
        <f>Data!$D192/10^6</f>
        <v>5.4181819999999998</v>
      </c>
    </row>
    <row r="193" spans="1:12" x14ac:dyDescent="0.25">
      <c r="A193" s="29" t="s">
        <v>87</v>
      </c>
      <c r="B193" s="15" t="s">
        <v>143</v>
      </c>
      <c r="C193" s="15" t="s">
        <v>10</v>
      </c>
      <c r="D193" s="16">
        <v>2709091</v>
      </c>
      <c r="E193" s="17">
        <v>45292</v>
      </c>
      <c r="F193" s="18">
        <f>MONTH(Data!$E193)</f>
        <v>1</v>
      </c>
      <c r="G193" s="16">
        <f>YEAR(Data!$E193)</f>
        <v>2024</v>
      </c>
      <c r="H193" s="15" t="s">
        <v>29</v>
      </c>
      <c r="I193" s="15" t="str">
        <f t="shared" si="2"/>
        <v>Ngân hàng</v>
      </c>
      <c r="J193" s="15" t="s">
        <v>1284</v>
      </c>
      <c r="K193" s="15" t="s">
        <v>1263</v>
      </c>
      <c r="L193" s="32">
        <f>Data!$D193/10^6</f>
        <v>2.7090909999999999</v>
      </c>
    </row>
    <row r="194" spans="1:12" x14ac:dyDescent="0.25">
      <c r="A194" s="29" t="s">
        <v>87</v>
      </c>
      <c r="B194" s="15" t="s">
        <v>142</v>
      </c>
      <c r="C194" s="15" t="s">
        <v>10</v>
      </c>
      <c r="D194" s="16">
        <v>5418182</v>
      </c>
      <c r="E194" s="17">
        <v>45292</v>
      </c>
      <c r="F194" s="18">
        <f>MONTH(Data!$E194)</f>
        <v>1</v>
      </c>
      <c r="G194" s="16">
        <f>YEAR(Data!$E194)</f>
        <v>2024</v>
      </c>
      <c r="H194" s="15" t="s">
        <v>29</v>
      </c>
      <c r="I194" s="15" t="str">
        <f t="shared" si="2"/>
        <v>Ngân hàng</v>
      </c>
      <c r="J194" s="15" t="s">
        <v>1285</v>
      </c>
      <c r="K194" s="15" t="s">
        <v>1263</v>
      </c>
      <c r="L194" s="32">
        <f>Data!$D194/10^6</f>
        <v>5.4181819999999998</v>
      </c>
    </row>
    <row r="195" spans="1:12" x14ac:dyDescent="0.25">
      <c r="A195" s="29" t="s">
        <v>87</v>
      </c>
      <c r="B195" s="15" t="s">
        <v>136</v>
      </c>
      <c r="C195" s="15" t="s">
        <v>10</v>
      </c>
      <c r="D195" s="16">
        <v>5418182</v>
      </c>
      <c r="E195" s="17">
        <v>45292</v>
      </c>
      <c r="F195" s="18">
        <f>MONTH(Data!$E195)</f>
        <v>1</v>
      </c>
      <c r="G195" s="16">
        <f>YEAR(Data!$E195)</f>
        <v>2024</v>
      </c>
      <c r="H195" s="15" t="s">
        <v>29</v>
      </c>
      <c r="I195" s="15" t="str">
        <f t="shared" ref="I195:I258" si="3">IF(ISNUMBER(SEARCH("Công ty",$B195)),"Doanh nghiệp",IF(ISNUMBER(SEARCH("Doanh nghiệp",$B195)),"Doanh nghiệp",IF(ISNUMBER(SEARCH("Tập đoàn",$B195)),"Doanh nghiệp",
IF(ISNUMBER(SEARCH("Bệnh viện",$B195)),"Bệnh viện",
IF(ISNUMBER(SEARCH("Ngân hàng",$B195)),"Ngân hàng",IF(ISNUMBER(SEARCH("trường",$B195)),"Trường học",IF(ISNUMBER(SEARCH("học viện",$B195)),"Trường học",
IF(ISNUMBER(SEARCH("Bộ",$B195)),"Sở ban ngành",IF(ISNUMBER(SEARCH("Đoàn",$B195)),"Sở ban ngành",IF(ISNUMBER(SEARCH("Phòng",$B195)),"Sở ban ngành",IF(ISNUMBER(SEARCH("UBND",$B195)),"Sở ban ngành",IF(ISNUMBER(SEARCH("ủy ban",$B195)),"Sở ban ngành",IF(ISNUMBER(SEARCH("công an",$B195)),"Sở ban ngành",IF(ISNUMBER(SEARCH("sở",$B195)),"Sở ban ngành",IF(ISNUMBER(SEARCH("thôn",$B195)),"Sở ban ngành",IF(ISNUMBER(SEARCH("xã",$B195)),"Sở ban ngành",IF(ISNUMBER(SEARCH("quân khu",$B195)),"Sở ban ngành",IF(ISNUMBER(SEARCH("cục",$B195)),"Sở ban ngành",IF(ISNUMBER(SEARCH("viện",$B195)),"Sở ban ngành",IF(ISNUMBER(SEARCH("quỹ",$B195)),"Sở ban ngành",IF(ISNUMBER(SEARCH("trung tâm",$B195)),"Sở ban ngành",IF(ISNUMBER(SEARCH("quân chủng",$B195)),"Sở ban ngành",IF(ISNUMBER(SEARCH("hội",$B195)),"Sở ban ngành",
"Khác")))))))))))))))))))))))</f>
        <v>Ngân hàng</v>
      </c>
      <c r="J195" s="15" t="s">
        <v>1284</v>
      </c>
      <c r="K195" s="15" t="s">
        <v>1263</v>
      </c>
      <c r="L195" s="32">
        <f>Data!$D195/10^6</f>
        <v>5.4181819999999998</v>
      </c>
    </row>
    <row r="196" spans="1:12" x14ac:dyDescent="0.25">
      <c r="A196" s="29" t="s">
        <v>87</v>
      </c>
      <c r="B196" s="15" t="s">
        <v>137</v>
      </c>
      <c r="C196" s="15" t="s">
        <v>10</v>
      </c>
      <c r="D196" s="16">
        <v>5418182</v>
      </c>
      <c r="E196" s="17">
        <v>45292</v>
      </c>
      <c r="F196" s="18">
        <f>MONTH(Data!$E196)</f>
        <v>1</v>
      </c>
      <c r="G196" s="16">
        <f>YEAR(Data!$E196)</f>
        <v>2024</v>
      </c>
      <c r="H196" s="15" t="s">
        <v>29</v>
      </c>
      <c r="I196" s="15" t="str">
        <f t="shared" si="3"/>
        <v>Ngân hàng</v>
      </c>
      <c r="J196" s="15" t="s">
        <v>1285</v>
      </c>
      <c r="K196" s="15" t="s">
        <v>1263</v>
      </c>
      <c r="L196" s="32">
        <f>Data!$D196/10^6</f>
        <v>5.4181819999999998</v>
      </c>
    </row>
    <row r="197" spans="1:12" x14ac:dyDescent="0.25">
      <c r="A197" s="29" t="s">
        <v>87</v>
      </c>
      <c r="B197" s="15" t="s">
        <v>138</v>
      </c>
      <c r="C197" s="15" t="s">
        <v>10</v>
      </c>
      <c r="D197" s="16">
        <v>10688182</v>
      </c>
      <c r="E197" s="17">
        <v>45292</v>
      </c>
      <c r="F197" s="18">
        <f>MONTH(Data!$E197)</f>
        <v>1</v>
      </c>
      <c r="G197" s="16">
        <f>YEAR(Data!$E197)</f>
        <v>2024</v>
      </c>
      <c r="H197" s="15" t="s">
        <v>29</v>
      </c>
      <c r="I197" s="15" t="str">
        <f t="shared" si="3"/>
        <v>Ngân hàng</v>
      </c>
      <c r="J197" s="15" t="s">
        <v>1284</v>
      </c>
      <c r="K197" s="15" t="s">
        <v>1263</v>
      </c>
      <c r="L197" s="32">
        <f>Data!$D197/10^6</f>
        <v>10.688181999999999</v>
      </c>
    </row>
    <row r="198" spans="1:12" x14ac:dyDescent="0.25">
      <c r="A198" s="29" t="s">
        <v>87</v>
      </c>
      <c r="B198" s="15" t="s">
        <v>139</v>
      </c>
      <c r="C198" s="15" t="s">
        <v>10</v>
      </c>
      <c r="D198" s="16">
        <v>5172727</v>
      </c>
      <c r="E198" s="17">
        <v>45292</v>
      </c>
      <c r="F198" s="18">
        <f>MONTH(Data!$E198)</f>
        <v>1</v>
      </c>
      <c r="G198" s="16">
        <f>YEAR(Data!$E198)</f>
        <v>2024</v>
      </c>
      <c r="H198" s="15" t="s">
        <v>29</v>
      </c>
      <c r="I198" s="15" t="str">
        <f t="shared" si="3"/>
        <v>Ngân hàng</v>
      </c>
      <c r="J198" s="15" t="s">
        <v>1285</v>
      </c>
      <c r="K198" s="15" t="s">
        <v>1263</v>
      </c>
      <c r="L198" s="32">
        <f>Data!$D198/10^6</f>
        <v>5.1727270000000001</v>
      </c>
    </row>
    <row r="199" spans="1:12" x14ac:dyDescent="0.25">
      <c r="A199" s="29" t="s">
        <v>87</v>
      </c>
      <c r="B199" s="15" t="s">
        <v>140</v>
      </c>
      <c r="C199" s="15" t="s">
        <v>10</v>
      </c>
      <c r="D199" s="16">
        <v>2709091</v>
      </c>
      <c r="E199" s="17">
        <v>45292</v>
      </c>
      <c r="F199" s="18">
        <f>MONTH(Data!$E199)</f>
        <v>1</v>
      </c>
      <c r="G199" s="16">
        <f>YEAR(Data!$E199)</f>
        <v>2024</v>
      </c>
      <c r="H199" s="15" t="s">
        <v>29</v>
      </c>
      <c r="I199" s="15" t="str">
        <f t="shared" si="3"/>
        <v>Ngân hàng</v>
      </c>
      <c r="J199" s="15" t="s">
        <v>1284</v>
      </c>
      <c r="K199" s="15" t="s">
        <v>1263</v>
      </c>
      <c r="L199" s="32">
        <f>Data!$D199/10^6</f>
        <v>2.7090909999999999</v>
      </c>
    </row>
    <row r="200" spans="1:12" x14ac:dyDescent="0.25">
      <c r="A200" s="29" t="s">
        <v>56</v>
      </c>
      <c r="B200" s="15" t="s">
        <v>129</v>
      </c>
      <c r="C200" s="15" t="s">
        <v>10</v>
      </c>
      <c r="D200" s="16">
        <v>90339091</v>
      </c>
      <c r="E200" s="17">
        <v>45292</v>
      </c>
      <c r="F200" s="18">
        <f>MONTH(Data!$E200)</f>
        <v>1</v>
      </c>
      <c r="G200" s="16">
        <f>YEAR(Data!$E200)</f>
        <v>2024</v>
      </c>
      <c r="H200" s="15" t="s">
        <v>25</v>
      </c>
      <c r="I200" s="15" t="str">
        <f t="shared" si="3"/>
        <v>Sở ban ngành</v>
      </c>
      <c r="J200" s="15" t="s">
        <v>1285</v>
      </c>
      <c r="K200" s="15" t="s">
        <v>1262</v>
      </c>
      <c r="L200" s="32">
        <f>Data!$D200/10^6</f>
        <v>90.339090999999996</v>
      </c>
    </row>
    <row r="201" spans="1:12" x14ac:dyDescent="0.25">
      <c r="A201" s="29" t="s">
        <v>37</v>
      </c>
      <c r="B201" s="15" t="s">
        <v>38</v>
      </c>
      <c r="C201" s="15" t="s">
        <v>14</v>
      </c>
      <c r="D201" s="16">
        <v>174836000</v>
      </c>
      <c r="E201" s="17">
        <v>45292</v>
      </c>
      <c r="F201" s="18">
        <f>MONTH(Data!$E201)</f>
        <v>1</v>
      </c>
      <c r="G201" s="16">
        <f>YEAR(Data!$E201)</f>
        <v>2024</v>
      </c>
      <c r="H201" s="15" t="s">
        <v>11</v>
      </c>
      <c r="I201" s="15" t="str">
        <f t="shared" si="3"/>
        <v>Sở ban ngành</v>
      </c>
      <c r="J201" s="15" t="s">
        <v>1284</v>
      </c>
      <c r="K201" s="15" t="s">
        <v>1275</v>
      </c>
      <c r="L201" s="32">
        <f>Data!$D201/10^6</f>
        <v>174.83600000000001</v>
      </c>
    </row>
    <row r="202" spans="1:12" x14ac:dyDescent="0.25">
      <c r="A202" s="29" t="s">
        <v>89</v>
      </c>
      <c r="B202" s="15" t="s">
        <v>90</v>
      </c>
      <c r="C202" s="15" t="s">
        <v>41</v>
      </c>
      <c r="D202" s="16">
        <v>723316500</v>
      </c>
      <c r="E202" s="17">
        <v>45292</v>
      </c>
      <c r="F202" s="18">
        <f>MONTH(Data!$E202)</f>
        <v>1</v>
      </c>
      <c r="G202" s="16">
        <f>YEAR(Data!$E202)</f>
        <v>2024</v>
      </c>
      <c r="H202" s="15" t="s">
        <v>11</v>
      </c>
      <c r="I202" s="15" t="str">
        <f t="shared" si="3"/>
        <v>Sở ban ngành</v>
      </c>
      <c r="J202" s="15" t="s">
        <v>1285</v>
      </c>
      <c r="K202" s="15" t="s">
        <v>1269</v>
      </c>
      <c r="L202" s="32">
        <f>Data!$D202/10^6</f>
        <v>723.31650000000002</v>
      </c>
    </row>
    <row r="203" spans="1:12" x14ac:dyDescent="0.25">
      <c r="A203" s="29" t="s">
        <v>100</v>
      </c>
      <c r="B203" s="15" t="s">
        <v>101</v>
      </c>
      <c r="C203" s="15" t="s">
        <v>10</v>
      </c>
      <c r="D203" s="16">
        <v>2117417773</v>
      </c>
      <c r="E203" s="17">
        <v>45292</v>
      </c>
      <c r="F203" s="18">
        <f>MONTH(Data!$E203)</f>
        <v>1</v>
      </c>
      <c r="G203" s="16">
        <f>YEAR(Data!$E203)</f>
        <v>2024</v>
      </c>
      <c r="H203" s="15" t="s">
        <v>42</v>
      </c>
      <c r="I203" s="15" t="str">
        <f t="shared" si="3"/>
        <v>Sở ban ngành</v>
      </c>
      <c r="J203" s="15" t="s">
        <v>1284</v>
      </c>
      <c r="K203" s="15" t="s">
        <v>1263</v>
      </c>
      <c r="L203" s="32">
        <f>Data!$D203/10^6</f>
        <v>2117.4177730000001</v>
      </c>
    </row>
    <row r="204" spans="1:12" x14ac:dyDescent="0.25">
      <c r="A204" s="29" t="s">
        <v>56</v>
      </c>
      <c r="B204" s="15" t="s">
        <v>150</v>
      </c>
      <c r="C204" s="15" t="s">
        <v>149</v>
      </c>
      <c r="D204" s="16">
        <v>32727273</v>
      </c>
      <c r="E204" s="17">
        <v>45292</v>
      </c>
      <c r="F204" s="18">
        <f>MONTH(Data!$E204)</f>
        <v>1</v>
      </c>
      <c r="G204" s="16">
        <f>YEAR(Data!$E204)</f>
        <v>2024</v>
      </c>
      <c r="H204" s="15" t="s">
        <v>25</v>
      </c>
      <c r="I204" s="15" t="str">
        <f t="shared" si="3"/>
        <v>Sở ban ngành</v>
      </c>
      <c r="J204" s="15" t="s">
        <v>1285</v>
      </c>
      <c r="K204" s="15" t="s">
        <v>1267</v>
      </c>
      <c r="L204" s="32">
        <f>Data!$D204/10^6</f>
        <v>32.727272999999997</v>
      </c>
    </row>
    <row r="205" spans="1:12" x14ac:dyDescent="0.25">
      <c r="A205" s="29" t="s">
        <v>77</v>
      </c>
      <c r="B205" s="15" t="s">
        <v>110</v>
      </c>
      <c r="C205" s="15" t="s">
        <v>41</v>
      </c>
      <c r="D205" s="16">
        <v>39314715</v>
      </c>
      <c r="E205" s="17">
        <v>45292</v>
      </c>
      <c r="F205" s="18">
        <f>MONTH(Data!$E205)</f>
        <v>1</v>
      </c>
      <c r="G205" s="16">
        <f>YEAR(Data!$E205)</f>
        <v>2024</v>
      </c>
      <c r="H205" s="15" t="s">
        <v>35</v>
      </c>
      <c r="I205" s="15" t="str">
        <f t="shared" si="3"/>
        <v>Sở ban ngành</v>
      </c>
      <c r="J205" s="15" t="s">
        <v>1284</v>
      </c>
      <c r="K205" s="15" t="s">
        <v>1269</v>
      </c>
      <c r="L205" s="32">
        <f>Data!$D205/10^6</f>
        <v>39.314715</v>
      </c>
    </row>
    <row r="206" spans="1:12" x14ac:dyDescent="0.25">
      <c r="A206" s="29" t="s">
        <v>28</v>
      </c>
      <c r="B206" s="15" t="s">
        <v>104</v>
      </c>
      <c r="C206" s="15" t="s">
        <v>14</v>
      </c>
      <c r="D206" s="16">
        <v>970000000</v>
      </c>
      <c r="E206" s="17">
        <v>45292</v>
      </c>
      <c r="F206" s="18">
        <f>MONTH(Data!$E206)</f>
        <v>1</v>
      </c>
      <c r="G206" s="16">
        <f>YEAR(Data!$E206)</f>
        <v>2024</v>
      </c>
      <c r="H206" s="15" t="s">
        <v>29</v>
      </c>
      <c r="I206" s="15" t="str">
        <f t="shared" si="3"/>
        <v>Sở ban ngành</v>
      </c>
      <c r="J206" s="15" t="s">
        <v>1285</v>
      </c>
      <c r="K206" s="15" t="s">
        <v>1277</v>
      </c>
      <c r="L206" s="32">
        <f>Data!$D206/10^6</f>
        <v>970</v>
      </c>
    </row>
    <row r="207" spans="1:12" x14ac:dyDescent="0.25">
      <c r="A207" s="29" t="s">
        <v>52</v>
      </c>
      <c r="B207" s="15" t="s">
        <v>121</v>
      </c>
      <c r="C207" s="15" t="s">
        <v>10</v>
      </c>
      <c r="D207" s="16">
        <v>316770737</v>
      </c>
      <c r="E207" s="17">
        <v>45292</v>
      </c>
      <c r="F207" s="18">
        <f>MONTH(Data!$E207)</f>
        <v>1</v>
      </c>
      <c r="G207" s="16">
        <f>YEAR(Data!$E207)</f>
        <v>2024</v>
      </c>
      <c r="H207" s="15" t="s">
        <v>35</v>
      </c>
      <c r="I207" s="15" t="str">
        <f t="shared" si="3"/>
        <v>Sở ban ngành</v>
      </c>
      <c r="J207" s="15" t="s">
        <v>1284</v>
      </c>
      <c r="K207" s="15" t="s">
        <v>1262</v>
      </c>
      <c r="L207" s="32">
        <f>Data!$D207/10^6</f>
        <v>316.770737</v>
      </c>
    </row>
    <row r="208" spans="1:12" x14ac:dyDescent="0.25">
      <c r="A208" s="29" t="s">
        <v>119</v>
      </c>
      <c r="B208" s="15" t="s">
        <v>120</v>
      </c>
      <c r="C208" s="15" t="s">
        <v>10</v>
      </c>
      <c r="D208" s="16">
        <v>600410000</v>
      </c>
      <c r="E208" s="17">
        <v>45292</v>
      </c>
      <c r="F208" s="18">
        <f>MONTH(Data!$E208)</f>
        <v>1</v>
      </c>
      <c r="G208" s="16">
        <f>YEAR(Data!$E208)</f>
        <v>2024</v>
      </c>
      <c r="H208" s="15" t="s">
        <v>35</v>
      </c>
      <c r="I208" s="15" t="str">
        <f t="shared" si="3"/>
        <v>Sở ban ngành</v>
      </c>
      <c r="J208" s="15" t="s">
        <v>1285</v>
      </c>
      <c r="K208" s="15" t="s">
        <v>1278</v>
      </c>
      <c r="L208" s="32">
        <f>Data!$D208/10^6</f>
        <v>600.41</v>
      </c>
    </row>
    <row r="209" spans="1:12" x14ac:dyDescent="0.25">
      <c r="A209" s="29" t="s">
        <v>56</v>
      </c>
      <c r="B209" s="15" t="s">
        <v>94</v>
      </c>
      <c r="C209" s="15" t="s">
        <v>10</v>
      </c>
      <c r="D209" s="16">
        <v>18216000</v>
      </c>
      <c r="E209" s="17">
        <v>45292</v>
      </c>
      <c r="F209" s="18">
        <f>MONTH(Data!$E209)</f>
        <v>1</v>
      </c>
      <c r="G209" s="16">
        <f>YEAR(Data!$E209)</f>
        <v>2024</v>
      </c>
      <c r="H209" s="15" t="s">
        <v>25</v>
      </c>
      <c r="I209" s="15" t="str">
        <f t="shared" si="3"/>
        <v>Trường học</v>
      </c>
      <c r="J209" s="15" t="s">
        <v>1284</v>
      </c>
      <c r="K209" s="15" t="s">
        <v>1262</v>
      </c>
      <c r="L209" s="32">
        <f>Data!$D209/10^6</f>
        <v>18.216000000000001</v>
      </c>
    </row>
    <row r="210" spans="1:12" x14ac:dyDescent="0.25">
      <c r="A210" s="29" t="s">
        <v>48</v>
      </c>
      <c r="B210" s="15" t="s">
        <v>114</v>
      </c>
      <c r="C210" s="15" t="s">
        <v>10</v>
      </c>
      <c r="D210" s="16">
        <v>3040000</v>
      </c>
      <c r="E210" s="17">
        <v>45292</v>
      </c>
      <c r="F210" s="18">
        <f>MONTH(Data!$E210)</f>
        <v>1</v>
      </c>
      <c r="G210" s="16">
        <f>YEAR(Data!$E210)</f>
        <v>2024</v>
      </c>
      <c r="H210" s="15" t="s">
        <v>25</v>
      </c>
      <c r="I210" s="15" t="str">
        <f t="shared" si="3"/>
        <v>Sở ban ngành</v>
      </c>
      <c r="J210" s="15" t="s">
        <v>1285</v>
      </c>
      <c r="K210" s="15" t="s">
        <v>1262</v>
      </c>
      <c r="L210" s="32">
        <f>Data!$D210/10^6</f>
        <v>3.04</v>
      </c>
    </row>
    <row r="211" spans="1:12" x14ac:dyDescent="0.25">
      <c r="A211" s="29" t="s">
        <v>8</v>
      </c>
      <c r="B211" s="15" t="s">
        <v>165</v>
      </c>
      <c r="C211" s="15" t="s">
        <v>10</v>
      </c>
      <c r="D211" s="16">
        <v>55810909</v>
      </c>
      <c r="E211" s="17">
        <v>45292</v>
      </c>
      <c r="F211" s="18">
        <f>MONTH(Data!$E211)</f>
        <v>1</v>
      </c>
      <c r="G211" s="16">
        <f>YEAR(Data!$E211)</f>
        <v>2024</v>
      </c>
      <c r="H211" s="15" t="s">
        <v>11</v>
      </c>
      <c r="I211" s="15" t="str">
        <f t="shared" si="3"/>
        <v>Sở ban ngành</v>
      </c>
      <c r="J211" s="15" t="s">
        <v>1284</v>
      </c>
      <c r="K211" s="15" t="s">
        <v>1263</v>
      </c>
      <c r="L211" s="32">
        <f>Data!$D211/10^6</f>
        <v>55.810909000000002</v>
      </c>
    </row>
    <row r="212" spans="1:12" x14ac:dyDescent="0.25">
      <c r="A212" s="29" t="s">
        <v>79</v>
      </c>
      <c r="B212" s="15" t="s">
        <v>80</v>
      </c>
      <c r="C212" s="15" t="s">
        <v>10</v>
      </c>
      <c r="D212" s="16">
        <v>126448364</v>
      </c>
      <c r="E212" s="17">
        <v>45292</v>
      </c>
      <c r="F212" s="18">
        <f>MONTH(Data!$E212)</f>
        <v>1</v>
      </c>
      <c r="G212" s="16">
        <f>YEAR(Data!$E212)</f>
        <v>2024</v>
      </c>
      <c r="H212" s="15" t="s">
        <v>15</v>
      </c>
      <c r="I212" s="15" t="str">
        <f t="shared" si="3"/>
        <v>Sở ban ngành</v>
      </c>
      <c r="J212" s="15" t="s">
        <v>1285</v>
      </c>
      <c r="K212" s="15" t="s">
        <v>1263</v>
      </c>
      <c r="L212" s="32">
        <f>Data!$D212/10^6</f>
        <v>126.448364</v>
      </c>
    </row>
    <row r="213" spans="1:12" x14ac:dyDescent="0.25">
      <c r="A213" s="29" t="s">
        <v>30</v>
      </c>
      <c r="B213" s="15" t="s">
        <v>66</v>
      </c>
      <c r="C213" s="15" t="s">
        <v>10</v>
      </c>
      <c r="D213" s="16">
        <v>45304000</v>
      </c>
      <c r="E213" s="17">
        <v>45292</v>
      </c>
      <c r="F213" s="18">
        <f>MONTH(Data!$E213)</f>
        <v>1</v>
      </c>
      <c r="G213" s="16">
        <f>YEAR(Data!$E213)</f>
        <v>2024</v>
      </c>
      <c r="H213" s="15" t="s">
        <v>32</v>
      </c>
      <c r="I213" s="15" t="str">
        <f t="shared" si="3"/>
        <v>Sở ban ngành</v>
      </c>
      <c r="J213" s="15" t="s">
        <v>1284</v>
      </c>
      <c r="K213" s="15" t="s">
        <v>1263</v>
      </c>
      <c r="L213" s="32">
        <f>Data!$D213/10^6</f>
        <v>45.304000000000002</v>
      </c>
    </row>
    <row r="214" spans="1:12" x14ac:dyDescent="0.25">
      <c r="A214" s="29" t="s">
        <v>8</v>
      </c>
      <c r="B214" s="15" t="s">
        <v>156</v>
      </c>
      <c r="C214" s="15" t="s">
        <v>149</v>
      </c>
      <c r="D214" s="16">
        <v>7879200</v>
      </c>
      <c r="E214" s="17">
        <v>45292</v>
      </c>
      <c r="F214" s="18">
        <f>MONTH(Data!$E214)</f>
        <v>1</v>
      </c>
      <c r="G214" s="16">
        <f>YEAR(Data!$E214)</f>
        <v>2024</v>
      </c>
      <c r="H214" s="15" t="s">
        <v>11</v>
      </c>
      <c r="I214" s="15" t="str">
        <f t="shared" si="3"/>
        <v>Sở ban ngành</v>
      </c>
      <c r="J214" s="15" t="s">
        <v>1285</v>
      </c>
      <c r="K214" s="15" t="s">
        <v>1263</v>
      </c>
      <c r="L214" s="32">
        <f>Data!$D214/10^6</f>
        <v>7.8792</v>
      </c>
    </row>
    <row r="215" spans="1:12" x14ac:dyDescent="0.25">
      <c r="A215" s="29" t="s">
        <v>160</v>
      </c>
      <c r="B215" s="15" t="s">
        <v>162</v>
      </c>
      <c r="C215" s="15" t="s">
        <v>149</v>
      </c>
      <c r="D215" s="16">
        <v>56320000</v>
      </c>
      <c r="E215" s="17">
        <v>45292</v>
      </c>
      <c r="F215" s="18">
        <f>MONTH(Data!$E215)</f>
        <v>1</v>
      </c>
      <c r="G215" s="16">
        <f>YEAR(Data!$E215)</f>
        <v>2024</v>
      </c>
      <c r="H215" s="15" t="s">
        <v>35</v>
      </c>
      <c r="I215" s="15" t="str">
        <f t="shared" si="3"/>
        <v>Sở ban ngành</v>
      </c>
      <c r="J215" s="15" t="s">
        <v>1284</v>
      </c>
      <c r="K215" s="15" t="s">
        <v>1263</v>
      </c>
      <c r="L215" s="32">
        <f>Data!$D215/10^6</f>
        <v>56.32</v>
      </c>
    </row>
    <row r="216" spans="1:12" x14ac:dyDescent="0.25">
      <c r="A216" s="29" t="s">
        <v>30</v>
      </c>
      <c r="B216" s="15" t="s">
        <v>53</v>
      </c>
      <c r="C216" s="15" t="s">
        <v>10</v>
      </c>
      <c r="D216" s="16">
        <v>77382273</v>
      </c>
      <c r="E216" s="17">
        <v>45292</v>
      </c>
      <c r="F216" s="18">
        <f>MONTH(Data!$E216)</f>
        <v>1</v>
      </c>
      <c r="G216" s="16">
        <f>YEAR(Data!$E216)</f>
        <v>2024</v>
      </c>
      <c r="H216" s="15" t="s">
        <v>32</v>
      </c>
      <c r="I216" s="15" t="str">
        <f t="shared" si="3"/>
        <v>Sở ban ngành</v>
      </c>
      <c r="J216" s="15" t="s">
        <v>1285</v>
      </c>
      <c r="K216" s="15" t="s">
        <v>1263</v>
      </c>
      <c r="L216" s="32">
        <f>Data!$D216/10^6</f>
        <v>77.382272999999998</v>
      </c>
    </row>
    <row r="217" spans="1:12" x14ac:dyDescent="0.25">
      <c r="A217" s="29" t="s">
        <v>68</v>
      </c>
      <c r="B217" s="15" t="s">
        <v>69</v>
      </c>
      <c r="C217" s="15" t="s">
        <v>41</v>
      </c>
      <c r="D217" s="16">
        <v>160272727</v>
      </c>
      <c r="E217" s="17">
        <v>45292</v>
      </c>
      <c r="F217" s="18">
        <f>MONTH(Data!$E217)</f>
        <v>1</v>
      </c>
      <c r="G217" s="16">
        <f>YEAR(Data!$E217)</f>
        <v>2024</v>
      </c>
      <c r="H217" s="15" t="s">
        <v>22</v>
      </c>
      <c r="I217" s="15" t="str">
        <f t="shared" si="3"/>
        <v>Sở ban ngành</v>
      </c>
      <c r="J217" s="15" t="s">
        <v>1284</v>
      </c>
      <c r="K217" s="15" t="s">
        <v>1280</v>
      </c>
      <c r="L217" s="32">
        <f>Data!$D217/10^6</f>
        <v>160.272727</v>
      </c>
    </row>
    <row r="218" spans="1:12" x14ac:dyDescent="0.25">
      <c r="A218" s="29" t="s">
        <v>130</v>
      </c>
      <c r="B218" s="15" t="s">
        <v>131</v>
      </c>
      <c r="C218" s="15" t="s">
        <v>46</v>
      </c>
      <c r="D218" s="16">
        <v>225568182</v>
      </c>
      <c r="E218" s="17">
        <v>45292</v>
      </c>
      <c r="F218" s="18">
        <f>MONTH(Data!$E218)</f>
        <v>1</v>
      </c>
      <c r="G218" s="16">
        <f>YEAR(Data!$E218)</f>
        <v>2024</v>
      </c>
      <c r="H218" s="15" t="s">
        <v>22</v>
      </c>
      <c r="I218" s="15" t="str">
        <f t="shared" si="3"/>
        <v>Sở ban ngành</v>
      </c>
      <c r="J218" s="15" t="s">
        <v>1285</v>
      </c>
      <c r="K218" s="15" t="s">
        <v>1271</v>
      </c>
      <c r="L218" s="32">
        <f>Data!$D218/10^6</f>
        <v>225.56818200000001</v>
      </c>
    </row>
    <row r="219" spans="1:12" x14ac:dyDescent="0.25">
      <c r="A219" s="29" t="s">
        <v>68</v>
      </c>
      <c r="B219" s="15" t="s">
        <v>70</v>
      </c>
      <c r="C219" s="15" t="s">
        <v>41</v>
      </c>
      <c r="D219" s="16">
        <v>161363636</v>
      </c>
      <c r="E219" s="17">
        <v>45292</v>
      </c>
      <c r="F219" s="18">
        <f>MONTH(Data!$E219)</f>
        <v>1</v>
      </c>
      <c r="G219" s="16">
        <f>YEAR(Data!$E219)</f>
        <v>2024</v>
      </c>
      <c r="H219" s="15" t="s">
        <v>22</v>
      </c>
      <c r="I219" s="15" t="str">
        <f t="shared" si="3"/>
        <v>Sở ban ngành</v>
      </c>
      <c r="J219" s="15" t="s">
        <v>1284</v>
      </c>
      <c r="K219" s="15" t="s">
        <v>1280</v>
      </c>
      <c r="L219" s="32">
        <f>Data!$D219/10^6</f>
        <v>161.36363600000001</v>
      </c>
    </row>
    <row r="220" spans="1:12" x14ac:dyDescent="0.25">
      <c r="A220" s="29" t="s">
        <v>68</v>
      </c>
      <c r="B220" s="15" t="s">
        <v>103</v>
      </c>
      <c r="C220" s="15" t="s">
        <v>41</v>
      </c>
      <c r="D220" s="16">
        <v>213309091</v>
      </c>
      <c r="E220" s="17">
        <v>45292</v>
      </c>
      <c r="F220" s="18">
        <f>MONTH(Data!$E220)</f>
        <v>1</v>
      </c>
      <c r="G220" s="16">
        <f>YEAR(Data!$E220)</f>
        <v>2024</v>
      </c>
      <c r="H220" s="15" t="s">
        <v>22</v>
      </c>
      <c r="I220" s="15" t="str">
        <f t="shared" si="3"/>
        <v>Sở ban ngành</v>
      </c>
      <c r="J220" s="15" t="s">
        <v>1285</v>
      </c>
      <c r="K220" s="15" t="s">
        <v>1280</v>
      </c>
      <c r="L220" s="32">
        <f>Data!$D220/10^6</f>
        <v>213.309091</v>
      </c>
    </row>
    <row r="221" spans="1:12" x14ac:dyDescent="0.25">
      <c r="A221" s="29" t="s">
        <v>68</v>
      </c>
      <c r="B221" s="15" t="s">
        <v>103</v>
      </c>
      <c r="C221" s="15" t="s">
        <v>41</v>
      </c>
      <c r="D221" s="16">
        <v>160763636</v>
      </c>
      <c r="E221" s="17">
        <v>45292</v>
      </c>
      <c r="F221" s="18">
        <f>MONTH(Data!$E221)</f>
        <v>1</v>
      </c>
      <c r="G221" s="16">
        <f>YEAR(Data!$E221)</f>
        <v>2024</v>
      </c>
      <c r="H221" s="15" t="s">
        <v>22</v>
      </c>
      <c r="I221" s="15" t="str">
        <f t="shared" si="3"/>
        <v>Sở ban ngành</v>
      </c>
      <c r="J221" s="15" t="s">
        <v>1284</v>
      </c>
      <c r="K221" s="15" t="s">
        <v>1280</v>
      </c>
      <c r="L221" s="32">
        <f>Data!$D221/10^6</f>
        <v>160.76363599999999</v>
      </c>
    </row>
    <row r="222" spans="1:12" x14ac:dyDescent="0.25">
      <c r="A222" s="29" t="s">
        <v>68</v>
      </c>
      <c r="B222" s="15" t="s">
        <v>105</v>
      </c>
      <c r="C222" s="15" t="s">
        <v>41</v>
      </c>
      <c r="D222" s="16">
        <v>152363636</v>
      </c>
      <c r="E222" s="17">
        <v>45292</v>
      </c>
      <c r="F222" s="18">
        <f>MONTH(Data!$E222)</f>
        <v>1</v>
      </c>
      <c r="G222" s="16">
        <f>YEAR(Data!$E222)</f>
        <v>2024</v>
      </c>
      <c r="H222" s="15" t="s">
        <v>22</v>
      </c>
      <c r="I222" s="15" t="str">
        <f t="shared" si="3"/>
        <v>Sở ban ngành</v>
      </c>
      <c r="J222" s="15" t="s">
        <v>1285</v>
      </c>
      <c r="K222" s="15" t="s">
        <v>1280</v>
      </c>
      <c r="L222" s="32">
        <f>Data!$D222/10^6</f>
        <v>152.36363600000001</v>
      </c>
    </row>
    <row r="223" spans="1:12" x14ac:dyDescent="0.25">
      <c r="A223" s="29" t="s">
        <v>68</v>
      </c>
      <c r="B223" s="15" t="s">
        <v>105</v>
      </c>
      <c r="C223" s="15" t="s">
        <v>41</v>
      </c>
      <c r="D223" s="16">
        <v>162054545</v>
      </c>
      <c r="E223" s="17">
        <v>45292</v>
      </c>
      <c r="F223" s="18">
        <f>MONTH(Data!$E223)</f>
        <v>1</v>
      </c>
      <c r="G223" s="16">
        <f>YEAR(Data!$E223)</f>
        <v>2024</v>
      </c>
      <c r="H223" s="15" t="s">
        <v>22</v>
      </c>
      <c r="I223" s="15" t="str">
        <f t="shared" si="3"/>
        <v>Sở ban ngành</v>
      </c>
      <c r="J223" s="15" t="s">
        <v>1284</v>
      </c>
      <c r="K223" s="15" t="s">
        <v>1280</v>
      </c>
      <c r="L223" s="32">
        <f>Data!$D223/10^6</f>
        <v>162.05454499999999</v>
      </c>
    </row>
    <row r="224" spans="1:12" x14ac:dyDescent="0.25">
      <c r="A224" s="29" t="s">
        <v>160</v>
      </c>
      <c r="B224" s="15" t="s">
        <v>161</v>
      </c>
      <c r="C224" s="15" t="s">
        <v>149</v>
      </c>
      <c r="D224" s="16">
        <v>34669455</v>
      </c>
      <c r="E224" s="17">
        <v>45292</v>
      </c>
      <c r="F224" s="18">
        <f>MONTH(Data!$E224)</f>
        <v>1</v>
      </c>
      <c r="G224" s="16">
        <f>YEAR(Data!$E224)</f>
        <v>2024</v>
      </c>
      <c r="H224" s="15" t="s">
        <v>35</v>
      </c>
      <c r="I224" s="15" t="str">
        <f t="shared" si="3"/>
        <v>Sở ban ngành</v>
      </c>
      <c r="J224" s="15" t="s">
        <v>1285</v>
      </c>
      <c r="K224" s="15" t="s">
        <v>1263</v>
      </c>
      <c r="L224" s="32">
        <f>Data!$D224/10^6</f>
        <v>34.669454999999999</v>
      </c>
    </row>
    <row r="225" spans="1:12" x14ac:dyDescent="0.25">
      <c r="A225" s="29" t="s">
        <v>160</v>
      </c>
      <c r="B225" s="15" t="s">
        <v>161</v>
      </c>
      <c r="C225" s="15" t="s">
        <v>149</v>
      </c>
      <c r="D225" s="16">
        <v>36512182</v>
      </c>
      <c r="E225" s="17">
        <v>45292</v>
      </c>
      <c r="F225" s="18">
        <f>MONTH(Data!$E225)</f>
        <v>1</v>
      </c>
      <c r="G225" s="16">
        <f>YEAR(Data!$E225)</f>
        <v>2024</v>
      </c>
      <c r="H225" s="15" t="s">
        <v>35</v>
      </c>
      <c r="I225" s="15" t="str">
        <f t="shared" si="3"/>
        <v>Sở ban ngành</v>
      </c>
      <c r="J225" s="15" t="s">
        <v>1284</v>
      </c>
      <c r="K225" s="15" t="s">
        <v>1263</v>
      </c>
      <c r="L225" s="32">
        <f>Data!$D225/10^6</f>
        <v>36.512182000000003</v>
      </c>
    </row>
    <row r="226" spans="1:12" x14ac:dyDescent="0.25">
      <c r="A226" s="29" t="s">
        <v>160</v>
      </c>
      <c r="B226" s="15" t="s">
        <v>161</v>
      </c>
      <c r="C226" s="15" t="s">
        <v>149</v>
      </c>
      <c r="D226" s="16">
        <v>43157273</v>
      </c>
      <c r="E226" s="17">
        <v>45292</v>
      </c>
      <c r="F226" s="18">
        <f>MONTH(Data!$E226)</f>
        <v>1</v>
      </c>
      <c r="G226" s="16">
        <f>YEAR(Data!$E226)</f>
        <v>2024</v>
      </c>
      <c r="H226" s="15" t="s">
        <v>35</v>
      </c>
      <c r="I226" s="15" t="str">
        <f t="shared" si="3"/>
        <v>Sở ban ngành</v>
      </c>
      <c r="J226" s="15" t="s">
        <v>1285</v>
      </c>
      <c r="K226" s="15" t="s">
        <v>1263</v>
      </c>
      <c r="L226" s="32">
        <f>Data!$D226/10^6</f>
        <v>43.157273000000004</v>
      </c>
    </row>
    <row r="227" spans="1:12" x14ac:dyDescent="0.25">
      <c r="A227" s="29" t="s">
        <v>160</v>
      </c>
      <c r="B227" s="15" t="s">
        <v>161</v>
      </c>
      <c r="C227" s="15" t="s">
        <v>149</v>
      </c>
      <c r="D227" s="16">
        <v>42808545</v>
      </c>
      <c r="E227" s="17">
        <v>45292</v>
      </c>
      <c r="F227" s="18">
        <f>MONTH(Data!$E227)</f>
        <v>1</v>
      </c>
      <c r="G227" s="16">
        <f>YEAR(Data!$E227)</f>
        <v>2024</v>
      </c>
      <c r="H227" s="15" t="s">
        <v>35</v>
      </c>
      <c r="I227" s="15" t="str">
        <f t="shared" si="3"/>
        <v>Sở ban ngành</v>
      </c>
      <c r="J227" s="15" t="s">
        <v>1284</v>
      </c>
      <c r="K227" s="15" t="s">
        <v>1263</v>
      </c>
      <c r="L227" s="32">
        <f>Data!$D227/10^6</f>
        <v>42.808545000000002</v>
      </c>
    </row>
    <row r="228" spans="1:12" x14ac:dyDescent="0.25">
      <c r="A228" s="29" t="s">
        <v>160</v>
      </c>
      <c r="B228" s="15" t="s">
        <v>161</v>
      </c>
      <c r="C228" s="15" t="s">
        <v>149</v>
      </c>
      <c r="D228" s="16">
        <v>36319818</v>
      </c>
      <c r="E228" s="17">
        <v>45292</v>
      </c>
      <c r="F228" s="18">
        <f>MONTH(Data!$E228)</f>
        <v>1</v>
      </c>
      <c r="G228" s="16">
        <f>YEAR(Data!$E228)</f>
        <v>2024</v>
      </c>
      <c r="H228" s="15" t="s">
        <v>35</v>
      </c>
      <c r="I228" s="15" t="str">
        <f t="shared" si="3"/>
        <v>Sở ban ngành</v>
      </c>
      <c r="J228" s="15" t="s">
        <v>1285</v>
      </c>
      <c r="K228" s="15" t="s">
        <v>1263</v>
      </c>
      <c r="L228" s="32">
        <f>Data!$D228/10^6</f>
        <v>36.319817999999998</v>
      </c>
    </row>
    <row r="229" spans="1:12" x14ac:dyDescent="0.25">
      <c r="A229" s="29" t="s">
        <v>30</v>
      </c>
      <c r="B229" s="15" t="s">
        <v>49</v>
      </c>
      <c r="C229" s="15" t="s">
        <v>10</v>
      </c>
      <c r="D229" s="16">
        <v>80882727</v>
      </c>
      <c r="E229" s="17">
        <v>45292</v>
      </c>
      <c r="F229" s="18">
        <f>MONTH(Data!$E229)</f>
        <v>1</v>
      </c>
      <c r="G229" s="16">
        <f>YEAR(Data!$E229)</f>
        <v>2024</v>
      </c>
      <c r="H229" s="15" t="s">
        <v>32</v>
      </c>
      <c r="I229" s="15" t="str">
        <f t="shared" si="3"/>
        <v>Sở ban ngành</v>
      </c>
      <c r="J229" s="15" t="s">
        <v>1284</v>
      </c>
      <c r="K229" s="15" t="s">
        <v>1263</v>
      </c>
      <c r="L229" s="32">
        <f>Data!$D229/10^6</f>
        <v>80.882727000000003</v>
      </c>
    </row>
    <row r="230" spans="1:12" x14ac:dyDescent="0.25">
      <c r="A230" s="29" t="s">
        <v>30</v>
      </c>
      <c r="B230" s="15" t="s">
        <v>115</v>
      </c>
      <c r="C230" s="15" t="s">
        <v>41</v>
      </c>
      <c r="D230" s="16">
        <v>254254545</v>
      </c>
      <c r="E230" s="17">
        <v>45292</v>
      </c>
      <c r="F230" s="18">
        <f>MONTH(Data!$E230)</f>
        <v>1</v>
      </c>
      <c r="G230" s="16">
        <f>YEAR(Data!$E230)</f>
        <v>2024</v>
      </c>
      <c r="H230" s="15" t="s">
        <v>32</v>
      </c>
      <c r="I230" s="15" t="str">
        <f t="shared" si="3"/>
        <v>Sở ban ngành</v>
      </c>
      <c r="J230" s="15" t="s">
        <v>1285</v>
      </c>
      <c r="K230" s="15" t="s">
        <v>1269</v>
      </c>
      <c r="L230" s="32">
        <f>Data!$D230/10^6</f>
        <v>254.25454500000001</v>
      </c>
    </row>
    <row r="231" spans="1:12" x14ac:dyDescent="0.25">
      <c r="A231" s="29" t="s">
        <v>8</v>
      </c>
      <c r="B231" s="15" t="s">
        <v>164</v>
      </c>
      <c r="C231" s="15" t="s">
        <v>10</v>
      </c>
      <c r="D231" s="16">
        <v>49583636</v>
      </c>
      <c r="E231" s="17">
        <v>45292</v>
      </c>
      <c r="F231" s="18">
        <f>MONTH(Data!$E231)</f>
        <v>1</v>
      </c>
      <c r="G231" s="16">
        <f>YEAR(Data!$E231)</f>
        <v>2024</v>
      </c>
      <c r="H231" s="15" t="s">
        <v>11</v>
      </c>
      <c r="I231" s="15" t="str">
        <f t="shared" si="3"/>
        <v>Sở ban ngành</v>
      </c>
      <c r="J231" s="15" t="s">
        <v>1284</v>
      </c>
      <c r="K231" s="15" t="s">
        <v>1263</v>
      </c>
      <c r="L231" s="32">
        <f>Data!$D231/10^6</f>
        <v>49.583635999999998</v>
      </c>
    </row>
    <row r="232" spans="1:12" x14ac:dyDescent="0.25">
      <c r="A232" s="29" t="s">
        <v>78</v>
      </c>
      <c r="B232" s="15" t="s">
        <v>88</v>
      </c>
      <c r="C232" s="15" t="s">
        <v>14</v>
      </c>
      <c r="D232" s="16">
        <v>19681818</v>
      </c>
      <c r="E232" s="17">
        <v>45292</v>
      </c>
      <c r="F232" s="18">
        <f>MONTH(Data!$E232)</f>
        <v>1</v>
      </c>
      <c r="G232" s="16">
        <f>YEAR(Data!$E232)</f>
        <v>2024</v>
      </c>
      <c r="H232" s="15" t="s">
        <v>15</v>
      </c>
      <c r="I232" s="15" t="str">
        <f t="shared" si="3"/>
        <v>Sở ban ngành</v>
      </c>
      <c r="J232" s="15" t="s">
        <v>1285</v>
      </c>
      <c r="K232" s="15" t="s">
        <v>1275</v>
      </c>
      <c r="L232" s="32">
        <f>Data!$D232/10^6</f>
        <v>19.681818</v>
      </c>
    </row>
    <row r="233" spans="1:12" x14ac:dyDescent="0.25">
      <c r="A233" s="29" t="s">
        <v>62</v>
      </c>
      <c r="B233" s="15" t="s">
        <v>63</v>
      </c>
      <c r="C233" s="15" t="s">
        <v>14</v>
      </c>
      <c r="D233" s="16">
        <v>48636364</v>
      </c>
      <c r="E233" s="17">
        <v>45292</v>
      </c>
      <c r="F233" s="18">
        <f>MONTH(Data!$E233)</f>
        <v>1</v>
      </c>
      <c r="G233" s="16">
        <f>YEAR(Data!$E233)</f>
        <v>2024</v>
      </c>
      <c r="H233" s="15" t="s">
        <v>15</v>
      </c>
      <c r="I233" s="15" t="str">
        <f t="shared" si="3"/>
        <v>Sở ban ngành</v>
      </c>
      <c r="J233" s="15" t="s">
        <v>1284</v>
      </c>
      <c r="K233" s="15" t="s">
        <v>1277</v>
      </c>
      <c r="L233" s="32">
        <f>Data!$D233/10^6</f>
        <v>48.636364</v>
      </c>
    </row>
    <row r="234" spans="1:12" x14ac:dyDescent="0.25">
      <c r="A234" s="29" t="s">
        <v>33</v>
      </c>
      <c r="B234" s="15" t="s">
        <v>34</v>
      </c>
      <c r="C234" s="15" t="s">
        <v>10</v>
      </c>
      <c r="D234" s="16">
        <v>108620000</v>
      </c>
      <c r="E234" s="17">
        <v>45292</v>
      </c>
      <c r="F234" s="18">
        <f>MONTH(Data!$E234)</f>
        <v>1</v>
      </c>
      <c r="G234" s="16">
        <f>YEAR(Data!$E234)</f>
        <v>2024</v>
      </c>
      <c r="H234" s="15" t="s">
        <v>35</v>
      </c>
      <c r="I234" s="15" t="str">
        <f t="shared" si="3"/>
        <v>Sở ban ngành</v>
      </c>
      <c r="J234" s="15" t="s">
        <v>1285</v>
      </c>
      <c r="K234" s="15" t="s">
        <v>1263</v>
      </c>
      <c r="L234" s="32">
        <f>Data!$D234/10^6</f>
        <v>108.62</v>
      </c>
    </row>
    <row r="235" spans="1:12" x14ac:dyDescent="0.25">
      <c r="A235" s="29" t="s">
        <v>78</v>
      </c>
      <c r="B235" s="15" t="s">
        <v>81</v>
      </c>
      <c r="C235" s="15" t="s">
        <v>10</v>
      </c>
      <c r="D235" s="16">
        <v>90282545</v>
      </c>
      <c r="E235" s="17">
        <v>45292</v>
      </c>
      <c r="F235" s="18">
        <f>MONTH(Data!$E235)</f>
        <v>1</v>
      </c>
      <c r="G235" s="16">
        <f>YEAR(Data!$E235)</f>
        <v>2024</v>
      </c>
      <c r="H235" s="15" t="s">
        <v>15</v>
      </c>
      <c r="I235" s="15" t="str">
        <f t="shared" si="3"/>
        <v>Sở ban ngành</v>
      </c>
      <c r="J235" s="15" t="s">
        <v>1284</v>
      </c>
      <c r="K235" s="15" t="s">
        <v>1263</v>
      </c>
      <c r="L235" s="32">
        <f>Data!$D235/10^6</f>
        <v>90.282544999999999</v>
      </c>
    </row>
    <row r="236" spans="1:12" x14ac:dyDescent="0.25">
      <c r="A236" s="29" t="s">
        <v>62</v>
      </c>
      <c r="B236" s="15" t="s">
        <v>84</v>
      </c>
      <c r="C236" s="15" t="s">
        <v>46</v>
      </c>
      <c r="D236" s="16">
        <v>36172727</v>
      </c>
      <c r="E236" s="17">
        <v>45292</v>
      </c>
      <c r="F236" s="18">
        <f>MONTH(Data!$E236)</f>
        <v>1</v>
      </c>
      <c r="G236" s="16">
        <f>YEAR(Data!$E236)</f>
        <v>2024</v>
      </c>
      <c r="H236" s="15" t="s">
        <v>15</v>
      </c>
      <c r="I236" s="15" t="str">
        <f t="shared" si="3"/>
        <v>Sở ban ngành</v>
      </c>
      <c r="J236" s="15" t="s">
        <v>1285</v>
      </c>
      <c r="K236" s="15" t="s">
        <v>1271</v>
      </c>
      <c r="L236" s="32">
        <f>Data!$D236/10^6</f>
        <v>36.172727000000002</v>
      </c>
    </row>
    <row r="237" spans="1:12" x14ac:dyDescent="0.25">
      <c r="A237" s="29" t="s">
        <v>79</v>
      </c>
      <c r="B237" s="15" t="s">
        <v>148</v>
      </c>
      <c r="C237" s="15" t="s">
        <v>10</v>
      </c>
      <c r="D237" s="16">
        <v>87961818</v>
      </c>
      <c r="E237" s="17">
        <v>45292</v>
      </c>
      <c r="F237" s="18">
        <f>MONTH(Data!$E237)</f>
        <v>1</v>
      </c>
      <c r="G237" s="16">
        <f>YEAR(Data!$E237)</f>
        <v>2024</v>
      </c>
      <c r="H237" s="15" t="s">
        <v>15</v>
      </c>
      <c r="I237" s="15" t="str">
        <f t="shared" si="3"/>
        <v>Sở ban ngành</v>
      </c>
      <c r="J237" s="15" t="s">
        <v>1284</v>
      </c>
      <c r="K237" s="15" t="s">
        <v>1262</v>
      </c>
      <c r="L237" s="32">
        <f>Data!$D237/10^6</f>
        <v>87.961817999999994</v>
      </c>
    </row>
    <row r="238" spans="1:12" x14ac:dyDescent="0.25">
      <c r="A238" s="29" t="s">
        <v>52</v>
      </c>
      <c r="B238" s="15" t="s">
        <v>108</v>
      </c>
      <c r="C238" s="15" t="s">
        <v>10</v>
      </c>
      <c r="D238" s="16">
        <v>88500000</v>
      </c>
      <c r="E238" s="17">
        <v>45292</v>
      </c>
      <c r="F238" s="18">
        <f>MONTH(Data!$E238)</f>
        <v>1</v>
      </c>
      <c r="G238" s="16">
        <f>YEAR(Data!$E238)</f>
        <v>2024</v>
      </c>
      <c r="H238" s="15" t="s">
        <v>35</v>
      </c>
      <c r="I238" s="15" t="str">
        <f t="shared" si="3"/>
        <v>Sở ban ngành</v>
      </c>
      <c r="J238" s="15" t="s">
        <v>1285</v>
      </c>
      <c r="K238" s="15" t="s">
        <v>1267</v>
      </c>
      <c r="L238" s="32">
        <f>Data!$D238/10^6</f>
        <v>88.5</v>
      </c>
    </row>
    <row r="239" spans="1:12" x14ac:dyDescent="0.25">
      <c r="A239" s="29" t="s">
        <v>75</v>
      </c>
      <c r="B239" s="15" t="s">
        <v>76</v>
      </c>
      <c r="C239" s="15" t="s">
        <v>10</v>
      </c>
      <c r="D239" s="16">
        <v>8954545</v>
      </c>
      <c r="E239" s="17">
        <v>45292</v>
      </c>
      <c r="F239" s="18">
        <f>MONTH(Data!$E239)</f>
        <v>1</v>
      </c>
      <c r="G239" s="16">
        <f>YEAR(Data!$E239)</f>
        <v>2024</v>
      </c>
      <c r="H239" s="15" t="s">
        <v>15</v>
      </c>
      <c r="I239" s="15" t="str">
        <f t="shared" si="3"/>
        <v>Trường học</v>
      </c>
      <c r="J239" s="15" t="s">
        <v>1284</v>
      </c>
      <c r="K239" s="15" t="s">
        <v>1262</v>
      </c>
      <c r="L239" s="32">
        <f>Data!$D239/10^6</f>
        <v>8.9545449999999995</v>
      </c>
    </row>
    <row r="240" spans="1:12" x14ac:dyDescent="0.25">
      <c r="A240" s="29" t="s">
        <v>47</v>
      </c>
      <c r="B240" s="15" t="s">
        <v>132</v>
      </c>
      <c r="C240" s="15" t="s">
        <v>10</v>
      </c>
      <c r="D240" s="16">
        <v>10681818</v>
      </c>
      <c r="E240" s="17">
        <v>45292</v>
      </c>
      <c r="F240" s="18">
        <f>MONTH(Data!$E240)</f>
        <v>1</v>
      </c>
      <c r="G240" s="16">
        <f>YEAR(Data!$E240)</f>
        <v>2024</v>
      </c>
      <c r="H240" s="15" t="s">
        <v>29</v>
      </c>
      <c r="I240" s="15" t="str">
        <f t="shared" si="3"/>
        <v>Trường học</v>
      </c>
      <c r="J240" s="15" t="s">
        <v>1285</v>
      </c>
      <c r="K240" s="15" t="s">
        <v>1263</v>
      </c>
      <c r="L240" s="32">
        <f>Data!$D240/10^6</f>
        <v>10.681818</v>
      </c>
    </row>
    <row r="241" spans="1:12" x14ac:dyDescent="0.25">
      <c r="A241" s="29" t="s">
        <v>45</v>
      </c>
      <c r="B241" s="15" t="s">
        <v>99</v>
      </c>
      <c r="C241" s="15" t="s">
        <v>10</v>
      </c>
      <c r="D241" s="16">
        <v>19000000</v>
      </c>
      <c r="E241" s="17">
        <v>45292</v>
      </c>
      <c r="F241" s="18">
        <f>MONTH(Data!$E241)</f>
        <v>1</v>
      </c>
      <c r="G241" s="16">
        <f>YEAR(Data!$E241)</f>
        <v>2024</v>
      </c>
      <c r="H241" s="15" t="s">
        <v>29</v>
      </c>
      <c r="I241" s="15" t="str">
        <f t="shared" si="3"/>
        <v>Trường học</v>
      </c>
      <c r="J241" s="15" t="s">
        <v>1284</v>
      </c>
      <c r="K241" s="15" t="s">
        <v>1267</v>
      </c>
      <c r="L241" s="32">
        <f>Data!$D241/10^6</f>
        <v>19</v>
      </c>
    </row>
    <row r="242" spans="1:12" x14ac:dyDescent="0.25">
      <c r="A242" s="29" t="s">
        <v>48</v>
      </c>
      <c r="B242" s="15" t="s">
        <v>67</v>
      </c>
      <c r="C242" s="15" t="s">
        <v>10</v>
      </c>
      <c r="D242" s="16">
        <v>8918818</v>
      </c>
      <c r="E242" s="17">
        <v>45292</v>
      </c>
      <c r="F242" s="18">
        <f>MONTH(Data!$E242)</f>
        <v>1</v>
      </c>
      <c r="G242" s="16">
        <f>YEAR(Data!$E242)</f>
        <v>2024</v>
      </c>
      <c r="H242" s="15" t="s">
        <v>25</v>
      </c>
      <c r="I242" s="15" t="str">
        <f t="shared" si="3"/>
        <v>Trường học</v>
      </c>
      <c r="J242" s="15" t="s">
        <v>1285</v>
      </c>
      <c r="K242" s="15" t="s">
        <v>1262</v>
      </c>
      <c r="L242" s="32">
        <f>Data!$D242/10^6</f>
        <v>8.9188179999999999</v>
      </c>
    </row>
    <row r="243" spans="1:12" x14ac:dyDescent="0.25">
      <c r="A243" s="29" t="s">
        <v>59</v>
      </c>
      <c r="B243" s="15" t="s">
        <v>61</v>
      </c>
      <c r="C243" s="15" t="s">
        <v>10</v>
      </c>
      <c r="D243" s="16">
        <v>13636364</v>
      </c>
      <c r="E243" s="17">
        <v>45292</v>
      </c>
      <c r="F243" s="18">
        <f>MONTH(Data!$E243)</f>
        <v>1</v>
      </c>
      <c r="G243" s="16">
        <f>YEAR(Data!$E243)</f>
        <v>2024</v>
      </c>
      <c r="H243" s="15" t="s">
        <v>22</v>
      </c>
      <c r="I243" s="15" t="str">
        <f t="shared" si="3"/>
        <v>Trường học</v>
      </c>
      <c r="J243" s="15" t="s">
        <v>1284</v>
      </c>
      <c r="K243" s="15" t="s">
        <v>1262</v>
      </c>
      <c r="L243" s="32">
        <f>Data!$D243/10^6</f>
        <v>13.636364</v>
      </c>
    </row>
    <row r="244" spans="1:12" x14ac:dyDescent="0.25">
      <c r="A244" s="29" t="s">
        <v>28</v>
      </c>
      <c r="B244" s="15" t="s">
        <v>145</v>
      </c>
      <c r="C244" s="15" t="s">
        <v>10</v>
      </c>
      <c r="D244" s="16">
        <v>63636364</v>
      </c>
      <c r="E244" s="17">
        <v>45292</v>
      </c>
      <c r="F244" s="18">
        <f>MONTH(Data!$E244)</f>
        <v>1</v>
      </c>
      <c r="G244" s="16">
        <f>YEAR(Data!$E244)</f>
        <v>2024</v>
      </c>
      <c r="H244" s="15" t="s">
        <v>29</v>
      </c>
      <c r="I244" s="15" t="str">
        <f t="shared" si="3"/>
        <v>Trường học</v>
      </c>
      <c r="J244" s="15" t="s">
        <v>1285</v>
      </c>
      <c r="K244" s="15" t="s">
        <v>1267</v>
      </c>
      <c r="L244" s="32">
        <f>Data!$D244/10^6</f>
        <v>63.636364</v>
      </c>
    </row>
    <row r="245" spans="1:12" x14ac:dyDescent="0.25">
      <c r="A245" s="29" t="s">
        <v>59</v>
      </c>
      <c r="B245" s="15" t="s">
        <v>60</v>
      </c>
      <c r="C245" s="15" t="s">
        <v>10</v>
      </c>
      <c r="D245" s="16">
        <v>13245455</v>
      </c>
      <c r="E245" s="17">
        <v>45292</v>
      </c>
      <c r="F245" s="18">
        <f>MONTH(Data!$E245)</f>
        <v>1</v>
      </c>
      <c r="G245" s="16">
        <f>YEAR(Data!$E245)</f>
        <v>2024</v>
      </c>
      <c r="H245" s="15" t="s">
        <v>22</v>
      </c>
      <c r="I245" s="15" t="str">
        <f t="shared" si="3"/>
        <v>Trường học</v>
      </c>
      <c r="J245" s="15" t="s">
        <v>1284</v>
      </c>
      <c r="K245" s="15" t="s">
        <v>1262</v>
      </c>
      <c r="L245" s="32">
        <f>Data!$D245/10^6</f>
        <v>13.245455</v>
      </c>
    </row>
    <row r="246" spans="1:12" x14ac:dyDescent="0.25">
      <c r="A246" s="29" t="s">
        <v>13</v>
      </c>
      <c r="B246" s="15" t="s">
        <v>124</v>
      </c>
      <c r="C246" s="15" t="s">
        <v>10</v>
      </c>
      <c r="D246" s="16">
        <v>111739972</v>
      </c>
      <c r="E246" s="17">
        <v>45292</v>
      </c>
      <c r="F246" s="18">
        <f>MONTH(Data!$E246)</f>
        <v>1</v>
      </c>
      <c r="G246" s="16">
        <f>YEAR(Data!$E246)</f>
        <v>2024</v>
      </c>
      <c r="H246" s="15" t="s">
        <v>15</v>
      </c>
      <c r="I246" s="15" t="str">
        <f t="shared" si="3"/>
        <v>Trường học</v>
      </c>
      <c r="J246" s="15" t="s">
        <v>1285</v>
      </c>
      <c r="K246" s="15" t="s">
        <v>1263</v>
      </c>
      <c r="L246" s="32">
        <f>Data!$D246/10^6</f>
        <v>111.73997199999999</v>
      </c>
    </row>
    <row r="247" spans="1:12" x14ac:dyDescent="0.25">
      <c r="A247" s="29" t="s">
        <v>30</v>
      </c>
      <c r="B247" s="15" t="s">
        <v>93</v>
      </c>
      <c r="C247" s="15" t="s">
        <v>10</v>
      </c>
      <c r="D247" s="16">
        <v>71854545</v>
      </c>
      <c r="E247" s="17">
        <v>45292</v>
      </c>
      <c r="F247" s="18">
        <f>MONTH(Data!$E247)</f>
        <v>1</v>
      </c>
      <c r="G247" s="16">
        <f>YEAR(Data!$E247)</f>
        <v>2024</v>
      </c>
      <c r="H247" s="15" t="s">
        <v>32</v>
      </c>
      <c r="I247" s="15" t="str">
        <f t="shared" si="3"/>
        <v>Trường học</v>
      </c>
      <c r="J247" s="15" t="s">
        <v>1284</v>
      </c>
      <c r="K247" s="15" t="s">
        <v>1267</v>
      </c>
      <c r="L247" s="32">
        <f>Data!$D247/10^6</f>
        <v>71.854545000000002</v>
      </c>
    </row>
    <row r="248" spans="1:12" x14ac:dyDescent="0.25">
      <c r="A248" s="29" t="s">
        <v>30</v>
      </c>
      <c r="B248" s="15" t="s">
        <v>93</v>
      </c>
      <c r="C248" s="15" t="s">
        <v>10</v>
      </c>
      <c r="D248" s="16">
        <v>71854545</v>
      </c>
      <c r="E248" s="17">
        <v>45292</v>
      </c>
      <c r="F248" s="18">
        <f>MONTH(Data!$E248)</f>
        <v>1</v>
      </c>
      <c r="G248" s="16">
        <f>YEAR(Data!$E248)</f>
        <v>2024</v>
      </c>
      <c r="H248" s="15" t="s">
        <v>32</v>
      </c>
      <c r="I248" s="15" t="str">
        <f t="shared" si="3"/>
        <v>Trường học</v>
      </c>
      <c r="J248" s="15" t="s">
        <v>1285</v>
      </c>
      <c r="K248" s="15" t="s">
        <v>1267</v>
      </c>
      <c r="L248" s="32">
        <f>Data!$D248/10^6</f>
        <v>71.854545000000002</v>
      </c>
    </row>
    <row r="249" spans="1:12" x14ac:dyDescent="0.25">
      <c r="A249" s="29" t="s">
        <v>30</v>
      </c>
      <c r="B249" s="15" t="s">
        <v>93</v>
      </c>
      <c r="C249" s="15" t="s">
        <v>10</v>
      </c>
      <c r="D249" s="16">
        <v>35927273</v>
      </c>
      <c r="E249" s="17">
        <v>45292</v>
      </c>
      <c r="F249" s="18">
        <f>MONTH(Data!$E249)</f>
        <v>1</v>
      </c>
      <c r="G249" s="16">
        <f>YEAR(Data!$E249)</f>
        <v>2024</v>
      </c>
      <c r="H249" s="15" t="s">
        <v>32</v>
      </c>
      <c r="I249" s="15" t="str">
        <f t="shared" si="3"/>
        <v>Trường học</v>
      </c>
      <c r="J249" s="15" t="s">
        <v>1284</v>
      </c>
      <c r="K249" s="15" t="s">
        <v>1267</v>
      </c>
      <c r="L249" s="32">
        <f>Data!$D249/10^6</f>
        <v>35.927273</v>
      </c>
    </row>
    <row r="250" spans="1:12" x14ac:dyDescent="0.25">
      <c r="A250" s="29" t="s">
        <v>75</v>
      </c>
      <c r="B250" s="15" t="s">
        <v>135</v>
      </c>
      <c r="C250" s="15" t="s">
        <v>10</v>
      </c>
      <c r="D250" s="16">
        <v>32800909</v>
      </c>
      <c r="E250" s="17">
        <v>45292</v>
      </c>
      <c r="F250" s="18">
        <f>MONTH(Data!$E250)</f>
        <v>1</v>
      </c>
      <c r="G250" s="16">
        <f>YEAR(Data!$E250)</f>
        <v>2024</v>
      </c>
      <c r="H250" s="15" t="s">
        <v>15</v>
      </c>
      <c r="I250" s="15" t="str">
        <f t="shared" si="3"/>
        <v>Trường học</v>
      </c>
      <c r="J250" s="15" t="s">
        <v>1285</v>
      </c>
      <c r="K250" s="15" t="s">
        <v>1262</v>
      </c>
      <c r="L250" s="32">
        <f>Data!$D250/10^6</f>
        <v>32.800908999999997</v>
      </c>
    </row>
    <row r="251" spans="1:12" x14ac:dyDescent="0.25">
      <c r="A251" s="29" t="s">
        <v>73</v>
      </c>
      <c r="B251" s="15" t="s">
        <v>117</v>
      </c>
      <c r="C251" s="15" t="s">
        <v>10</v>
      </c>
      <c r="D251" s="16">
        <v>59045455</v>
      </c>
      <c r="E251" s="17">
        <v>45292</v>
      </c>
      <c r="F251" s="18">
        <f>MONTH(Data!$E251)</f>
        <v>1</v>
      </c>
      <c r="G251" s="16">
        <f>YEAR(Data!$E251)</f>
        <v>2024</v>
      </c>
      <c r="H251" s="15" t="s">
        <v>32</v>
      </c>
      <c r="I251" s="15" t="str">
        <f t="shared" si="3"/>
        <v>Trường học</v>
      </c>
      <c r="J251" s="15" t="s">
        <v>1284</v>
      </c>
      <c r="K251" s="15" t="s">
        <v>1262</v>
      </c>
      <c r="L251" s="32">
        <f>Data!$D251/10^6</f>
        <v>59.045454999999997</v>
      </c>
    </row>
    <row r="252" spans="1:12" x14ac:dyDescent="0.25">
      <c r="A252" s="29" t="s">
        <v>92</v>
      </c>
      <c r="B252" s="15" t="s">
        <v>122</v>
      </c>
      <c r="C252" s="15" t="s">
        <v>10</v>
      </c>
      <c r="D252" s="16">
        <v>45272727</v>
      </c>
      <c r="E252" s="17">
        <v>45292</v>
      </c>
      <c r="F252" s="18">
        <f>MONTH(Data!$E252)</f>
        <v>1</v>
      </c>
      <c r="G252" s="16">
        <f>YEAR(Data!$E252)</f>
        <v>2024</v>
      </c>
      <c r="H252" s="15" t="s">
        <v>29</v>
      </c>
      <c r="I252" s="15" t="str">
        <f t="shared" si="3"/>
        <v>Trường học</v>
      </c>
      <c r="J252" s="15" t="s">
        <v>1285</v>
      </c>
      <c r="K252" s="15" t="s">
        <v>1262</v>
      </c>
      <c r="L252" s="32">
        <f>Data!$D252/10^6</f>
        <v>45.272727000000003</v>
      </c>
    </row>
    <row r="253" spans="1:12" x14ac:dyDescent="0.25">
      <c r="A253" s="29" t="s">
        <v>92</v>
      </c>
      <c r="B253" s="15" t="s">
        <v>163</v>
      </c>
      <c r="C253" s="15" t="s">
        <v>10</v>
      </c>
      <c r="D253" s="16">
        <v>89501091</v>
      </c>
      <c r="E253" s="17">
        <v>45292</v>
      </c>
      <c r="F253" s="18">
        <f>MONTH(Data!$E253)</f>
        <v>1</v>
      </c>
      <c r="G253" s="16">
        <f>YEAR(Data!$E253)</f>
        <v>2024</v>
      </c>
      <c r="H253" s="15" t="s">
        <v>29</v>
      </c>
      <c r="I253" s="15" t="str">
        <f t="shared" si="3"/>
        <v>Trường học</v>
      </c>
      <c r="J253" s="15" t="s">
        <v>1284</v>
      </c>
      <c r="K253" s="15" t="s">
        <v>1262</v>
      </c>
      <c r="L253" s="32">
        <f>Data!$D253/10^6</f>
        <v>89.501091000000002</v>
      </c>
    </row>
    <row r="254" spans="1:12" x14ac:dyDescent="0.25">
      <c r="A254" s="29" t="s">
        <v>39</v>
      </c>
      <c r="B254" s="15" t="s">
        <v>40</v>
      </c>
      <c r="C254" s="15" t="s">
        <v>41</v>
      </c>
      <c r="D254" s="16">
        <v>580909091</v>
      </c>
      <c r="E254" s="17">
        <v>45292</v>
      </c>
      <c r="F254" s="18">
        <f>MONTH(Data!$E254)</f>
        <v>1</v>
      </c>
      <c r="G254" s="16">
        <f>YEAR(Data!$E254)</f>
        <v>2024</v>
      </c>
      <c r="H254" s="15" t="s">
        <v>42</v>
      </c>
      <c r="I254" s="15" t="str">
        <f t="shared" si="3"/>
        <v>Trường học</v>
      </c>
      <c r="J254" s="15" t="s">
        <v>1285</v>
      </c>
      <c r="K254" s="15" t="s">
        <v>1270</v>
      </c>
      <c r="L254" s="32">
        <f>Data!$D254/10^6</f>
        <v>580.90909099999999</v>
      </c>
    </row>
    <row r="255" spans="1:12" x14ac:dyDescent="0.25">
      <c r="A255" s="29" t="s">
        <v>39</v>
      </c>
      <c r="B255" s="15" t="s">
        <v>40</v>
      </c>
      <c r="C255" s="15" t="s">
        <v>41</v>
      </c>
      <c r="D255" s="16">
        <v>580909091</v>
      </c>
      <c r="E255" s="17">
        <v>45292</v>
      </c>
      <c r="F255" s="18">
        <f>MONTH(Data!$E255)</f>
        <v>1</v>
      </c>
      <c r="G255" s="16">
        <f>YEAR(Data!$E255)</f>
        <v>2024</v>
      </c>
      <c r="H255" s="15" t="s">
        <v>42</v>
      </c>
      <c r="I255" s="15" t="str">
        <f t="shared" si="3"/>
        <v>Trường học</v>
      </c>
      <c r="J255" s="15" t="s">
        <v>1284</v>
      </c>
      <c r="K255" s="15" t="s">
        <v>1270</v>
      </c>
      <c r="L255" s="32">
        <f>Data!$D255/10^6</f>
        <v>580.90909099999999</v>
      </c>
    </row>
    <row r="256" spans="1:12" x14ac:dyDescent="0.25">
      <c r="A256" s="29" t="s">
        <v>17</v>
      </c>
      <c r="B256" s="15" t="s">
        <v>113</v>
      </c>
      <c r="C256" s="15" t="s">
        <v>10</v>
      </c>
      <c r="D256" s="16">
        <v>27180000</v>
      </c>
      <c r="E256" s="17">
        <v>45292</v>
      </c>
      <c r="F256" s="18">
        <f>MONTH(Data!$E256)</f>
        <v>1</v>
      </c>
      <c r="G256" s="16">
        <f>YEAR(Data!$E256)</f>
        <v>2024</v>
      </c>
      <c r="H256" s="15" t="s">
        <v>11</v>
      </c>
      <c r="I256" s="15" t="str">
        <f t="shared" si="3"/>
        <v>Trường học</v>
      </c>
      <c r="J256" s="15" t="s">
        <v>1285</v>
      </c>
      <c r="K256" s="15" t="s">
        <v>1267</v>
      </c>
      <c r="L256" s="32">
        <f>Data!$D256/10^6</f>
        <v>27.18</v>
      </c>
    </row>
    <row r="257" spans="1:12" x14ac:dyDescent="0.25">
      <c r="A257" s="29" t="s">
        <v>17</v>
      </c>
      <c r="B257" s="15" t="s">
        <v>134</v>
      </c>
      <c r="C257" s="15" t="s">
        <v>10</v>
      </c>
      <c r="D257" s="16">
        <v>41970000</v>
      </c>
      <c r="E257" s="17">
        <v>45292</v>
      </c>
      <c r="F257" s="18">
        <f>MONTH(Data!$E257)</f>
        <v>1</v>
      </c>
      <c r="G257" s="16">
        <f>YEAR(Data!$E257)</f>
        <v>2024</v>
      </c>
      <c r="H257" s="15" t="s">
        <v>11</v>
      </c>
      <c r="I257" s="15" t="str">
        <f t="shared" si="3"/>
        <v>Trường học</v>
      </c>
      <c r="J257" s="15" t="s">
        <v>1284</v>
      </c>
      <c r="K257" s="15" t="s">
        <v>1262</v>
      </c>
      <c r="L257" s="32">
        <f>Data!$D257/10^6</f>
        <v>41.97</v>
      </c>
    </row>
    <row r="258" spans="1:12" x14ac:dyDescent="0.25">
      <c r="A258" s="29" t="s">
        <v>56</v>
      </c>
      <c r="B258" s="15" t="s">
        <v>58</v>
      </c>
      <c r="C258" s="15" t="s">
        <v>10</v>
      </c>
      <c r="D258" s="16">
        <v>31272727</v>
      </c>
      <c r="E258" s="17">
        <v>45292</v>
      </c>
      <c r="F258" s="18">
        <f>MONTH(Data!$E258)</f>
        <v>1</v>
      </c>
      <c r="G258" s="16">
        <f>YEAR(Data!$E258)</f>
        <v>2024</v>
      </c>
      <c r="H258" s="15" t="s">
        <v>25</v>
      </c>
      <c r="I258" s="15" t="str">
        <f t="shared" si="3"/>
        <v>Trường học</v>
      </c>
      <c r="J258" s="15" t="s">
        <v>1285</v>
      </c>
      <c r="K258" s="15" t="s">
        <v>1262</v>
      </c>
      <c r="L258" s="32">
        <f>Data!$D258/10^6</f>
        <v>31.272727</v>
      </c>
    </row>
    <row r="259" spans="1:12" x14ac:dyDescent="0.25">
      <c r="A259" s="29" t="s">
        <v>72</v>
      </c>
      <c r="B259" s="15" t="s">
        <v>118</v>
      </c>
      <c r="C259" s="15" t="s">
        <v>10</v>
      </c>
      <c r="D259" s="16">
        <v>40000000</v>
      </c>
      <c r="E259" s="17">
        <v>45292</v>
      </c>
      <c r="F259" s="18">
        <f>MONTH(Data!$E259)</f>
        <v>1</v>
      </c>
      <c r="G259" s="16">
        <f>YEAR(Data!$E259)</f>
        <v>2024</v>
      </c>
      <c r="H259" s="15" t="s">
        <v>22</v>
      </c>
      <c r="I259" s="15" t="str">
        <f t="shared" ref="I259:I322" si="4">IF(ISNUMBER(SEARCH("Công ty",$B259)),"Doanh nghiệp",IF(ISNUMBER(SEARCH("Doanh nghiệp",$B259)),"Doanh nghiệp",IF(ISNUMBER(SEARCH("Tập đoàn",$B259)),"Doanh nghiệp",
IF(ISNUMBER(SEARCH("Bệnh viện",$B259)),"Bệnh viện",
IF(ISNUMBER(SEARCH("Ngân hàng",$B259)),"Ngân hàng",IF(ISNUMBER(SEARCH("trường",$B259)),"Trường học",IF(ISNUMBER(SEARCH("học viện",$B259)),"Trường học",
IF(ISNUMBER(SEARCH("Bộ",$B259)),"Sở ban ngành",IF(ISNUMBER(SEARCH("Đoàn",$B259)),"Sở ban ngành",IF(ISNUMBER(SEARCH("Phòng",$B259)),"Sở ban ngành",IF(ISNUMBER(SEARCH("UBND",$B259)),"Sở ban ngành",IF(ISNUMBER(SEARCH("ủy ban",$B259)),"Sở ban ngành",IF(ISNUMBER(SEARCH("công an",$B259)),"Sở ban ngành",IF(ISNUMBER(SEARCH("sở",$B259)),"Sở ban ngành",IF(ISNUMBER(SEARCH("thôn",$B259)),"Sở ban ngành",IF(ISNUMBER(SEARCH("xã",$B259)),"Sở ban ngành",IF(ISNUMBER(SEARCH("quân khu",$B259)),"Sở ban ngành",IF(ISNUMBER(SEARCH("cục",$B259)),"Sở ban ngành",IF(ISNUMBER(SEARCH("viện",$B259)),"Sở ban ngành",IF(ISNUMBER(SEARCH("quỹ",$B259)),"Sở ban ngành",IF(ISNUMBER(SEARCH("trung tâm",$B259)),"Sở ban ngành",IF(ISNUMBER(SEARCH("quân chủng",$B259)),"Sở ban ngành",IF(ISNUMBER(SEARCH("hội",$B259)),"Sở ban ngành",
"Khác")))))))))))))))))))))))</f>
        <v>Trường học</v>
      </c>
      <c r="J259" s="15" t="s">
        <v>1284</v>
      </c>
      <c r="K259" s="15" t="s">
        <v>1262</v>
      </c>
      <c r="L259" s="32">
        <f>Data!$D259/10^6</f>
        <v>40</v>
      </c>
    </row>
    <row r="260" spans="1:12" x14ac:dyDescent="0.25">
      <c r="A260" s="29" t="s">
        <v>75</v>
      </c>
      <c r="B260" s="15" t="s">
        <v>83</v>
      </c>
      <c r="C260" s="15" t="s">
        <v>10</v>
      </c>
      <c r="D260" s="16">
        <v>8590909</v>
      </c>
      <c r="E260" s="17">
        <v>45292</v>
      </c>
      <c r="F260" s="18">
        <f>MONTH(Data!$E260)</f>
        <v>1</v>
      </c>
      <c r="G260" s="16">
        <f>YEAR(Data!$E260)</f>
        <v>2024</v>
      </c>
      <c r="H260" s="15" t="s">
        <v>15</v>
      </c>
      <c r="I260" s="15" t="str">
        <f t="shared" si="4"/>
        <v>Trường học</v>
      </c>
      <c r="J260" s="15" t="s">
        <v>1285</v>
      </c>
      <c r="K260" s="15" t="s">
        <v>1262</v>
      </c>
      <c r="L260" s="32">
        <f>Data!$D260/10^6</f>
        <v>8.5909089999999999</v>
      </c>
    </row>
    <row r="261" spans="1:12" x14ac:dyDescent="0.25">
      <c r="A261" s="29" t="s">
        <v>109</v>
      </c>
      <c r="B261" s="15" t="s">
        <v>126</v>
      </c>
      <c r="C261" s="15" t="s">
        <v>10</v>
      </c>
      <c r="D261" s="16">
        <v>4159091</v>
      </c>
      <c r="E261" s="17">
        <v>45292</v>
      </c>
      <c r="F261" s="18">
        <f>MONTH(Data!$E261)</f>
        <v>1</v>
      </c>
      <c r="G261" s="16">
        <f>YEAR(Data!$E261)</f>
        <v>2024</v>
      </c>
      <c r="H261" s="15" t="s">
        <v>22</v>
      </c>
      <c r="I261" s="15" t="str">
        <f t="shared" si="4"/>
        <v>Trường học</v>
      </c>
      <c r="J261" s="15" t="s">
        <v>1284</v>
      </c>
      <c r="K261" s="15" t="s">
        <v>1262</v>
      </c>
      <c r="L261" s="32">
        <f>Data!$D261/10^6</f>
        <v>4.1590910000000001</v>
      </c>
    </row>
    <row r="262" spans="1:12" x14ac:dyDescent="0.25">
      <c r="A262" s="29" t="s">
        <v>74</v>
      </c>
      <c r="B262" s="15" t="s">
        <v>159</v>
      </c>
      <c r="C262" s="15" t="s">
        <v>149</v>
      </c>
      <c r="D262" s="16">
        <v>53991818</v>
      </c>
      <c r="E262" s="17">
        <v>45292</v>
      </c>
      <c r="F262" s="18">
        <f>MONTH(Data!$E262)</f>
        <v>1</v>
      </c>
      <c r="G262" s="16">
        <f>YEAR(Data!$E262)</f>
        <v>2024</v>
      </c>
      <c r="H262" s="15" t="s">
        <v>11</v>
      </c>
      <c r="I262" s="15" t="str">
        <f t="shared" si="4"/>
        <v>Trường học</v>
      </c>
      <c r="J262" s="15" t="s">
        <v>1285</v>
      </c>
      <c r="K262" s="15" t="s">
        <v>1263</v>
      </c>
      <c r="L262" s="32">
        <f>Data!$D262/10^6</f>
        <v>53.991818000000002</v>
      </c>
    </row>
    <row r="263" spans="1:12" x14ac:dyDescent="0.25">
      <c r="A263" s="29" t="s">
        <v>36</v>
      </c>
      <c r="B263" s="15" t="s">
        <v>147</v>
      </c>
      <c r="C263" s="15" t="s">
        <v>10</v>
      </c>
      <c r="D263" s="16">
        <v>34490000</v>
      </c>
      <c r="E263" s="17">
        <v>45292</v>
      </c>
      <c r="F263" s="18">
        <f>MONTH(Data!$E263)</f>
        <v>1</v>
      </c>
      <c r="G263" s="16">
        <f>YEAR(Data!$E263)</f>
        <v>2024</v>
      </c>
      <c r="H263" s="15" t="s">
        <v>15</v>
      </c>
      <c r="I263" s="15" t="str">
        <f t="shared" si="4"/>
        <v>Trường học</v>
      </c>
      <c r="J263" s="15" t="s">
        <v>1284</v>
      </c>
      <c r="K263" s="15" t="s">
        <v>1262</v>
      </c>
      <c r="L263" s="32">
        <f>Data!$D263/10^6</f>
        <v>34.49</v>
      </c>
    </row>
    <row r="264" spans="1:12" x14ac:dyDescent="0.25">
      <c r="A264" s="30" t="s">
        <v>218</v>
      </c>
      <c r="B264" s="19" t="s">
        <v>805</v>
      </c>
      <c r="C264" s="19" t="s">
        <v>14</v>
      </c>
      <c r="D264" s="20">
        <v>336009091</v>
      </c>
      <c r="E264" s="21">
        <v>45658</v>
      </c>
      <c r="F264" s="18">
        <f>MONTH(Data!$E264)</f>
        <v>1</v>
      </c>
      <c r="G264" s="16">
        <f>YEAR(Data!$E264)</f>
        <v>2025</v>
      </c>
      <c r="H264" s="19" t="s">
        <v>15</v>
      </c>
      <c r="I264" s="15" t="str">
        <f t="shared" si="4"/>
        <v>Bệnh viện</v>
      </c>
      <c r="J264" s="15" t="s">
        <v>1285</v>
      </c>
      <c r="K264" s="19" t="s">
        <v>1264</v>
      </c>
      <c r="L264" s="32">
        <f>Data!$D264/10^6</f>
        <v>336.00909100000001</v>
      </c>
    </row>
    <row r="265" spans="1:12" x14ac:dyDescent="0.25">
      <c r="A265" s="30" t="s">
        <v>62</v>
      </c>
      <c r="B265" s="19" t="s">
        <v>808</v>
      </c>
      <c r="C265" s="19" t="s">
        <v>10</v>
      </c>
      <c r="D265" s="20">
        <v>43000000</v>
      </c>
      <c r="E265" s="21">
        <v>45658</v>
      </c>
      <c r="F265" s="18">
        <f>MONTH(Data!$E265)</f>
        <v>1</v>
      </c>
      <c r="G265" s="16">
        <f>YEAR(Data!$E265)</f>
        <v>2025</v>
      </c>
      <c r="H265" s="19" t="s">
        <v>15</v>
      </c>
      <c r="I265" s="15" t="str">
        <f t="shared" si="4"/>
        <v>Bệnh viện</v>
      </c>
      <c r="J265" s="15" t="s">
        <v>1284</v>
      </c>
      <c r="K265" s="19" t="s">
        <v>1278</v>
      </c>
      <c r="L265" s="32">
        <f>Data!$D265/10^6</f>
        <v>43</v>
      </c>
    </row>
    <row r="266" spans="1:12" x14ac:dyDescent="0.25">
      <c r="A266" s="30" t="s">
        <v>33</v>
      </c>
      <c r="B266" s="15" t="s">
        <v>1026</v>
      </c>
      <c r="C266" s="19" t="s">
        <v>14</v>
      </c>
      <c r="D266" s="20">
        <v>4144945010</v>
      </c>
      <c r="E266" s="21">
        <v>45658</v>
      </c>
      <c r="F266" s="18">
        <f>MONTH(Data!$E266)</f>
        <v>1</v>
      </c>
      <c r="G266" s="16">
        <f>YEAR(Data!$E266)</f>
        <v>2025</v>
      </c>
      <c r="H266" s="19" t="s">
        <v>35</v>
      </c>
      <c r="I266" s="15" t="str">
        <f t="shared" si="4"/>
        <v>Doanh nghiệp</v>
      </c>
      <c r="J266" s="15" t="s">
        <v>1285</v>
      </c>
      <c r="K266" s="19" t="s">
        <v>1273</v>
      </c>
      <c r="L266" s="32">
        <f>Data!$D266/10^6</f>
        <v>4144.9450100000004</v>
      </c>
    </row>
    <row r="267" spans="1:12" x14ac:dyDescent="0.25">
      <c r="A267" s="30" t="s">
        <v>51</v>
      </c>
      <c r="B267" s="15" t="s">
        <v>1057</v>
      </c>
      <c r="C267" s="19" t="s">
        <v>10</v>
      </c>
      <c r="D267" s="20">
        <v>18943636</v>
      </c>
      <c r="E267" s="21">
        <v>45658</v>
      </c>
      <c r="F267" s="18">
        <f>MONTH(Data!$E267)</f>
        <v>1</v>
      </c>
      <c r="G267" s="16">
        <f>YEAR(Data!$E267)</f>
        <v>2025</v>
      </c>
      <c r="H267" s="19" t="s">
        <v>42</v>
      </c>
      <c r="I267" s="15" t="str">
        <f t="shared" si="4"/>
        <v>Doanh nghiệp</v>
      </c>
      <c r="J267" s="15" t="s">
        <v>1284</v>
      </c>
      <c r="K267" s="19" t="s">
        <v>1262</v>
      </c>
      <c r="L267" s="32">
        <f>Data!$D267/10^6</f>
        <v>18.943636000000001</v>
      </c>
    </row>
    <row r="268" spans="1:12" x14ac:dyDescent="0.25">
      <c r="A268" s="30" t="s">
        <v>23</v>
      </c>
      <c r="B268" s="15" t="s">
        <v>1054</v>
      </c>
      <c r="C268" s="19" t="s">
        <v>46</v>
      </c>
      <c r="D268" s="20">
        <v>476726350</v>
      </c>
      <c r="E268" s="21">
        <v>45658</v>
      </c>
      <c r="F268" s="18">
        <f>MONTH(Data!$E268)</f>
        <v>1</v>
      </c>
      <c r="G268" s="16">
        <f>YEAR(Data!$E268)</f>
        <v>2025</v>
      </c>
      <c r="H268" s="19" t="s">
        <v>25</v>
      </c>
      <c r="I268" s="15" t="str">
        <f t="shared" si="4"/>
        <v>Doanh nghiệp</v>
      </c>
      <c r="J268" s="15" t="s">
        <v>1285</v>
      </c>
      <c r="K268" s="19" t="s">
        <v>1265</v>
      </c>
      <c r="L268" s="32">
        <f>Data!$D268/10^6</f>
        <v>476.72635000000002</v>
      </c>
    </row>
    <row r="269" spans="1:12" x14ac:dyDescent="0.25">
      <c r="A269" s="30" t="s">
        <v>160</v>
      </c>
      <c r="B269" s="15" t="s">
        <v>1066</v>
      </c>
      <c r="C269" s="19" t="s">
        <v>14</v>
      </c>
      <c r="D269" s="20">
        <v>189189182</v>
      </c>
      <c r="E269" s="21">
        <v>45658</v>
      </c>
      <c r="F269" s="18">
        <f>MONTH(Data!$E269)</f>
        <v>1</v>
      </c>
      <c r="G269" s="16">
        <f>YEAR(Data!$E269)</f>
        <v>2025</v>
      </c>
      <c r="H269" s="19" t="s">
        <v>35</v>
      </c>
      <c r="I269" s="15" t="str">
        <f t="shared" si="4"/>
        <v>Doanh nghiệp</v>
      </c>
      <c r="J269" s="15" t="s">
        <v>1284</v>
      </c>
      <c r="K269" s="19" t="s">
        <v>1264</v>
      </c>
      <c r="L269" s="32">
        <f>Data!$D269/10^6</f>
        <v>189.18918199999999</v>
      </c>
    </row>
    <row r="270" spans="1:12" x14ac:dyDescent="0.25">
      <c r="A270" s="30" t="s">
        <v>87</v>
      </c>
      <c r="B270" s="15" t="s">
        <v>1087</v>
      </c>
      <c r="C270" s="19" t="s">
        <v>46</v>
      </c>
      <c r="D270" s="20">
        <v>49090909</v>
      </c>
      <c r="E270" s="21">
        <v>45658</v>
      </c>
      <c r="F270" s="18">
        <f>MONTH(Data!$E270)</f>
        <v>1</v>
      </c>
      <c r="G270" s="16">
        <f>YEAR(Data!$E270)</f>
        <v>2025</v>
      </c>
      <c r="H270" s="19" t="s">
        <v>29</v>
      </c>
      <c r="I270" s="15" t="str">
        <f t="shared" si="4"/>
        <v>Doanh nghiệp</v>
      </c>
      <c r="J270" s="15" t="s">
        <v>1285</v>
      </c>
      <c r="K270" s="19" t="s">
        <v>1271</v>
      </c>
      <c r="L270" s="32">
        <f>Data!$D270/10^6</f>
        <v>49.090909000000003</v>
      </c>
    </row>
    <row r="271" spans="1:12" x14ac:dyDescent="0.25">
      <c r="A271" s="30" t="s">
        <v>21</v>
      </c>
      <c r="B271" s="15" t="s">
        <v>1116</v>
      </c>
      <c r="C271" s="19" t="s">
        <v>10</v>
      </c>
      <c r="D271" s="20">
        <v>4935455</v>
      </c>
      <c r="E271" s="21">
        <v>45658</v>
      </c>
      <c r="F271" s="18">
        <f>MONTH(Data!$E271)</f>
        <v>1</v>
      </c>
      <c r="G271" s="16">
        <f>YEAR(Data!$E271)</f>
        <v>2025</v>
      </c>
      <c r="H271" s="19" t="s">
        <v>22</v>
      </c>
      <c r="I271" s="15" t="str">
        <f t="shared" si="4"/>
        <v>Doanh nghiệp</v>
      </c>
      <c r="J271" s="15" t="s">
        <v>1284</v>
      </c>
      <c r="K271" s="19" t="s">
        <v>1263</v>
      </c>
      <c r="L271" s="32">
        <f>Data!$D271/10^6</f>
        <v>4.9354550000000001</v>
      </c>
    </row>
    <row r="272" spans="1:12" x14ac:dyDescent="0.25">
      <c r="A272" s="30" t="s">
        <v>98</v>
      </c>
      <c r="B272" s="15" t="s">
        <v>1027</v>
      </c>
      <c r="C272" s="19" t="s">
        <v>149</v>
      </c>
      <c r="D272" s="20">
        <v>24886364</v>
      </c>
      <c r="E272" s="21">
        <v>45658</v>
      </c>
      <c r="F272" s="18">
        <f>MONTH(Data!$E272)</f>
        <v>1</v>
      </c>
      <c r="G272" s="16">
        <f>YEAR(Data!$E272)</f>
        <v>2025</v>
      </c>
      <c r="H272" s="19" t="s">
        <v>11</v>
      </c>
      <c r="I272" s="15" t="str">
        <f t="shared" si="4"/>
        <v>Doanh nghiệp</v>
      </c>
      <c r="J272" s="15" t="s">
        <v>1285</v>
      </c>
      <c r="K272" s="19" t="s">
        <v>1263</v>
      </c>
      <c r="L272" s="32">
        <f>Data!$D272/10^6</f>
        <v>24.886364</v>
      </c>
    </row>
    <row r="273" spans="1:12" x14ac:dyDescent="0.25">
      <c r="A273" s="30" t="s">
        <v>59</v>
      </c>
      <c r="B273" s="15" t="s">
        <v>1065</v>
      </c>
      <c r="C273" s="19" t="s">
        <v>10</v>
      </c>
      <c r="D273" s="20">
        <v>49418182</v>
      </c>
      <c r="E273" s="21">
        <v>45658</v>
      </c>
      <c r="F273" s="18">
        <f>MONTH(Data!$E273)</f>
        <v>1</v>
      </c>
      <c r="G273" s="16">
        <f>YEAR(Data!$E273)</f>
        <v>2025</v>
      </c>
      <c r="H273" s="19" t="s">
        <v>22</v>
      </c>
      <c r="I273" s="15" t="str">
        <f t="shared" si="4"/>
        <v>Doanh nghiệp</v>
      </c>
      <c r="J273" s="15" t="s">
        <v>1284</v>
      </c>
      <c r="K273" s="19" t="s">
        <v>1262</v>
      </c>
      <c r="L273" s="32">
        <f>Data!$D273/10^6</f>
        <v>49.418182000000002</v>
      </c>
    </row>
    <row r="274" spans="1:12" x14ac:dyDescent="0.25">
      <c r="A274" s="30" t="s">
        <v>27</v>
      </c>
      <c r="B274" s="15" t="s">
        <v>1074</v>
      </c>
      <c r="C274" s="19" t="s">
        <v>10</v>
      </c>
      <c r="D274" s="20">
        <v>50984000</v>
      </c>
      <c r="E274" s="21">
        <v>45658</v>
      </c>
      <c r="F274" s="18">
        <f>MONTH(Data!$E274)</f>
        <v>1</v>
      </c>
      <c r="G274" s="16">
        <f>YEAR(Data!$E274)</f>
        <v>2025</v>
      </c>
      <c r="H274" s="19" t="s">
        <v>11</v>
      </c>
      <c r="I274" s="15" t="str">
        <f t="shared" si="4"/>
        <v>Doanh nghiệp</v>
      </c>
      <c r="J274" s="15" t="s">
        <v>1285</v>
      </c>
      <c r="K274" s="19" t="s">
        <v>1263</v>
      </c>
      <c r="L274" s="32">
        <f>Data!$D274/10^6</f>
        <v>50.984000000000002</v>
      </c>
    </row>
    <row r="275" spans="1:12" x14ac:dyDescent="0.25">
      <c r="A275" s="30" t="s">
        <v>74</v>
      </c>
      <c r="B275" s="15" t="s">
        <v>1119</v>
      </c>
      <c r="C275" s="19" t="s">
        <v>149</v>
      </c>
      <c r="D275" s="20">
        <v>224730455</v>
      </c>
      <c r="E275" s="21">
        <v>45658</v>
      </c>
      <c r="F275" s="18">
        <f>MONTH(Data!$E275)</f>
        <v>1</v>
      </c>
      <c r="G275" s="16">
        <f>YEAR(Data!$E275)</f>
        <v>2025</v>
      </c>
      <c r="H275" s="19" t="s">
        <v>11</v>
      </c>
      <c r="I275" s="15" t="str">
        <f t="shared" si="4"/>
        <v>Doanh nghiệp</v>
      </c>
      <c r="J275" s="15" t="s">
        <v>1284</v>
      </c>
      <c r="K275" s="19" t="s">
        <v>1263</v>
      </c>
      <c r="L275" s="32">
        <f>Data!$D275/10^6</f>
        <v>224.73045500000001</v>
      </c>
    </row>
    <row r="276" spans="1:12" x14ac:dyDescent="0.25">
      <c r="A276" s="30" t="s">
        <v>74</v>
      </c>
      <c r="B276" s="15" t="s">
        <v>1120</v>
      </c>
      <c r="C276" s="19" t="s">
        <v>149</v>
      </c>
      <c r="D276" s="20">
        <v>292753373</v>
      </c>
      <c r="E276" s="21">
        <v>45658</v>
      </c>
      <c r="F276" s="18">
        <f>MONTH(Data!$E276)</f>
        <v>1</v>
      </c>
      <c r="G276" s="16">
        <f>YEAR(Data!$E276)</f>
        <v>2025</v>
      </c>
      <c r="H276" s="19" t="s">
        <v>11</v>
      </c>
      <c r="I276" s="15" t="str">
        <f t="shared" si="4"/>
        <v>Doanh nghiệp</v>
      </c>
      <c r="J276" s="15" t="s">
        <v>1285</v>
      </c>
      <c r="K276" s="19" t="s">
        <v>1263</v>
      </c>
      <c r="L276" s="32">
        <f>Data!$D276/10^6</f>
        <v>292.75337300000001</v>
      </c>
    </row>
    <row r="277" spans="1:12" x14ac:dyDescent="0.25">
      <c r="A277" s="30" t="s">
        <v>56</v>
      </c>
      <c r="B277" s="15" t="s">
        <v>1034</v>
      </c>
      <c r="C277" s="19" t="s">
        <v>10</v>
      </c>
      <c r="D277" s="20">
        <v>148586818</v>
      </c>
      <c r="E277" s="21">
        <v>45658</v>
      </c>
      <c r="F277" s="18">
        <f>MONTH(Data!$E277)</f>
        <v>1</v>
      </c>
      <c r="G277" s="16">
        <f>YEAR(Data!$E277)</f>
        <v>2025</v>
      </c>
      <c r="H277" s="19" t="s">
        <v>25</v>
      </c>
      <c r="I277" s="15" t="str">
        <f t="shared" si="4"/>
        <v>Doanh nghiệp</v>
      </c>
      <c r="J277" s="15" t="s">
        <v>1284</v>
      </c>
      <c r="K277" s="19" t="s">
        <v>1262</v>
      </c>
      <c r="L277" s="32">
        <f>Data!$D277/10^6</f>
        <v>148.58681799999999</v>
      </c>
    </row>
    <row r="278" spans="1:12" x14ac:dyDescent="0.25">
      <c r="A278" s="30" t="s">
        <v>59</v>
      </c>
      <c r="B278" s="15" t="s">
        <v>1084</v>
      </c>
      <c r="C278" s="19" t="s">
        <v>149</v>
      </c>
      <c r="D278" s="20">
        <v>178230000</v>
      </c>
      <c r="E278" s="21">
        <v>45658</v>
      </c>
      <c r="F278" s="18">
        <f>MONTH(Data!$E278)</f>
        <v>1</v>
      </c>
      <c r="G278" s="16">
        <f>YEAR(Data!$E278)</f>
        <v>2025</v>
      </c>
      <c r="H278" s="19" t="s">
        <v>22</v>
      </c>
      <c r="I278" s="15" t="str">
        <f t="shared" si="4"/>
        <v>Doanh nghiệp</v>
      </c>
      <c r="J278" s="15" t="s">
        <v>1285</v>
      </c>
      <c r="K278" s="19" t="s">
        <v>1262</v>
      </c>
      <c r="L278" s="32">
        <f>Data!$D278/10^6</f>
        <v>178.23</v>
      </c>
    </row>
    <row r="279" spans="1:12" x14ac:dyDescent="0.25">
      <c r="A279" s="30" t="s">
        <v>74</v>
      </c>
      <c r="B279" s="15" t="s">
        <v>1028</v>
      </c>
      <c r="C279" s="19" t="s">
        <v>149</v>
      </c>
      <c r="D279" s="20">
        <v>83818182</v>
      </c>
      <c r="E279" s="21">
        <v>45658</v>
      </c>
      <c r="F279" s="18">
        <f>MONTH(Data!$E279)</f>
        <v>1</v>
      </c>
      <c r="G279" s="16">
        <f>YEAR(Data!$E279)</f>
        <v>2025</v>
      </c>
      <c r="H279" s="19" t="s">
        <v>11</v>
      </c>
      <c r="I279" s="15" t="str">
        <f t="shared" si="4"/>
        <v>Doanh nghiệp</v>
      </c>
      <c r="J279" s="15" t="s">
        <v>1284</v>
      </c>
      <c r="K279" s="19" t="s">
        <v>1263</v>
      </c>
      <c r="L279" s="32">
        <f>Data!$D279/10^6</f>
        <v>83.818181999999993</v>
      </c>
    </row>
    <row r="280" spans="1:12" x14ac:dyDescent="0.25">
      <c r="A280" s="30" t="s">
        <v>268</v>
      </c>
      <c r="B280" s="15" t="s">
        <v>1060</v>
      </c>
      <c r="C280" s="19" t="s">
        <v>14</v>
      </c>
      <c r="D280" s="20">
        <v>533059091</v>
      </c>
      <c r="E280" s="21">
        <v>45658</v>
      </c>
      <c r="F280" s="18">
        <f>MONTH(Data!$E280)</f>
        <v>1</v>
      </c>
      <c r="G280" s="16">
        <f>YEAR(Data!$E280)</f>
        <v>2025</v>
      </c>
      <c r="H280" s="19" t="s">
        <v>25</v>
      </c>
      <c r="I280" s="15" t="str">
        <f t="shared" si="4"/>
        <v>Doanh nghiệp</v>
      </c>
      <c r="J280" s="15" t="s">
        <v>1285</v>
      </c>
      <c r="K280" s="19" t="s">
        <v>1264</v>
      </c>
      <c r="L280" s="32">
        <f>Data!$D280/10^6</f>
        <v>533.05909099999997</v>
      </c>
    </row>
    <row r="281" spans="1:12" x14ac:dyDescent="0.25">
      <c r="A281" s="30" t="s">
        <v>85</v>
      </c>
      <c r="B281" s="15" t="s">
        <v>1071</v>
      </c>
      <c r="C281" s="19" t="s">
        <v>14</v>
      </c>
      <c r="D281" s="20">
        <v>7689925366</v>
      </c>
      <c r="E281" s="21">
        <v>45658</v>
      </c>
      <c r="F281" s="18">
        <f>MONTH(Data!$E281)</f>
        <v>1</v>
      </c>
      <c r="G281" s="16">
        <f>YEAR(Data!$E281)</f>
        <v>2025</v>
      </c>
      <c r="H281" s="19" t="s">
        <v>15</v>
      </c>
      <c r="I281" s="15" t="str">
        <f t="shared" si="4"/>
        <v>Doanh nghiệp</v>
      </c>
      <c r="J281" s="15" t="s">
        <v>1284</v>
      </c>
      <c r="K281" s="19" t="s">
        <v>1264</v>
      </c>
      <c r="L281" s="32">
        <f>Data!$D281/10^6</f>
        <v>7689.9253660000004</v>
      </c>
    </row>
    <row r="282" spans="1:12" x14ac:dyDescent="0.25">
      <c r="A282" s="30" t="s">
        <v>72</v>
      </c>
      <c r="B282" s="15" t="s">
        <v>1078</v>
      </c>
      <c r="C282" s="19" t="s">
        <v>149</v>
      </c>
      <c r="D282" s="20">
        <v>212291091</v>
      </c>
      <c r="E282" s="21">
        <v>45658</v>
      </c>
      <c r="F282" s="18">
        <f>MONTH(Data!$E282)</f>
        <v>1</v>
      </c>
      <c r="G282" s="16">
        <f>YEAR(Data!$E282)</f>
        <v>2025</v>
      </c>
      <c r="H282" s="19" t="s">
        <v>22</v>
      </c>
      <c r="I282" s="15" t="str">
        <f t="shared" si="4"/>
        <v>Doanh nghiệp</v>
      </c>
      <c r="J282" s="15" t="s">
        <v>1285</v>
      </c>
      <c r="K282" s="19" t="s">
        <v>1263</v>
      </c>
      <c r="L282" s="32">
        <f>Data!$D282/10^6</f>
        <v>212.29109099999999</v>
      </c>
    </row>
    <row r="283" spans="1:12" x14ac:dyDescent="0.25">
      <c r="A283" s="30" t="s">
        <v>72</v>
      </c>
      <c r="B283" s="15" t="s">
        <v>1079</v>
      </c>
      <c r="C283" s="19" t="s">
        <v>10</v>
      </c>
      <c r="D283" s="20">
        <v>182426727</v>
      </c>
      <c r="E283" s="21">
        <v>45658</v>
      </c>
      <c r="F283" s="18">
        <f>MONTH(Data!$E283)</f>
        <v>1</v>
      </c>
      <c r="G283" s="16">
        <f>YEAR(Data!$E283)</f>
        <v>2025</v>
      </c>
      <c r="H283" s="19" t="s">
        <v>22</v>
      </c>
      <c r="I283" s="15" t="str">
        <f t="shared" si="4"/>
        <v>Doanh nghiệp</v>
      </c>
      <c r="J283" s="15" t="s">
        <v>1284</v>
      </c>
      <c r="K283" s="19" t="s">
        <v>1263</v>
      </c>
      <c r="L283" s="32">
        <f>Data!$D283/10^6</f>
        <v>182.426727</v>
      </c>
    </row>
    <row r="284" spans="1:12" x14ac:dyDescent="0.25">
      <c r="A284" s="30" t="s">
        <v>78</v>
      </c>
      <c r="B284" s="15" t="s">
        <v>1030</v>
      </c>
      <c r="C284" s="19" t="s">
        <v>10</v>
      </c>
      <c r="D284" s="20">
        <v>58600000</v>
      </c>
      <c r="E284" s="21">
        <v>45658</v>
      </c>
      <c r="F284" s="18">
        <f>MONTH(Data!$E284)</f>
        <v>1</v>
      </c>
      <c r="G284" s="16">
        <f>YEAR(Data!$E284)</f>
        <v>2025</v>
      </c>
      <c r="H284" s="19" t="s">
        <v>15</v>
      </c>
      <c r="I284" s="15" t="str">
        <f t="shared" si="4"/>
        <v>Doanh nghiệp</v>
      </c>
      <c r="J284" s="15" t="s">
        <v>1285</v>
      </c>
      <c r="K284" s="19" t="s">
        <v>1263</v>
      </c>
      <c r="L284" s="32">
        <f>Data!$D284/10^6</f>
        <v>58.6</v>
      </c>
    </row>
    <row r="285" spans="1:12" x14ac:dyDescent="0.25">
      <c r="A285" s="30" t="s">
        <v>68</v>
      </c>
      <c r="B285" s="15" t="s">
        <v>1038</v>
      </c>
      <c r="C285" s="19" t="s">
        <v>10</v>
      </c>
      <c r="D285" s="20">
        <v>16720000</v>
      </c>
      <c r="E285" s="21">
        <v>45658</v>
      </c>
      <c r="F285" s="18">
        <f>MONTH(Data!$E285)</f>
        <v>1</v>
      </c>
      <c r="G285" s="16">
        <f>YEAR(Data!$E285)</f>
        <v>2025</v>
      </c>
      <c r="H285" s="19" t="s">
        <v>22</v>
      </c>
      <c r="I285" s="15" t="str">
        <f t="shared" si="4"/>
        <v>Doanh nghiệp</v>
      </c>
      <c r="J285" s="15" t="s">
        <v>1284</v>
      </c>
      <c r="K285" s="19" t="s">
        <v>1263</v>
      </c>
      <c r="L285" s="32">
        <f>Data!$D285/10^6</f>
        <v>16.72</v>
      </c>
    </row>
    <row r="286" spans="1:12" x14ac:dyDescent="0.25">
      <c r="A286" s="30" t="s">
        <v>51</v>
      </c>
      <c r="B286" s="15" t="s">
        <v>1084</v>
      </c>
      <c r="C286" s="19" t="s">
        <v>149</v>
      </c>
      <c r="D286" s="20">
        <v>19440000</v>
      </c>
      <c r="E286" s="21">
        <v>45658</v>
      </c>
      <c r="F286" s="18">
        <f>MONTH(Data!$E286)</f>
        <v>1</v>
      </c>
      <c r="G286" s="16">
        <f>YEAR(Data!$E286)</f>
        <v>2025</v>
      </c>
      <c r="H286" s="19" t="s">
        <v>42</v>
      </c>
      <c r="I286" s="15" t="str">
        <f t="shared" si="4"/>
        <v>Doanh nghiệp</v>
      </c>
      <c r="J286" s="15" t="s">
        <v>1285</v>
      </c>
      <c r="K286" s="19" t="s">
        <v>1262</v>
      </c>
      <c r="L286" s="32">
        <f>Data!$D286/10^6</f>
        <v>19.440000000000001</v>
      </c>
    </row>
    <row r="287" spans="1:12" x14ac:dyDescent="0.25">
      <c r="A287" s="30" t="s">
        <v>30</v>
      </c>
      <c r="B287" s="15" t="s">
        <v>1085</v>
      </c>
      <c r="C287" s="19" t="s">
        <v>46</v>
      </c>
      <c r="D287" s="20">
        <v>111930864</v>
      </c>
      <c r="E287" s="21">
        <v>45658</v>
      </c>
      <c r="F287" s="18">
        <f>MONTH(Data!$E287)</f>
        <v>1</v>
      </c>
      <c r="G287" s="16">
        <f>YEAR(Data!$E287)</f>
        <v>2025</v>
      </c>
      <c r="H287" s="19" t="s">
        <v>32</v>
      </c>
      <c r="I287" s="15" t="str">
        <f t="shared" si="4"/>
        <v>Doanh nghiệp</v>
      </c>
      <c r="J287" s="15" t="s">
        <v>1284</v>
      </c>
      <c r="K287" s="19" t="s">
        <v>1265</v>
      </c>
      <c r="L287" s="32">
        <f>Data!$D287/10^6</f>
        <v>111.930864</v>
      </c>
    </row>
    <row r="288" spans="1:12" x14ac:dyDescent="0.25">
      <c r="A288" s="30" t="s">
        <v>95</v>
      </c>
      <c r="B288" s="15" t="s">
        <v>1099</v>
      </c>
      <c r="C288" s="19" t="s">
        <v>46</v>
      </c>
      <c r="D288" s="20">
        <v>3411049554</v>
      </c>
      <c r="E288" s="21">
        <v>45658</v>
      </c>
      <c r="F288" s="18">
        <f>MONTH(Data!$E288)</f>
        <v>1</v>
      </c>
      <c r="G288" s="16">
        <f>YEAR(Data!$E288)</f>
        <v>2025</v>
      </c>
      <c r="H288" s="19" t="s">
        <v>35</v>
      </c>
      <c r="I288" s="15" t="str">
        <f t="shared" si="4"/>
        <v>Doanh nghiệp</v>
      </c>
      <c r="J288" s="15" t="s">
        <v>1285</v>
      </c>
      <c r="K288" s="19" t="s">
        <v>1265</v>
      </c>
      <c r="L288" s="32">
        <f>Data!$D288/10^6</f>
        <v>3411.0495540000002</v>
      </c>
    </row>
    <row r="289" spans="1:12" x14ac:dyDescent="0.25">
      <c r="A289" s="30" t="s">
        <v>13</v>
      </c>
      <c r="B289" s="15" t="s">
        <v>1118</v>
      </c>
      <c r="C289" s="19" t="s">
        <v>46</v>
      </c>
      <c r="D289" s="20">
        <v>135000000</v>
      </c>
      <c r="E289" s="21">
        <v>45658</v>
      </c>
      <c r="F289" s="18">
        <f>MONTH(Data!$E289)</f>
        <v>1</v>
      </c>
      <c r="G289" s="16">
        <f>YEAR(Data!$E289)</f>
        <v>2025</v>
      </c>
      <c r="H289" s="19" t="s">
        <v>15</v>
      </c>
      <c r="I289" s="15" t="str">
        <f t="shared" si="4"/>
        <v>Doanh nghiệp</v>
      </c>
      <c r="J289" s="15" t="s">
        <v>1284</v>
      </c>
      <c r="K289" s="19" t="s">
        <v>1265</v>
      </c>
      <c r="L289" s="32">
        <f>Data!$D289/10^6</f>
        <v>135</v>
      </c>
    </row>
    <row r="290" spans="1:12" x14ac:dyDescent="0.25">
      <c r="A290" s="30" t="s">
        <v>128</v>
      </c>
      <c r="B290" s="15" t="s">
        <v>1119</v>
      </c>
      <c r="C290" s="19" t="s">
        <v>46</v>
      </c>
      <c r="D290" s="20">
        <v>8546406000</v>
      </c>
      <c r="E290" s="21">
        <v>45658</v>
      </c>
      <c r="F290" s="18">
        <f>MONTH(Data!$E290)</f>
        <v>1</v>
      </c>
      <c r="G290" s="16">
        <f>YEAR(Data!$E290)</f>
        <v>2025</v>
      </c>
      <c r="H290" s="19" t="s">
        <v>42</v>
      </c>
      <c r="I290" s="15" t="str">
        <f t="shared" si="4"/>
        <v>Doanh nghiệp</v>
      </c>
      <c r="J290" s="15" t="s">
        <v>1285</v>
      </c>
      <c r="K290" s="19" t="s">
        <v>1265</v>
      </c>
      <c r="L290" s="32">
        <f>Data!$D290/10^6</f>
        <v>8546.4060000000009</v>
      </c>
    </row>
    <row r="291" spans="1:12" x14ac:dyDescent="0.25">
      <c r="A291" s="30" t="s">
        <v>72</v>
      </c>
      <c r="B291" s="15" t="s">
        <v>1051</v>
      </c>
      <c r="C291" s="19" t="s">
        <v>10</v>
      </c>
      <c r="D291" s="20">
        <v>10571636</v>
      </c>
      <c r="E291" s="21">
        <v>45658</v>
      </c>
      <c r="F291" s="18">
        <f>MONTH(Data!$E291)</f>
        <v>1</v>
      </c>
      <c r="G291" s="16">
        <f>YEAR(Data!$E291)</f>
        <v>2025</v>
      </c>
      <c r="H291" s="19" t="s">
        <v>22</v>
      </c>
      <c r="I291" s="15" t="str">
        <f t="shared" si="4"/>
        <v>Doanh nghiệp</v>
      </c>
      <c r="J291" s="15" t="s">
        <v>1284</v>
      </c>
      <c r="K291" s="19" t="s">
        <v>1267</v>
      </c>
      <c r="L291" s="32">
        <f>Data!$D291/10^6</f>
        <v>10.571636</v>
      </c>
    </row>
    <row r="292" spans="1:12" x14ac:dyDescent="0.25">
      <c r="A292" s="30" t="s">
        <v>51</v>
      </c>
      <c r="B292" s="15" t="s">
        <v>1066</v>
      </c>
      <c r="C292" s="19" t="s">
        <v>14</v>
      </c>
      <c r="D292" s="20">
        <v>38627273</v>
      </c>
      <c r="E292" s="21">
        <v>45658</v>
      </c>
      <c r="F292" s="18">
        <f>MONTH(Data!$E292)</f>
        <v>1</v>
      </c>
      <c r="G292" s="16">
        <f>YEAR(Data!$E292)</f>
        <v>2025</v>
      </c>
      <c r="H292" s="19" t="s">
        <v>42</v>
      </c>
      <c r="I292" s="15" t="str">
        <f t="shared" si="4"/>
        <v>Doanh nghiệp</v>
      </c>
      <c r="J292" s="15" t="s">
        <v>1285</v>
      </c>
      <c r="K292" s="19" t="s">
        <v>1264</v>
      </c>
      <c r="L292" s="32">
        <f>Data!$D292/10^6</f>
        <v>38.627273000000002</v>
      </c>
    </row>
    <row r="293" spans="1:12" x14ac:dyDescent="0.25">
      <c r="A293" s="30" t="s">
        <v>111</v>
      </c>
      <c r="B293" s="15" t="s">
        <v>1094</v>
      </c>
      <c r="C293" s="19" t="s">
        <v>46</v>
      </c>
      <c r="D293" s="20">
        <v>390909091</v>
      </c>
      <c r="E293" s="21">
        <v>45658</v>
      </c>
      <c r="F293" s="18">
        <f>MONTH(Data!$E293)</f>
        <v>1</v>
      </c>
      <c r="G293" s="16">
        <f>YEAR(Data!$E293)</f>
        <v>2025</v>
      </c>
      <c r="H293" s="19" t="s">
        <v>22</v>
      </c>
      <c r="I293" s="15" t="str">
        <f t="shared" si="4"/>
        <v>Doanh nghiệp</v>
      </c>
      <c r="J293" s="15" t="s">
        <v>1284</v>
      </c>
      <c r="K293" s="19" t="s">
        <v>1265</v>
      </c>
      <c r="L293" s="32">
        <f>Data!$D293/10^6</f>
        <v>390.90909099999999</v>
      </c>
    </row>
    <row r="294" spans="1:12" x14ac:dyDescent="0.25">
      <c r="A294" s="30" t="s">
        <v>23</v>
      </c>
      <c r="B294" s="15" t="s">
        <v>1118</v>
      </c>
      <c r="C294" s="19" t="s">
        <v>46</v>
      </c>
      <c r="D294" s="20">
        <v>109056818</v>
      </c>
      <c r="E294" s="21">
        <v>45658</v>
      </c>
      <c r="F294" s="18">
        <f>MONTH(Data!$E294)</f>
        <v>1</v>
      </c>
      <c r="G294" s="16">
        <f>YEAR(Data!$E294)</f>
        <v>2025</v>
      </c>
      <c r="H294" s="19" t="s">
        <v>25</v>
      </c>
      <c r="I294" s="15" t="str">
        <f t="shared" si="4"/>
        <v>Doanh nghiệp</v>
      </c>
      <c r="J294" s="15" t="s">
        <v>1285</v>
      </c>
      <c r="K294" s="19" t="s">
        <v>1265</v>
      </c>
      <c r="L294" s="32">
        <f>Data!$D294/10^6</f>
        <v>109.05681800000001</v>
      </c>
    </row>
    <row r="295" spans="1:12" x14ac:dyDescent="0.25">
      <c r="A295" s="30" t="s">
        <v>21</v>
      </c>
      <c r="B295" s="15" t="s">
        <v>1031</v>
      </c>
      <c r="C295" s="19" t="s">
        <v>149</v>
      </c>
      <c r="D295" s="20">
        <v>508699000</v>
      </c>
      <c r="E295" s="21">
        <v>45658</v>
      </c>
      <c r="F295" s="18">
        <f>MONTH(Data!$E295)</f>
        <v>1</v>
      </c>
      <c r="G295" s="16">
        <f>YEAR(Data!$E295)</f>
        <v>2025</v>
      </c>
      <c r="H295" s="19" t="s">
        <v>22</v>
      </c>
      <c r="I295" s="15" t="str">
        <f t="shared" si="4"/>
        <v>Doanh nghiệp</v>
      </c>
      <c r="J295" s="15" t="s">
        <v>1284</v>
      </c>
      <c r="K295" s="19" t="s">
        <v>1266</v>
      </c>
      <c r="L295" s="32">
        <f>Data!$D295/10^6</f>
        <v>508.69900000000001</v>
      </c>
    </row>
    <row r="296" spans="1:12" x14ac:dyDescent="0.25">
      <c r="A296" s="30" t="s">
        <v>51</v>
      </c>
      <c r="B296" s="15" t="s">
        <v>1042</v>
      </c>
      <c r="C296" s="19" t="s">
        <v>149</v>
      </c>
      <c r="D296" s="20">
        <v>21364364</v>
      </c>
      <c r="E296" s="21">
        <v>45658</v>
      </c>
      <c r="F296" s="18">
        <f>MONTH(Data!$E296)</f>
        <v>1</v>
      </c>
      <c r="G296" s="16">
        <f>YEAR(Data!$E296)</f>
        <v>2025</v>
      </c>
      <c r="H296" s="19" t="s">
        <v>42</v>
      </c>
      <c r="I296" s="15" t="str">
        <f t="shared" si="4"/>
        <v>Doanh nghiệp</v>
      </c>
      <c r="J296" s="15" t="s">
        <v>1285</v>
      </c>
      <c r="K296" s="19" t="s">
        <v>1265</v>
      </c>
      <c r="L296" s="32">
        <f>Data!$D296/10^6</f>
        <v>21.364363999999998</v>
      </c>
    </row>
    <row r="297" spans="1:12" x14ac:dyDescent="0.25">
      <c r="A297" s="30" t="s">
        <v>59</v>
      </c>
      <c r="B297" s="15" t="s">
        <v>1046</v>
      </c>
      <c r="C297" s="19" t="s">
        <v>46</v>
      </c>
      <c r="D297" s="20">
        <v>208636364</v>
      </c>
      <c r="E297" s="21">
        <v>45658</v>
      </c>
      <c r="F297" s="18">
        <f>MONTH(Data!$E297)</f>
        <v>1</v>
      </c>
      <c r="G297" s="16">
        <f>YEAR(Data!$E297)</f>
        <v>2025</v>
      </c>
      <c r="H297" s="19" t="s">
        <v>22</v>
      </c>
      <c r="I297" s="15" t="str">
        <f t="shared" si="4"/>
        <v>Doanh nghiệp</v>
      </c>
      <c r="J297" s="15" t="s">
        <v>1284</v>
      </c>
      <c r="K297" s="19" t="s">
        <v>1265</v>
      </c>
      <c r="L297" s="32">
        <f>Data!$D297/10^6</f>
        <v>208.63636399999999</v>
      </c>
    </row>
    <row r="298" spans="1:12" x14ac:dyDescent="0.25">
      <c r="A298" s="30" t="s">
        <v>128</v>
      </c>
      <c r="B298" s="15" t="s">
        <v>1056</v>
      </c>
      <c r="C298" s="19" t="s">
        <v>10</v>
      </c>
      <c r="D298" s="20">
        <v>5319767727</v>
      </c>
      <c r="E298" s="21">
        <v>45658</v>
      </c>
      <c r="F298" s="18">
        <f>MONTH(Data!$E298)</f>
        <v>1</v>
      </c>
      <c r="G298" s="16">
        <f>YEAR(Data!$E298)</f>
        <v>2025</v>
      </c>
      <c r="H298" s="19" t="s">
        <v>42</v>
      </c>
      <c r="I298" s="15" t="str">
        <f t="shared" si="4"/>
        <v>Doanh nghiệp</v>
      </c>
      <c r="J298" s="15" t="s">
        <v>1285</v>
      </c>
      <c r="K298" s="19" t="s">
        <v>1262</v>
      </c>
      <c r="L298" s="32">
        <f>Data!$D298/10^6</f>
        <v>5319.7677270000004</v>
      </c>
    </row>
    <row r="299" spans="1:12" x14ac:dyDescent="0.25">
      <c r="A299" s="30" t="s">
        <v>52</v>
      </c>
      <c r="B299" s="15" t="s">
        <v>1058</v>
      </c>
      <c r="C299" s="19" t="s">
        <v>10</v>
      </c>
      <c r="D299" s="20">
        <v>205491273</v>
      </c>
      <c r="E299" s="21">
        <v>45658</v>
      </c>
      <c r="F299" s="18">
        <f>MONTH(Data!$E299)</f>
        <v>1</v>
      </c>
      <c r="G299" s="16">
        <f>YEAR(Data!$E299)</f>
        <v>2025</v>
      </c>
      <c r="H299" s="19" t="s">
        <v>35</v>
      </c>
      <c r="I299" s="15" t="str">
        <f t="shared" si="4"/>
        <v>Doanh nghiệp</v>
      </c>
      <c r="J299" s="15" t="s">
        <v>1284</v>
      </c>
      <c r="K299" s="19" t="s">
        <v>1267</v>
      </c>
      <c r="L299" s="32">
        <f>Data!$D299/10^6</f>
        <v>205.49127300000001</v>
      </c>
    </row>
    <row r="300" spans="1:12" x14ac:dyDescent="0.25">
      <c r="A300" s="30" t="s">
        <v>55</v>
      </c>
      <c r="B300" s="15" t="s">
        <v>1115</v>
      </c>
      <c r="C300" s="19" t="s">
        <v>10</v>
      </c>
      <c r="D300" s="20">
        <v>29778182</v>
      </c>
      <c r="E300" s="21">
        <v>45658</v>
      </c>
      <c r="F300" s="18">
        <f>MONTH(Data!$E300)</f>
        <v>1</v>
      </c>
      <c r="G300" s="16">
        <f>YEAR(Data!$E300)</f>
        <v>2025</v>
      </c>
      <c r="H300" s="19" t="s">
        <v>15</v>
      </c>
      <c r="I300" s="15" t="str">
        <f t="shared" si="4"/>
        <v>Doanh nghiệp</v>
      </c>
      <c r="J300" s="15" t="s">
        <v>1285</v>
      </c>
      <c r="K300" s="19" t="s">
        <v>1263</v>
      </c>
      <c r="L300" s="32">
        <f>Data!$D300/10^6</f>
        <v>29.778182000000001</v>
      </c>
    </row>
    <row r="301" spans="1:12" x14ac:dyDescent="0.25">
      <c r="A301" s="30" t="s">
        <v>79</v>
      </c>
      <c r="B301" s="15" t="s">
        <v>1077</v>
      </c>
      <c r="C301" s="19" t="s">
        <v>149</v>
      </c>
      <c r="D301" s="20">
        <v>37356586</v>
      </c>
      <c r="E301" s="21">
        <v>45658</v>
      </c>
      <c r="F301" s="18">
        <f>MONTH(Data!$E301)</f>
        <v>1</v>
      </c>
      <c r="G301" s="16">
        <f>YEAR(Data!$E301)</f>
        <v>2025</v>
      </c>
      <c r="H301" s="19" t="s">
        <v>15</v>
      </c>
      <c r="I301" s="15" t="str">
        <f t="shared" si="4"/>
        <v>Doanh nghiệp</v>
      </c>
      <c r="J301" s="15" t="s">
        <v>1284</v>
      </c>
      <c r="K301" s="19" t="s">
        <v>1265</v>
      </c>
      <c r="L301" s="32">
        <f>Data!$D301/10^6</f>
        <v>37.356586</v>
      </c>
    </row>
    <row r="302" spans="1:12" x14ac:dyDescent="0.25">
      <c r="A302" s="30" t="s">
        <v>30</v>
      </c>
      <c r="B302" s="15" t="s">
        <v>1080</v>
      </c>
      <c r="C302" s="19" t="s">
        <v>46</v>
      </c>
      <c r="D302" s="20">
        <v>438886337</v>
      </c>
      <c r="E302" s="21">
        <v>45658</v>
      </c>
      <c r="F302" s="18">
        <f>MONTH(Data!$E302)</f>
        <v>1</v>
      </c>
      <c r="G302" s="16">
        <f>YEAR(Data!$E302)</f>
        <v>2025</v>
      </c>
      <c r="H302" s="19" t="s">
        <v>32</v>
      </c>
      <c r="I302" s="15" t="str">
        <f t="shared" si="4"/>
        <v>Doanh nghiệp</v>
      </c>
      <c r="J302" s="15" t="s">
        <v>1285</v>
      </c>
      <c r="K302" s="19" t="s">
        <v>1265</v>
      </c>
      <c r="L302" s="32">
        <f>Data!$D302/10^6</f>
        <v>438.88633700000003</v>
      </c>
    </row>
    <row r="303" spans="1:12" x14ac:dyDescent="0.25">
      <c r="A303" s="30" t="s">
        <v>17</v>
      </c>
      <c r="B303" s="15" t="s">
        <v>1082</v>
      </c>
      <c r="C303" s="19" t="s">
        <v>46</v>
      </c>
      <c r="D303" s="20">
        <v>872727273</v>
      </c>
      <c r="E303" s="21">
        <v>45658</v>
      </c>
      <c r="F303" s="18">
        <f>MONTH(Data!$E303)</f>
        <v>1</v>
      </c>
      <c r="G303" s="16">
        <f>YEAR(Data!$E303)</f>
        <v>2025</v>
      </c>
      <c r="H303" s="19" t="s">
        <v>11</v>
      </c>
      <c r="I303" s="15" t="str">
        <f t="shared" si="4"/>
        <v>Doanh nghiệp</v>
      </c>
      <c r="J303" s="15" t="s">
        <v>1284</v>
      </c>
      <c r="K303" s="19" t="s">
        <v>1265</v>
      </c>
      <c r="L303" s="32">
        <f>Data!$D303/10^6</f>
        <v>872.72727299999997</v>
      </c>
    </row>
    <row r="304" spans="1:12" x14ac:dyDescent="0.25">
      <c r="A304" s="30" t="s">
        <v>191</v>
      </c>
      <c r="B304" s="15" t="s">
        <v>1102</v>
      </c>
      <c r="C304" s="19" t="s">
        <v>46</v>
      </c>
      <c r="D304" s="20">
        <v>136663636</v>
      </c>
      <c r="E304" s="21">
        <v>45658</v>
      </c>
      <c r="F304" s="18">
        <f>MONTH(Data!$E304)</f>
        <v>1</v>
      </c>
      <c r="G304" s="16">
        <f>YEAR(Data!$E304)</f>
        <v>2025</v>
      </c>
      <c r="H304" s="19" t="s">
        <v>35</v>
      </c>
      <c r="I304" s="15" t="str">
        <f t="shared" si="4"/>
        <v>Doanh nghiệp</v>
      </c>
      <c r="J304" s="15" t="s">
        <v>1285</v>
      </c>
      <c r="K304" s="19" t="s">
        <v>1265</v>
      </c>
      <c r="L304" s="32">
        <f>Data!$D304/10^6</f>
        <v>136.663636</v>
      </c>
    </row>
    <row r="305" spans="1:12" x14ac:dyDescent="0.25">
      <c r="A305" s="30" t="s">
        <v>123</v>
      </c>
      <c r="B305" s="15" t="s">
        <v>1122</v>
      </c>
      <c r="C305" s="19" t="s">
        <v>10</v>
      </c>
      <c r="D305" s="20">
        <v>189338568</v>
      </c>
      <c r="E305" s="21">
        <v>45658</v>
      </c>
      <c r="F305" s="18">
        <f>MONTH(Data!$E305)</f>
        <v>1</v>
      </c>
      <c r="G305" s="16">
        <f>YEAR(Data!$E305)</f>
        <v>2025</v>
      </c>
      <c r="H305" s="19" t="s">
        <v>15</v>
      </c>
      <c r="I305" s="15" t="str">
        <f t="shared" si="4"/>
        <v>Doanh nghiệp</v>
      </c>
      <c r="J305" s="15" t="s">
        <v>1284</v>
      </c>
      <c r="K305" s="19" t="s">
        <v>1262</v>
      </c>
      <c r="L305" s="32">
        <f>Data!$D305/10^6</f>
        <v>189.33856800000001</v>
      </c>
    </row>
    <row r="306" spans="1:12" x14ac:dyDescent="0.25">
      <c r="A306" s="30" t="s">
        <v>54</v>
      </c>
      <c r="B306" s="15" t="s">
        <v>1123</v>
      </c>
      <c r="C306" s="19" t="s">
        <v>10</v>
      </c>
      <c r="D306" s="20">
        <v>18606364</v>
      </c>
      <c r="E306" s="21">
        <v>45658</v>
      </c>
      <c r="F306" s="18">
        <f>MONTH(Data!$E306)</f>
        <v>1</v>
      </c>
      <c r="G306" s="16">
        <f>YEAR(Data!$E306)</f>
        <v>2025</v>
      </c>
      <c r="H306" s="19" t="s">
        <v>15</v>
      </c>
      <c r="I306" s="15" t="str">
        <f t="shared" si="4"/>
        <v>Doanh nghiệp</v>
      </c>
      <c r="J306" s="15" t="s">
        <v>1285</v>
      </c>
      <c r="K306" s="19" t="s">
        <v>1263</v>
      </c>
      <c r="L306" s="32">
        <f>Data!$D306/10^6</f>
        <v>18.606363999999999</v>
      </c>
    </row>
    <row r="307" spans="1:12" x14ac:dyDescent="0.25">
      <c r="A307" s="30" t="s">
        <v>68</v>
      </c>
      <c r="B307" s="15" t="s">
        <v>1040</v>
      </c>
      <c r="C307" s="19" t="s">
        <v>14</v>
      </c>
      <c r="D307" s="20">
        <v>2044152702</v>
      </c>
      <c r="E307" s="21">
        <v>45658</v>
      </c>
      <c r="F307" s="18">
        <f>MONTH(Data!$E307)</f>
        <v>1</v>
      </c>
      <c r="G307" s="16">
        <f>YEAR(Data!$E307)</f>
        <v>2025</v>
      </c>
      <c r="H307" s="19" t="s">
        <v>22</v>
      </c>
      <c r="I307" s="15" t="str">
        <f t="shared" si="4"/>
        <v>Doanh nghiệp</v>
      </c>
      <c r="J307" s="15" t="s">
        <v>1284</v>
      </c>
      <c r="K307" s="19" t="s">
        <v>1266</v>
      </c>
      <c r="L307" s="32">
        <f>Data!$D307/10^6</f>
        <v>2044.1527020000001</v>
      </c>
    </row>
    <row r="308" spans="1:12" x14ac:dyDescent="0.25">
      <c r="A308" s="30" t="s">
        <v>33</v>
      </c>
      <c r="B308" s="15" t="s">
        <v>1079</v>
      </c>
      <c r="C308" s="19" t="s">
        <v>10</v>
      </c>
      <c r="D308" s="20">
        <v>681846873</v>
      </c>
      <c r="E308" s="21">
        <v>45658</v>
      </c>
      <c r="F308" s="18">
        <f>MONTH(Data!$E308)</f>
        <v>1</v>
      </c>
      <c r="G308" s="16">
        <f>YEAR(Data!$E308)</f>
        <v>2025</v>
      </c>
      <c r="H308" s="19" t="s">
        <v>35</v>
      </c>
      <c r="I308" s="15" t="str">
        <f t="shared" si="4"/>
        <v>Doanh nghiệp</v>
      </c>
      <c r="J308" s="15" t="s">
        <v>1285</v>
      </c>
      <c r="K308" s="19" t="s">
        <v>1262</v>
      </c>
      <c r="L308" s="32">
        <f>Data!$D308/10^6</f>
        <v>681.84687299999996</v>
      </c>
    </row>
    <row r="309" spans="1:12" x14ac:dyDescent="0.25">
      <c r="A309" s="30" t="s">
        <v>109</v>
      </c>
      <c r="B309" s="15" t="s">
        <v>1080</v>
      </c>
      <c r="C309" s="19" t="s">
        <v>10</v>
      </c>
      <c r="D309" s="20">
        <v>6160587636</v>
      </c>
      <c r="E309" s="21">
        <v>45658</v>
      </c>
      <c r="F309" s="18">
        <f>MONTH(Data!$E309)</f>
        <v>1</v>
      </c>
      <c r="G309" s="16">
        <f>YEAR(Data!$E309)</f>
        <v>2025</v>
      </c>
      <c r="H309" s="19" t="s">
        <v>22</v>
      </c>
      <c r="I309" s="15" t="str">
        <f t="shared" si="4"/>
        <v>Doanh nghiệp</v>
      </c>
      <c r="J309" s="15" t="s">
        <v>1284</v>
      </c>
      <c r="K309" s="19" t="s">
        <v>1263</v>
      </c>
      <c r="L309" s="32">
        <f>Data!$D309/10^6</f>
        <v>6160.5876360000002</v>
      </c>
    </row>
    <row r="310" spans="1:12" x14ac:dyDescent="0.25">
      <c r="A310" s="30" t="s">
        <v>98</v>
      </c>
      <c r="B310" s="15" t="s">
        <v>1103</v>
      </c>
      <c r="C310" s="19" t="s">
        <v>46</v>
      </c>
      <c r="D310" s="20">
        <v>218855218</v>
      </c>
      <c r="E310" s="21">
        <v>45658</v>
      </c>
      <c r="F310" s="18">
        <f>MONTH(Data!$E310)</f>
        <v>1</v>
      </c>
      <c r="G310" s="16">
        <f>YEAR(Data!$E310)</f>
        <v>2025</v>
      </c>
      <c r="H310" s="19" t="s">
        <v>11</v>
      </c>
      <c r="I310" s="15" t="str">
        <f t="shared" si="4"/>
        <v>Doanh nghiệp</v>
      </c>
      <c r="J310" s="15" t="s">
        <v>1285</v>
      </c>
      <c r="K310" s="19" t="s">
        <v>1265</v>
      </c>
      <c r="L310" s="32">
        <f>Data!$D310/10^6</f>
        <v>218.85521800000001</v>
      </c>
    </row>
    <row r="311" spans="1:12" x14ac:dyDescent="0.25">
      <c r="A311" s="30" t="s">
        <v>151</v>
      </c>
      <c r="B311" s="15" t="s">
        <v>1106</v>
      </c>
      <c r="C311" s="19" t="s">
        <v>46</v>
      </c>
      <c r="D311" s="20">
        <v>75454545</v>
      </c>
      <c r="E311" s="21">
        <v>45658</v>
      </c>
      <c r="F311" s="18">
        <f>MONTH(Data!$E311)</f>
        <v>1</v>
      </c>
      <c r="G311" s="16">
        <f>YEAR(Data!$E311)</f>
        <v>2025</v>
      </c>
      <c r="H311" s="19" t="s">
        <v>15</v>
      </c>
      <c r="I311" s="15" t="str">
        <f t="shared" si="4"/>
        <v>Doanh nghiệp</v>
      </c>
      <c r="J311" s="15" t="s">
        <v>1284</v>
      </c>
      <c r="K311" s="19" t="s">
        <v>1265</v>
      </c>
      <c r="L311" s="32">
        <f>Data!$D311/10^6</f>
        <v>75.454544999999996</v>
      </c>
    </row>
    <row r="312" spans="1:12" x14ac:dyDescent="0.25">
      <c r="A312" s="30" t="s">
        <v>92</v>
      </c>
      <c r="B312" s="15" t="s">
        <v>1094</v>
      </c>
      <c r="C312" s="19" t="s">
        <v>46</v>
      </c>
      <c r="D312" s="20">
        <v>189090909</v>
      </c>
      <c r="E312" s="21">
        <v>45658</v>
      </c>
      <c r="F312" s="18">
        <f>MONTH(Data!$E312)</f>
        <v>1</v>
      </c>
      <c r="G312" s="16">
        <f>YEAR(Data!$E312)</f>
        <v>2025</v>
      </c>
      <c r="H312" s="19" t="s">
        <v>29</v>
      </c>
      <c r="I312" s="15" t="str">
        <f t="shared" si="4"/>
        <v>Doanh nghiệp</v>
      </c>
      <c r="J312" s="15" t="s">
        <v>1285</v>
      </c>
      <c r="K312" s="19" t="s">
        <v>1271</v>
      </c>
      <c r="L312" s="32">
        <f>Data!$D312/10^6</f>
        <v>189.09090900000001</v>
      </c>
    </row>
    <row r="313" spans="1:12" x14ac:dyDescent="0.25">
      <c r="A313" s="30" t="s">
        <v>92</v>
      </c>
      <c r="B313" s="15" t="s">
        <v>1095</v>
      </c>
      <c r="C313" s="19" t="s">
        <v>46</v>
      </c>
      <c r="D313" s="20">
        <v>40181818</v>
      </c>
      <c r="E313" s="21">
        <v>45658</v>
      </c>
      <c r="F313" s="18">
        <f>MONTH(Data!$E313)</f>
        <v>1</v>
      </c>
      <c r="G313" s="16">
        <f>YEAR(Data!$E313)</f>
        <v>2025</v>
      </c>
      <c r="H313" s="19" t="s">
        <v>29</v>
      </c>
      <c r="I313" s="15" t="str">
        <f t="shared" si="4"/>
        <v>Doanh nghiệp</v>
      </c>
      <c r="J313" s="15" t="s">
        <v>1284</v>
      </c>
      <c r="K313" s="19" t="s">
        <v>1271</v>
      </c>
      <c r="L313" s="32">
        <f>Data!$D313/10^6</f>
        <v>40.181818</v>
      </c>
    </row>
    <row r="314" spans="1:12" x14ac:dyDescent="0.25">
      <c r="A314" s="30" t="s">
        <v>65</v>
      </c>
      <c r="B314" s="15" t="s">
        <v>1098</v>
      </c>
      <c r="C314" s="19" t="s">
        <v>14</v>
      </c>
      <c r="D314" s="20">
        <v>499063636</v>
      </c>
      <c r="E314" s="21">
        <v>45658</v>
      </c>
      <c r="F314" s="18">
        <f>MONTH(Data!$E314)</f>
        <v>1</v>
      </c>
      <c r="G314" s="16">
        <f>YEAR(Data!$E314)</f>
        <v>2025</v>
      </c>
      <c r="H314" s="19" t="s">
        <v>25</v>
      </c>
      <c r="I314" s="15" t="str">
        <f t="shared" si="4"/>
        <v>Doanh nghiệp</v>
      </c>
      <c r="J314" s="15" t="s">
        <v>1285</v>
      </c>
      <c r="K314" s="19" t="s">
        <v>1264</v>
      </c>
      <c r="L314" s="32">
        <f>Data!$D314/10^6</f>
        <v>499.06363599999997</v>
      </c>
    </row>
    <row r="315" spans="1:12" x14ac:dyDescent="0.25">
      <c r="A315" s="30" t="s">
        <v>146</v>
      </c>
      <c r="B315" s="15" t="s">
        <v>1105</v>
      </c>
      <c r="C315" s="19" t="s">
        <v>46</v>
      </c>
      <c r="D315" s="20">
        <v>336000000</v>
      </c>
      <c r="E315" s="21">
        <v>45658</v>
      </c>
      <c r="F315" s="18">
        <f>MONTH(Data!$E315)</f>
        <v>1</v>
      </c>
      <c r="G315" s="16">
        <f>YEAR(Data!$E315)</f>
        <v>2025</v>
      </c>
      <c r="H315" s="19" t="s">
        <v>32</v>
      </c>
      <c r="I315" s="15" t="str">
        <f t="shared" si="4"/>
        <v>Doanh nghiệp</v>
      </c>
      <c r="J315" s="15" t="s">
        <v>1284</v>
      </c>
      <c r="K315" s="19" t="s">
        <v>1271</v>
      </c>
      <c r="L315" s="32">
        <f>Data!$D315/10^6</f>
        <v>336</v>
      </c>
    </row>
    <row r="316" spans="1:12" x14ac:dyDescent="0.25">
      <c r="A316" s="30" t="s">
        <v>74</v>
      </c>
      <c r="B316" s="15" t="s">
        <v>1123</v>
      </c>
      <c r="C316" s="19" t="s">
        <v>46</v>
      </c>
      <c r="D316" s="20">
        <v>1195454545</v>
      </c>
      <c r="E316" s="21">
        <v>45658</v>
      </c>
      <c r="F316" s="18">
        <f>MONTH(Data!$E316)</f>
        <v>1</v>
      </c>
      <c r="G316" s="16">
        <f>YEAR(Data!$E316)</f>
        <v>2025</v>
      </c>
      <c r="H316" s="19" t="s">
        <v>11</v>
      </c>
      <c r="I316" s="15" t="str">
        <f t="shared" si="4"/>
        <v>Doanh nghiệp</v>
      </c>
      <c r="J316" s="15" t="s">
        <v>1285</v>
      </c>
      <c r="K316" s="19" t="s">
        <v>1265</v>
      </c>
      <c r="L316" s="32">
        <f>Data!$D316/10^6</f>
        <v>1195.4545450000001</v>
      </c>
    </row>
    <row r="317" spans="1:12" x14ac:dyDescent="0.25">
      <c r="A317" s="30" t="s">
        <v>30</v>
      </c>
      <c r="B317" s="15" t="s">
        <v>1107</v>
      </c>
      <c r="C317" s="19" t="s">
        <v>41</v>
      </c>
      <c r="D317" s="20">
        <v>211347896</v>
      </c>
      <c r="E317" s="21">
        <v>45658</v>
      </c>
      <c r="F317" s="18">
        <f>MONTH(Data!$E317)</f>
        <v>1</v>
      </c>
      <c r="G317" s="16">
        <f>YEAR(Data!$E317)</f>
        <v>2025</v>
      </c>
      <c r="H317" s="19" t="s">
        <v>32</v>
      </c>
      <c r="I317" s="15" t="str">
        <f t="shared" si="4"/>
        <v>Doanh nghiệp</v>
      </c>
      <c r="J317" s="15" t="s">
        <v>1284</v>
      </c>
      <c r="K317" s="19" t="s">
        <v>1269</v>
      </c>
      <c r="L317" s="32">
        <f>Data!$D317/10^6</f>
        <v>211.34789599999999</v>
      </c>
    </row>
    <row r="318" spans="1:12" x14ac:dyDescent="0.25">
      <c r="A318" s="30" t="s">
        <v>160</v>
      </c>
      <c r="B318" s="15" t="s">
        <v>1121</v>
      </c>
      <c r="C318" s="19" t="s">
        <v>46</v>
      </c>
      <c r="D318" s="20">
        <v>44818182</v>
      </c>
      <c r="E318" s="21">
        <v>45658</v>
      </c>
      <c r="F318" s="18">
        <f>MONTH(Data!$E318)</f>
        <v>1</v>
      </c>
      <c r="G318" s="16">
        <f>YEAR(Data!$E318)</f>
        <v>2025</v>
      </c>
      <c r="H318" s="19" t="s">
        <v>35</v>
      </c>
      <c r="I318" s="15" t="str">
        <f t="shared" si="4"/>
        <v>Doanh nghiệp</v>
      </c>
      <c r="J318" s="15" t="s">
        <v>1285</v>
      </c>
      <c r="K318" s="19" t="s">
        <v>1265</v>
      </c>
      <c r="L318" s="32">
        <f>Data!$D318/10^6</f>
        <v>44.818182</v>
      </c>
    </row>
    <row r="319" spans="1:12" x14ac:dyDescent="0.25">
      <c r="A319" s="30" t="s">
        <v>78</v>
      </c>
      <c r="B319" s="15" t="s">
        <v>1129</v>
      </c>
      <c r="C319" s="19" t="s">
        <v>46</v>
      </c>
      <c r="D319" s="20">
        <v>245834164</v>
      </c>
      <c r="E319" s="21">
        <v>45658</v>
      </c>
      <c r="F319" s="18">
        <f>MONTH(Data!$E319)</f>
        <v>1</v>
      </c>
      <c r="G319" s="16">
        <f>YEAR(Data!$E319)</f>
        <v>2025</v>
      </c>
      <c r="H319" s="19" t="s">
        <v>15</v>
      </c>
      <c r="I319" s="15" t="str">
        <f t="shared" si="4"/>
        <v>Doanh nghiệp</v>
      </c>
      <c r="J319" s="15" t="s">
        <v>1284</v>
      </c>
      <c r="K319" s="19" t="s">
        <v>1265</v>
      </c>
      <c r="L319" s="32">
        <f>Data!$D319/10^6</f>
        <v>245.83416399999999</v>
      </c>
    </row>
    <row r="320" spans="1:12" x14ac:dyDescent="0.25">
      <c r="A320" s="30" t="s">
        <v>27</v>
      </c>
      <c r="B320" s="15" t="s">
        <v>1140</v>
      </c>
      <c r="C320" s="19" t="s">
        <v>10</v>
      </c>
      <c r="D320" s="20">
        <v>64112600</v>
      </c>
      <c r="E320" s="21">
        <v>45658</v>
      </c>
      <c r="F320" s="18">
        <f>MONTH(Data!$E320)</f>
        <v>1</v>
      </c>
      <c r="G320" s="16">
        <f>YEAR(Data!$E320)</f>
        <v>2025</v>
      </c>
      <c r="H320" s="19" t="s">
        <v>11</v>
      </c>
      <c r="I320" s="15" t="str">
        <f t="shared" si="4"/>
        <v>Doanh nghiệp</v>
      </c>
      <c r="J320" s="15" t="s">
        <v>1285</v>
      </c>
      <c r="K320" s="19" t="s">
        <v>1263</v>
      </c>
      <c r="L320" s="32">
        <f>Data!$D320/10^6</f>
        <v>64.1126</v>
      </c>
    </row>
    <row r="321" spans="1:12" x14ac:dyDescent="0.25">
      <c r="A321" s="30" t="s">
        <v>98</v>
      </c>
      <c r="B321" s="15" t="s">
        <v>1125</v>
      </c>
      <c r="C321" s="19" t="s">
        <v>149</v>
      </c>
      <c r="D321" s="20">
        <v>216995455</v>
      </c>
      <c r="E321" s="21">
        <v>45658</v>
      </c>
      <c r="F321" s="18">
        <f>MONTH(Data!$E321)</f>
        <v>1</v>
      </c>
      <c r="G321" s="16">
        <f>YEAR(Data!$E321)</f>
        <v>2025</v>
      </c>
      <c r="H321" s="19" t="s">
        <v>11</v>
      </c>
      <c r="I321" s="15" t="str">
        <f t="shared" si="4"/>
        <v>Doanh nghiệp</v>
      </c>
      <c r="J321" s="15" t="s">
        <v>1284</v>
      </c>
      <c r="K321" s="19" t="s">
        <v>1271</v>
      </c>
      <c r="L321" s="32">
        <f>Data!$D321/10^6</f>
        <v>216.99545499999999</v>
      </c>
    </row>
    <row r="322" spans="1:12" x14ac:dyDescent="0.25">
      <c r="A322" s="30" t="s">
        <v>68</v>
      </c>
      <c r="B322" s="15" t="s">
        <v>1129</v>
      </c>
      <c r="C322" s="19" t="s">
        <v>149</v>
      </c>
      <c r="D322" s="20">
        <v>21702384</v>
      </c>
      <c r="E322" s="21">
        <v>45658</v>
      </c>
      <c r="F322" s="18">
        <f>MONTH(Data!$E322)</f>
        <v>1</v>
      </c>
      <c r="G322" s="16">
        <f>YEAR(Data!$E322)</f>
        <v>2025</v>
      </c>
      <c r="H322" s="19" t="s">
        <v>22</v>
      </c>
      <c r="I322" s="15" t="str">
        <f t="shared" si="4"/>
        <v>Doanh nghiệp</v>
      </c>
      <c r="J322" s="15" t="s">
        <v>1285</v>
      </c>
      <c r="K322" s="19" t="s">
        <v>1268</v>
      </c>
      <c r="L322" s="32">
        <f>Data!$D322/10^6</f>
        <v>21.702383999999999</v>
      </c>
    </row>
    <row r="323" spans="1:12" x14ac:dyDescent="0.25">
      <c r="A323" s="30" t="s">
        <v>36</v>
      </c>
      <c r="B323" s="15" t="s">
        <v>1130</v>
      </c>
      <c r="C323" s="19" t="s">
        <v>149</v>
      </c>
      <c r="D323" s="20">
        <v>75600000</v>
      </c>
      <c r="E323" s="21">
        <v>45658</v>
      </c>
      <c r="F323" s="18">
        <f>MONTH(Data!$E323)</f>
        <v>1</v>
      </c>
      <c r="G323" s="16">
        <f>YEAR(Data!$E323)</f>
        <v>2025</v>
      </c>
      <c r="H323" s="19" t="s">
        <v>15</v>
      </c>
      <c r="I323" s="15" t="str">
        <f t="shared" ref="I323:I386" si="5">IF(ISNUMBER(SEARCH("Công ty",$B323)),"Doanh nghiệp",IF(ISNUMBER(SEARCH("Doanh nghiệp",$B323)),"Doanh nghiệp",IF(ISNUMBER(SEARCH("Tập đoàn",$B323)),"Doanh nghiệp",
IF(ISNUMBER(SEARCH("Bệnh viện",$B323)),"Bệnh viện",
IF(ISNUMBER(SEARCH("Ngân hàng",$B323)),"Ngân hàng",IF(ISNUMBER(SEARCH("trường",$B323)),"Trường học",IF(ISNUMBER(SEARCH("học viện",$B323)),"Trường học",
IF(ISNUMBER(SEARCH("Bộ",$B323)),"Sở ban ngành",IF(ISNUMBER(SEARCH("Đoàn",$B323)),"Sở ban ngành",IF(ISNUMBER(SEARCH("Phòng",$B323)),"Sở ban ngành",IF(ISNUMBER(SEARCH("UBND",$B323)),"Sở ban ngành",IF(ISNUMBER(SEARCH("ủy ban",$B323)),"Sở ban ngành",IF(ISNUMBER(SEARCH("công an",$B323)),"Sở ban ngành",IF(ISNUMBER(SEARCH("sở",$B323)),"Sở ban ngành",IF(ISNUMBER(SEARCH("thôn",$B323)),"Sở ban ngành",IF(ISNUMBER(SEARCH("xã",$B323)),"Sở ban ngành",IF(ISNUMBER(SEARCH("quân khu",$B323)),"Sở ban ngành",IF(ISNUMBER(SEARCH("cục",$B323)),"Sở ban ngành",IF(ISNUMBER(SEARCH("viện",$B323)),"Sở ban ngành",IF(ISNUMBER(SEARCH("quỹ",$B323)),"Sở ban ngành",IF(ISNUMBER(SEARCH("trung tâm",$B323)),"Sở ban ngành",IF(ISNUMBER(SEARCH("quân chủng",$B323)),"Sở ban ngành",IF(ISNUMBER(SEARCH("hội",$B323)),"Sở ban ngành",
"Khác")))))))))))))))))))))))</f>
        <v>Doanh nghiệp</v>
      </c>
      <c r="J323" s="15" t="s">
        <v>1284</v>
      </c>
      <c r="K323" s="19" t="s">
        <v>1263</v>
      </c>
      <c r="L323" s="32">
        <f>Data!$D323/10^6</f>
        <v>75.599999999999994</v>
      </c>
    </row>
    <row r="324" spans="1:12" x14ac:dyDescent="0.25">
      <c r="A324" s="30" t="s">
        <v>28</v>
      </c>
      <c r="B324" s="15" t="s">
        <v>1131</v>
      </c>
      <c r="C324" s="19" t="s">
        <v>149</v>
      </c>
      <c r="D324" s="20">
        <v>824426364</v>
      </c>
      <c r="E324" s="21">
        <v>45658</v>
      </c>
      <c r="F324" s="18">
        <f>MONTH(Data!$E324)</f>
        <v>1</v>
      </c>
      <c r="G324" s="16">
        <f>YEAR(Data!$E324)</f>
        <v>2025</v>
      </c>
      <c r="H324" s="19" t="s">
        <v>29</v>
      </c>
      <c r="I324" s="15" t="str">
        <f t="shared" si="5"/>
        <v>Doanh nghiệp</v>
      </c>
      <c r="J324" s="15" t="s">
        <v>1285</v>
      </c>
      <c r="K324" s="19" t="s">
        <v>1272</v>
      </c>
      <c r="L324" s="32">
        <f>Data!$D324/10^6</f>
        <v>824.42636400000004</v>
      </c>
    </row>
    <row r="325" spans="1:12" x14ac:dyDescent="0.25">
      <c r="A325" s="30" t="s">
        <v>98</v>
      </c>
      <c r="B325" s="15" t="s">
        <v>1136</v>
      </c>
      <c r="C325" s="19" t="s">
        <v>10</v>
      </c>
      <c r="D325" s="20">
        <v>153640000</v>
      </c>
      <c r="E325" s="21">
        <v>45658</v>
      </c>
      <c r="F325" s="18">
        <f>MONTH(Data!$E325)</f>
        <v>1</v>
      </c>
      <c r="G325" s="16">
        <f>YEAR(Data!$E325)</f>
        <v>2025</v>
      </c>
      <c r="H325" s="19" t="s">
        <v>11</v>
      </c>
      <c r="I325" s="15" t="str">
        <f t="shared" si="5"/>
        <v>Doanh nghiệp</v>
      </c>
      <c r="J325" s="15" t="s">
        <v>1284</v>
      </c>
      <c r="K325" s="19" t="s">
        <v>1267</v>
      </c>
      <c r="L325" s="32">
        <f>Data!$D325/10^6</f>
        <v>153.63999999999999</v>
      </c>
    </row>
    <row r="326" spans="1:12" x14ac:dyDescent="0.25">
      <c r="A326" s="30" t="s">
        <v>30</v>
      </c>
      <c r="B326" s="15" t="s">
        <v>1140</v>
      </c>
      <c r="C326" s="19" t="s">
        <v>10</v>
      </c>
      <c r="D326" s="20">
        <v>24377540</v>
      </c>
      <c r="E326" s="21">
        <v>45658</v>
      </c>
      <c r="F326" s="18">
        <f>MONTH(Data!$E326)</f>
        <v>1</v>
      </c>
      <c r="G326" s="16">
        <f>YEAR(Data!$E326)</f>
        <v>2025</v>
      </c>
      <c r="H326" s="19" t="s">
        <v>32</v>
      </c>
      <c r="I326" s="15" t="str">
        <f t="shared" si="5"/>
        <v>Doanh nghiệp</v>
      </c>
      <c r="J326" s="15" t="s">
        <v>1285</v>
      </c>
      <c r="K326" s="19" t="s">
        <v>1263</v>
      </c>
      <c r="L326" s="32">
        <f>Data!$D326/10^6</f>
        <v>24.37754</v>
      </c>
    </row>
    <row r="327" spans="1:12" x14ac:dyDescent="0.25">
      <c r="A327" s="30" t="s">
        <v>65</v>
      </c>
      <c r="B327" s="15" t="s">
        <v>1159</v>
      </c>
      <c r="C327" s="19" t="s">
        <v>10</v>
      </c>
      <c r="D327" s="20">
        <v>230337727</v>
      </c>
      <c r="E327" s="21">
        <v>45658</v>
      </c>
      <c r="F327" s="18">
        <f>MONTH(Data!$E327)</f>
        <v>1</v>
      </c>
      <c r="G327" s="16">
        <f>YEAR(Data!$E327)</f>
        <v>2025</v>
      </c>
      <c r="H327" s="19" t="s">
        <v>25</v>
      </c>
      <c r="I327" s="15" t="str">
        <f t="shared" si="5"/>
        <v>Doanh nghiệp</v>
      </c>
      <c r="J327" s="15" t="s">
        <v>1284</v>
      </c>
      <c r="K327" s="19" t="s">
        <v>1262</v>
      </c>
      <c r="L327" s="32">
        <f>Data!$D327/10^6</f>
        <v>230.337727</v>
      </c>
    </row>
    <row r="328" spans="1:12" x14ac:dyDescent="0.25">
      <c r="A328" s="30" t="s">
        <v>255</v>
      </c>
      <c r="B328" s="15" t="s">
        <v>1167</v>
      </c>
      <c r="C328" s="19" t="s">
        <v>10</v>
      </c>
      <c r="D328" s="20">
        <v>38984727</v>
      </c>
      <c r="E328" s="21">
        <v>45658</v>
      </c>
      <c r="F328" s="18">
        <f>MONTH(Data!$E328)</f>
        <v>1</v>
      </c>
      <c r="G328" s="16">
        <f>YEAR(Data!$E328)</f>
        <v>2025</v>
      </c>
      <c r="H328" s="19" t="s">
        <v>11</v>
      </c>
      <c r="I328" s="15" t="str">
        <f t="shared" si="5"/>
        <v>Doanh nghiệp</v>
      </c>
      <c r="J328" s="15" t="s">
        <v>1285</v>
      </c>
      <c r="K328" s="19" t="s">
        <v>1262</v>
      </c>
      <c r="L328" s="32">
        <f>Data!$D328/10^6</f>
        <v>38.984726999999999</v>
      </c>
    </row>
    <row r="329" spans="1:12" x14ac:dyDescent="0.25">
      <c r="A329" s="30" t="s">
        <v>56</v>
      </c>
      <c r="B329" s="15" t="s">
        <v>1181</v>
      </c>
      <c r="C329" s="19" t="s">
        <v>10</v>
      </c>
      <c r="D329" s="20">
        <v>7381818</v>
      </c>
      <c r="E329" s="21">
        <v>45658</v>
      </c>
      <c r="F329" s="18">
        <f>MONTH(Data!$E329)</f>
        <v>1</v>
      </c>
      <c r="G329" s="16">
        <f>YEAR(Data!$E329)</f>
        <v>2025</v>
      </c>
      <c r="H329" s="19" t="s">
        <v>25</v>
      </c>
      <c r="I329" s="15" t="str">
        <f t="shared" si="5"/>
        <v>Doanh nghiệp</v>
      </c>
      <c r="J329" s="15" t="s">
        <v>1284</v>
      </c>
      <c r="K329" s="19" t="s">
        <v>1262</v>
      </c>
      <c r="L329" s="32">
        <f>Data!$D329/10^6</f>
        <v>7.381818</v>
      </c>
    </row>
    <row r="330" spans="1:12" x14ac:dyDescent="0.25">
      <c r="A330" s="30" t="s">
        <v>30</v>
      </c>
      <c r="B330" s="15" t="s">
        <v>1230</v>
      </c>
      <c r="C330" s="19" t="s">
        <v>10</v>
      </c>
      <c r="D330" s="20">
        <v>584763018</v>
      </c>
      <c r="E330" s="21">
        <v>45658</v>
      </c>
      <c r="F330" s="18">
        <f>MONTH(Data!$E330)</f>
        <v>1</v>
      </c>
      <c r="G330" s="16">
        <f>YEAR(Data!$E330)</f>
        <v>2025</v>
      </c>
      <c r="H330" s="19" t="s">
        <v>32</v>
      </c>
      <c r="I330" s="15" t="str">
        <f t="shared" si="5"/>
        <v>Doanh nghiệp</v>
      </c>
      <c r="J330" s="15" t="s">
        <v>1285</v>
      </c>
      <c r="K330" s="19" t="s">
        <v>1262</v>
      </c>
      <c r="L330" s="32">
        <f>Data!$D330/10^6</f>
        <v>584.76301799999999</v>
      </c>
    </row>
    <row r="331" spans="1:12" x14ac:dyDescent="0.25">
      <c r="A331" s="30" t="s">
        <v>30</v>
      </c>
      <c r="B331" s="15" t="s">
        <v>1231</v>
      </c>
      <c r="C331" s="19" t="s">
        <v>149</v>
      </c>
      <c r="D331" s="20">
        <v>17672727</v>
      </c>
      <c r="E331" s="21">
        <v>45658</v>
      </c>
      <c r="F331" s="18">
        <f>MONTH(Data!$E331)</f>
        <v>1</v>
      </c>
      <c r="G331" s="16">
        <f>YEAR(Data!$E331)</f>
        <v>2025</v>
      </c>
      <c r="H331" s="19" t="s">
        <v>32</v>
      </c>
      <c r="I331" s="15" t="str">
        <f t="shared" si="5"/>
        <v>Doanh nghiệp</v>
      </c>
      <c r="J331" s="15" t="s">
        <v>1284</v>
      </c>
      <c r="K331" s="19" t="s">
        <v>1275</v>
      </c>
      <c r="L331" s="32">
        <f>Data!$D331/10^6</f>
        <v>17.672726999999998</v>
      </c>
    </row>
    <row r="332" spans="1:12" x14ac:dyDescent="0.25">
      <c r="A332" s="30" t="s">
        <v>30</v>
      </c>
      <c r="B332" s="15" t="s">
        <v>1232</v>
      </c>
      <c r="C332" s="19" t="s">
        <v>14</v>
      </c>
      <c r="D332" s="20">
        <v>108322249</v>
      </c>
      <c r="E332" s="21">
        <v>45658</v>
      </c>
      <c r="F332" s="18">
        <f>MONTH(Data!$E332)</f>
        <v>1</v>
      </c>
      <c r="G332" s="16">
        <f>YEAR(Data!$E332)</f>
        <v>2025</v>
      </c>
      <c r="H332" s="19" t="s">
        <v>32</v>
      </c>
      <c r="I332" s="15" t="str">
        <f t="shared" si="5"/>
        <v>Doanh nghiệp</v>
      </c>
      <c r="J332" s="15" t="s">
        <v>1285</v>
      </c>
      <c r="K332" s="19" t="s">
        <v>1266</v>
      </c>
      <c r="L332" s="32">
        <f>Data!$D332/10^6</f>
        <v>108.322249</v>
      </c>
    </row>
    <row r="333" spans="1:12" x14ac:dyDescent="0.25">
      <c r="A333" s="30" t="s">
        <v>45</v>
      </c>
      <c r="B333" s="15" t="s">
        <v>1246</v>
      </c>
      <c r="C333" s="19" t="s">
        <v>149</v>
      </c>
      <c r="D333" s="20">
        <v>32824476</v>
      </c>
      <c r="E333" s="21">
        <v>45658</v>
      </c>
      <c r="F333" s="18">
        <f>MONTH(Data!$E333)</f>
        <v>1</v>
      </c>
      <c r="G333" s="16">
        <f>YEAR(Data!$E333)</f>
        <v>2025</v>
      </c>
      <c r="H333" s="19" t="s">
        <v>29</v>
      </c>
      <c r="I333" s="15" t="str">
        <f t="shared" si="5"/>
        <v>Doanh nghiệp</v>
      </c>
      <c r="J333" s="15" t="s">
        <v>1284</v>
      </c>
      <c r="K333" s="19" t="s">
        <v>1266</v>
      </c>
      <c r="L333" s="32">
        <f>Data!$D333/10^6</f>
        <v>32.824475999999997</v>
      </c>
    </row>
    <row r="334" spans="1:12" x14ac:dyDescent="0.25">
      <c r="A334" s="30" t="s">
        <v>45</v>
      </c>
      <c r="B334" s="15" t="s">
        <v>1247</v>
      </c>
      <c r="C334" s="19" t="s">
        <v>149</v>
      </c>
      <c r="D334" s="20">
        <v>118557325</v>
      </c>
      <c r="E334" s="21">
        <v>45658</v>
      </c>
      <c r="F334" s="18">
        <f>MONTH(Data!$E334)</f>
        <v>1</v>
      </c>
      <c r="G334" s="16">
        <f>YEAR(Data!$E334)</f>
        <v>2025</v>
      </c>
      <c r="H334" s="19" t="s">
        <v>29</v>
      </c>
      <c r="I334" s="15" t="str">
        <f t="shared" si="5"/>
        <v>Doanh nghiệp</v>
      </c>
      <c r="J334" s="15" t="s">
        <v>1285</v>
      </c>
      <c r="K334" s="19" t="s">
        <v>1266</v>
      </c>
      <c r="L334" s="32">
        <f>Data!$D334/10^6</f>
        <v>118.55732500000001</v>
      </c>
    </row>
    <row r="335" spans="1:12" x14ac:dyDescent="0.25">
      <c r="A335" s="30" t="s">
        <v>55</v>
      </c>
      <c r="B335" s="15" t="s">
        <v>1245</v>
      </c>
      <c r="C335" s="19" t="s">
        <v>10</v>
      </c>
      <c r="D335" s="20">
        <v>308890000</v>
      </c>
      <c r="E335" s="21">
        <v>45658</v>
      </c>
      <c r="F335" s="18">
        <f>MONTH(Data!$E335)</f>
        <v>1</v>
      </c>
      <c r="G335" s="16">
        <f>YEAR(Data!$E335)</f>
        <v>2025</v>
      </c>
      <c r="H335" s="19" t="s">
        <v>15</v>
      </c>
      <c r="I335" s="15" t="str">
        <f t="shared" si="5"/>
        <v>Doanh nghiệp</v>
      </c>
      <c r="J335" s="15" t="s">
        <v>1284</v>
      </c>
      <c r="K335" s="19" t="s">
        <v>1262</v>
      </c>
      <c r="L335" s="32">
        <f>Data!$D335/10^6</f>
        <v>308.89</v>
      </c>
    </row>
    <row r="336" spans="1:12" x14ac:dyDescent="0.25">
      <c r="A336" s="30" t="s">
        <v>71</v>
      </c>
      <c r="B336" s="15" t="s">
        <v>1249</v>
      </c>
      <c r="C336" s="19" t="s">
        <v>41</v>
      </c>
      <c r="D336" s="20">
        <v>382427273</v>
      </c>
      <c r="E336" s="21">
        <v>45658</v>
      </c>
      <c r="F336" s="18">
        <f>MONTH(Data!$E336)</f>
        <v>1</v>
      </c>
      <c r="G336" s="16">
        <f>YEAR(Data!$E336)</f>
        <v>2025</v>
      </c>
      <c r="H336" s="19" t="s">
        <v>11</v>
      </c>
      <c r="I336" s="15" t="str">
        <f t="shared" si="5"/>
        <v>Doanh nghiệp</v>
      </c>
      <c r="J336" s="15" t="s">
        <v>1285</v>
      </c>
      <c r="K336" s="19" t="s">
        <v>1269</v>
      </c>
      <c r="L336" s="32">
        <f>Data!$D336/10^6</f>
        <v>382.42727300000001</v>
      </c>
    </row>
    <row r="337" spans="1:12" x14ac:dyDescent="0.25">
      <c r="A337" s="30" t="s">
        <v>218</v>
      </c>
      <c r="B337" s="15" t="s">
        <v>1248</v>
      </c>
      <c r="C337" s="19" t="s">
        <v>14</v>
      </c>
      <c r="D337" s="20">
        <v>2542853636</v>
      </c>
      <c r="E337" s="21">
        <v>45658</v>
      </c>
      <c r="F337" s="18">
        <f>MONTH(Data!$E337)</f>
        <v>1</v>
      </c>
      <c r="G337" s="16">
        <f>YEAR(Data!$E337)</f>
        <v>2025</v>
      </c>
      <c r="H337" s="19" t="s">
        <v>15</v>
      </c>
      <c r="I337" s="15" t="str">
        <f t="shared" si="5"/>
        <v>Doanh nghiệp</v>
      </c>
      <c r="J337" s="15" t="s">
        <v>1284</v>
      </c>
      <c r="K337" s="19" t="s">
        <v>1264</v>
      </c>
      <c r="L337" s="32">
        <f>Data!$D337/10^6</f>
        <v>2542.8536359999998</v>
      </c>
    </row>
    <row r="338" spans="1:12" x14ac:dyDescent="0.25">
      <c r="A338" s="30" t="s">
        <v>75</v>
      </c>
      <c r="B338" s="15" t="s">
        <v>1249</v>
      </c>
      <c r="C338" s="19" t="s">
        <v>10</v>
      </c>
      <c r="D338" s="20">
        <v>682772900</v>
      </c>
      <c r="E338" s="21">
        <v>45658</v>
      </c>
      <c r="F338" s="18">
        <f>MONTH(Data!$E338)</f>
        <v>1</v>
      </c>
      <c r="G338" s="16">
        <f>YEAR(Data!$E338)</f>
        <v>2025</v>
      </c>
      <c r="H338" s="19" t="s">
        <v>15</v>
      </c>
      <c r="I338" s="15" t="str">
        <f t="shared" si="5"/>
        <v>Doanh nghiệp</v>
      </c>
      <c r="J338" s="15" t="s">
        <v>1285</v>
      </c>
      <c r="K338" s="19" t="s">
        <v>1263</v>
      </c>
      <c r="L338" s="32">
        <f>Data!$D338/10^6</f>
        <v>682.77290000000005</v>
      </c>
    </row>
    <row r="339" spans="1:12" x14ac:dyDescent="0.25">
      <c r="A339" s="30" t="s">
        <v>107</v>
      </c>
      <c r="B339" s="15" t="s">
        <v>1248</v>
      </c>
      <c r="C339" s="19" t="s">
        <v>14</v>
      </c>
      <c r="D339" s="20">
        <v>3809335455</v>
      </c>
      <c r="E339" s="21">
        <v>45658</v>
      </c>
      <c r="F339" s="18">
        <f>MONTH(Data!$E339)</f>
        <v>1</v>
      </c>
      <c r="G339" s="16">
        <f>YEAR(Data!$E339)</f>
        <v>2025</v>
      </c>
      <c r="H339" s="19" t="s">
        <v>42</v>
      </c>
      <c r="I339" s="15" t="str">
        <f t="shared" si="5"/>
        <v>Doanh nghiệp</v>
      </c>
      <c r="J339" s="15" t="s">
        <v>1284</v>
      </c>
      <c r="K339" s="19" t="s">
        <v>1266</v>
      </c>
      <c r="L339" s="32">
        <f>Data!$D339/10^6</f>
        <v>3809.3354549999999</v>
      </c>
    </row>
    <row r="340" spans="1:12" x14ac:dyDescent="0.25">
      <c r="A340" s="30" t="s">
        <v>65</v>
      </c>
      <c r="B340" s="15" t="s">
        <v>1247</v>
      </c>
      <c r="C340" s="19" t="s">
        <v>14</v>
      </c>
      <c r="D340" s="20">
        <v>3276701631</v>
      </c>
      <c r="E340" s="21">
        <v>45658</v>
      </c>
      <c r="F340" s="18">
        <f>MONTH(Data!$E340)</f>
        <v>1</v>
      </c>
      <c r="G340" s="16">
        <f>YEAR(Data!$E340)</f>
        <v>2025</v>
      </c>
      <c r="H340" s="19" t="s">
        <v>25</v>
      </c>
      <c r="I340" s="15" t="str">
        <f t="shared" si="5"/>
        <v>Doanh nghiệp</v>
      </c>
      <c r="J340" s="15" t="s">
        <v>1285</v>
      </c>
      <c r="K340" s="19" t="s">
        <v>1264</v>
      </c>
      <c r="L340" s="32">
        <f>Data!$D340/10^6</f>
        <v>3276.7016309999999</v>
      </c>
    </row>
    <row r="341" spans="1:12" x14ac:dyDescent="0.25">
      <c r="A341" s="30" t="s">
        <v>87</v>
      </c>
      <c r="B341" s="15" t="s">
        <v>1115</v>
      </c>
      <c r="C341" s="19" t="s">
        <v>46</v>
      </c>
      <c r="D341" s="20">
        <v>68952727</v>
      </c>
      <c r="E341" s="21">
        <v>45658</v>
      </c>
      <c r="F341" s="18">
        <f>MONTH(Data!$E341)</f>
        <v>1</v>
      </c>
      <c r="G341" s="16">
        <f>YEAR(Data!$E341)</f>
        <v>2025</v>
      </c>
      <c r="H341" s="19" t="s">
        <v>29</v>
      </c>
      <c r="I341" s="15" t="str">
        <f t="shared" si="5"/>
        <v>Doanh nghiệp</v>
      </c>
      <c r="J341" s="15" t="s">
        <v>1284</v>
      </c>
      <c r="K341" s="19" t="s">
        <v>1271</v>
      </c>
      <c r="L341" s="32">
        <f>Data!$D341/10^6</f>
        <v>68.952726999999996</v>
      </c>
    </row>
    <row r="342" spans="1:12" x14ac:dyDescent="0.25">
      <c r="A342" s="30" t="s">
        <v>87</v>
      </c>
      <c r="B342" s="15" t="s">
        <v>1116</v>
      </c>
      <c r="C342" s="19" t="s">
        <v>46</v>
      </c>
      <c r="D342" s="20">
        <v>22036364</v>
      </c>
      <c r="E342" s="21">
        <v>45658</v>
      </c>
      <c r="F342" s="18">
        <f>MONTH(Data!$E342)</f>
        <v>1</v>
      </c>
      <c r="G342" s="16">
        <f>YEAR(Data!$E342)</f>
        <v>2025</v>
      </c>
      <c r="H342" s="19" t="s">
        <v>29</v>
      </c>
      <c r="I342" s="15" t="str">
        <f t="shared" si="5"/>
        <v>Doanh nghiệp</v>
      </c>
      <c r="J342" s="15" t="s">
        <v>1285</v>
      </c>
      <c r="K342" s="19" t="s">
        <v>1271</v>
      </c>
      <c r="L342" s="32">
        <f>Data!$D342/10^6</f>
        <v>22.036363999999999</v>
      </c>
    </row>
    <row r="343" spans="1:12" x14ac:dyDescent="0.25">
      <c r="A343" s="30" t="s">
        <v>146</v>
      </c>
      <c r="B343" s="19" t="s">
        <v>812</v>
      </c>
      <c r="C343" s="19" t="s">
        <v>10</v>
      </c>
      <c r="D343" s="20">
        <v>90817273</v>
      </c>
      <c r="E343" s="21">
        <v>45658</v>
      </c>
      <c r="F343" s="18">
        <f>MONTH(Data!$E343)</f>
        <v>1</v>
      </c>
      <c r="G343" s="16">
        <f>YEAR(Data!$E343)</f>
        <v>2025</v>
      </c>
      <c r="H343" s="19" t="s">
        <v>32</v>
      </c>
      <c r="I343" s="15" t="str">
        <f t="shared" si="5"/>
        <v>Sở ban ngành</v>
      </c>
      <c r="J343" s="15" t="s">
        <v>1284</v>
      </c>
      <c r="K343" s="19" t="s">
        <v>1263</v>
      </c>
      <c r="L343" s="32">
        <f>Data!$D343/10^6</f>
        <v>90.817273</v>
      </c>
    </row>
    <row r="344" spans="1:12" x14ac:dyDescent="0.25">
      <c r="A344" s="30" t="s">
        <v>89</v>
      </c>
      <c r="B344" s="15" t="s">
        <v>1046</v>
      </c>
      <c r="C344" s="19" t="s">
        <v>46</v>
      </c>
      <c r="D344" s="20">
        <v>11418182</v>
      </c>
      <c r="E344" s="21">
        <v>45658</v>
      </c>
      <c r="F344" s="18">
        <f>MONTH(Data!$E344)</f>
        <v>1</v>
      </c>
      <c r="G344" s="16">
        <f>YEAR(Data!$E344)</f>
        <v>2025</v>
      </c>
      <c r="H344" s="19" t="s">
        <v>11</v>
      </c>
      <c r="I344" s="15" t="str">
        <f t="shared" si="5"/>
        <v>Doanh nghiệp</v>
      </c>
      <c r="J344" s="15" t="s">
        <v>1285</v>
      </c>
      <c r="K344" s="19" t="s">
        <v>1271</v>
      </c>
      <c r="L344" s="32">
        <f>Data!$D344/10^6</f>
        <v>11.418182</v>
      </c>
    </row>
    <row r="345" spans="1:12" x14ac:dyDescent="0.25">
      <c r="A345" s="30" t="s">
        <v>37</v>
      </c>
      <c r="B345" s="19" t="s">
        <v>819</v>
      </c>
      <c r="C345" s="19" t="s">
        <v>46</v>
      </c>
      <c r="D345" s="20">
        <v>181705455</v>
      </c>
      <c r="E345" s="21">
        <v>45658</v>
      </c>
      <c r="F345" s="18">
        <f>MONTH(Data!$E345)</f>
        <v>1</v>
      </c>
      <c r="G345" s="16">
        <f>YEAR(Data!$E345)</f>
        <v>2025</v>
      </c>
      <c r="H345" s="19" t="s">
        <v>11</v>
      </c>
      <c r="I345" s="15" t="str">
        <f t="shared" si="5"/>
        <v>Sở ban ngành</v>
      </c>
      <c r="J345" s="15" t="s">
        <v>1284</v>
      </c>
      <c r="K345" s="19" t="s">
        <v>1271</v>
      </c>
      <c r="L345" s="32">
        <f>Data!$D345/10^6</f>
        <v>181.705455</v>
      </c>
    </row>
    <row r="346" spans="1:12" x14ac:dyDescent="0.25">
      <c r="A346" s="30" t="s">
        <v>146</v>
      </c>
      <c r="B346" s="19" t="s">
        <v>816</v>
      </c>
      <c r="C346" s="19" t="s">
        <v>10</v>
      </c>
      <c r="D346" s="20">
        <v>76100000</v>
      </c>
      <c r="E346" s="21">
        <v>45658</v>
      </c>
      <c r="F346" s="18">
        <f>MONTH(Data!$E346)</f>
        <v>1</v>
      </c>
      <c r="G346" s="16">
        <f>YEAR(Data!$E346)</f>
        <v>2025</v>
      </c>
      <c r="H346" s="19" t="s">
        <v>32</v>
      </c>
      <c r="I346" s="15" t="str">
        <f t="shared" si="5"/>
        <v>Sở ban ngành</v>
      </c>
      <c r="J346" s="15" t="s">
        <v>1285</v>
      </c>
      <c r="K346" s="19" t="s">
        <v>1267</v>
      </c>
      <c r="L346" s="32">
        <f>Data!$D346/10^6</f>
        <v>76.099999999999994</v>
      </c>
    </row>
    <row r="347" spans="1:12" x14ac:dyDescent="0.25">
      <c r="A347" s="30" t="s">
        <v>109</v>
      </c>
      <c r="B347" s="19" t="s">
        <v>352</v>
      </c>
      <c r="C347" s="19" t="s">
        <v>10</v>
      </c>
      <c r="D347" s="20">
        <v>209018636</v>
      </c>
      <c r="E347" s="21">
        <v>45658</v>
      </c>
      <c r="F347" s="18">
        <f>MONTH(Data!$E347)</f>
        <v>1</v>
      </c>
      <c r="G347" s="16">
        <f>YEAR(Data!$E347)</f>
        <v>2025</v>
      </c>
      <c r="H347" s="19" t="s">
        <v>22</v>
      </c>
      <c r="I347" s="15" t="str">
        <f t="shared" si="5"/>
        <v>Sở ban ngành</v>
      </c>
      <c r="J347" s="15" t="s">
        <v>1284</v>
      </c>
      <c r="K347" s="19" t="s">
        <v>1276</v>
      </c>
      <c r="L347" s="32">
        <f>Data!$D347/10^6</f>
        <v>209.01863599999999</v>
      </c>
    </row>
    <row r="348" spans="1:12" x14ac:dyDescent="0.25">
      <c r="A348" s="30" t="s">
        <v>78</v>
      </c>
      <c r="B348" s="19" t="s">
        <v>820</v>
      </c>
      <c r="C348" s="19" t="s">
        <v>14</v>
      </c>
      <c r="D348" s="20">
        <v>1014139091</v>
      </c>
      <c r="E348" s="21">
        <v>45658</v>
      </c>
      <c r="F348" s="18">
        <f>MONTH(Data!$E348)</f>
        <v>1</v>
      </c>
      <c r="G348" s="16">
        <f>YEAR(Data!$E348)</f>
        <v>2025</v>
      </c>
      <c r="H348" s="19" t="s">
        <v>15</v>
      </c>
      <c r="I348" s="15" t="str">
        <f t="shared" si="5"/>
        <v>Sở ban ngành</v>
      </c>
      <c r="J348" s="15" t="s">
        <v>1285</v>
      </c>
      <c r="K348" s="19" t="s">
        <v>1277</v>
      </c>
      <c r="L348" s="32">
        <f>Data!$D348/10^6</f>
        <v>1014.139091</v>
      </c>
    </row>
    <row r="349" spans="1:12" x14ac:dyDescent="0.25">
      <c r="A349" s="30" t="s">
        <v>130</v>
      </c>
      <c r="B349" s="19" t="s">
        <v>804</v>
      </c>
      <c r="C349" s="19" t="s">
        <v>14</v>
      </c>
      <c r="D349" s="20">
        <v>109079545</v>
      </c>
      <c r="E349" s="21">
        <v>45658</v>
      </c>
      <c r="F349" s="18">
        <f>MONTH(Data!$E349)</f>
        <v>1</v>
      </c>
      <c r="G349" s="16">
        <f>YEAR(Data!$E349)</f>
        <v>2025</v>
      </c>
      <c r="H349" s="19" t="s">
        <v>22</v>
      </c>
      <c r="I349" s="15" t="str">
        <f t="shared" si="5"/>
        <v>Sở ban ngành</v>
      </c>
      <c r="J349" s="15" t="s">
        <v>1284</v>
      </c>
      <c r="K349" s="19" t="s">
        <v>1272</v>
      </c>
      <c r="L349" s="32">
        <f>Data!$D349/10^6</f>
        <v>109.079545</v>
      </c>
    </row>
    <row r="350" spans="1:12" x14ac:dyDescent="0.25">
      <c r="A350" s="30" t="s">
        <v>78</v>
      </c>
      <c r="B350" s="19" t="s">
        <v>814</v>
      </c>
      <c r="C350" s="19" t="s">
        <v>149</v>
      </c>
      <c r="D350" s="20">
        <v>79254545</v>
      </c>
      <c r="E350" s="21">
        <v>45658</v>
      </c>
      <c r="F350" s="18">
        <f>MONTH(Data!$E350)</f>
        <v>1</v>
      </c>
      <c r="G350" s="16">
        <f>YEAR(Data!$E350)</f>
        <v>2025</v>
      </c>
      <c r="H350" s="19" t="s">
        <v>15</v>
      </c>
      <c r="I350" s="15" t="str">
        <f t="shared" si="5"/>
        <v>Sở ban ngành</v>
      </c>
      <c r="J350" s="15" t="s">
        <v>1285</v>
      </c>
      <c r="K350" s="19" t="s">
        <v>1266</v>
      </c>
      <c r="L350" s="32">
        <f>Data!$D350/10^6</f>
        <v>79.254544999999993</v>
      </c>
    </row>
    <row r="351" spans="1:12" x14ac:dyDescent="0.25">
      <c r="A351" s="30" t="s">
        <v>78</v>
      </c>
      <c r="B351" s="19" t="s">
        <v>814</v>
      </c>
      <c r="C351" s="19" t="s">
        <v>149</v>
      </c>
      <c r="D351" s="20">
        <v>79145455</v>
      </c>
      <c r="E351" s="21">
        <v>45658</v>
      </c>
      <c r="F351" s="18">
        <f>MONTH(Data!$E351)</f>
        <v>1</v>
      </c>
      <c r="G351" s="16">
        <f>YEAR(Data!$E351)</f>
        <v>2025</v>
      </c>
      <c r="H351" s="19" t="s">
        <v>15</v>
      </c>
      <c r="I351" s="15" t="str">
        <f t="shared" si="5"/>
        <v>Sở ban ngành</v>
      </c>
      <c r="J351" s="15" t="s">
        <v>1284</v>
      </c>
      <c r="K351" s="19" t="s">
        <v>1266</v>
      </c>
      <c r="L351" s="32">
        <f>Data!$D351/10^6</f>
        <v>79.145454999999998</v>
      </c>
    </row>
    <row r="352" spans="1:12" x14ac:dyDescent="0.25">
      <c r="A352" s="30" t="s">
        <v>45</v>
      </c>
      <c r="B352" s="19" t="s">
        <v>646</v>
      </c>
      <c r="C352" s="19" t="s">
        <v>10</v>
      </c>
      <c r="D352" s="20">
        <v>191727273</v>
      </c>
      <c r="E352" s="21">
        <v>45658</v>
      </c>
      <c r="F352" s="18">
        <f>MONTH(Data!$E352)</f>
        <v>1</v>
      </c>
      <c r="G352" s="16">
        <f>YEAR(Data!$E352)</f>
        <v>2025</v>
      </c>
      <c r="H352" s="19" t="s">
        <v>29</v>
      </c>
      <c r="I352" s="15" t="str">
        <f t="shared" si="5"/>
        <v>Sở ban ngành</v>
      </c>
      <c r="J352" s="15" t="s">
        <v>1285</v>
      </c>
      <c r="K352" s="19" t="s">
        <v>1278</v>
      </c>
      <c r="L352" s="32">
        <f>Data!$D352/10^6</f>
        <v>191.727273</v>
      </c>
    </row>
    <row r="353" spans="1:12" x14ac:dyDescent="0.25">
      <c r="A353" s="30" t="s">
        <v>17</v>
      </c>
      <c r="B353" s="19" t="s">
        <v>477</v>
      </c>
      <c r="C353" s="19" t="s">
        <v>10</v>
      </c>
      <c r="D353" s="20">
        <v>2815800000</v>
      </c>
      <c r="E353" s="21">
        <v>45658</v>
      </c>
      <c r="F353" s="18">
        <f>MONTH(Data!$E353)</f>
        <v>1</v>
      </c>
      <c r="G353" s="16">
        <f>YEAR(Data!$E353)</f>
        <v>2025</v>
      </c>
      <c r="H353" s="19" t="s">
        <v>11</v>
      </c>
      <c r="I353" s="15" t="str">
        <f t="shared" si="5"/>
        <v>Sở ban ngành</v>
      </c>
      <c r="J353" s="15" t="s">
        <v>1284</v>
      </c>
      <c r="K353" s="19" t="s">
        <v>1267</v>
      </c>
      <c r="L353" s="32">
        <f>Data!$D353/10^6</f>
        <v>2815.8</v>
      </c>
    </row>
    <row r="354" spans="1:12" x14ac:dyDescent="0.25">
      <c r="A354" s="30" t="s">
        <v>54</v>
      </c>
      <c r="B354" s="19" t="s">
        <v>811</v>
      </c>
      <c r="C354" s="19" t="s">
        <v>14</v>
      </c>
      <c r="D354" s="20">
        <v>11289091</v>
      </c>
      <c r="E354" s="21">
        <v>45658</v>
      </c>
      <c r="F354" s="18">
        <f>MONTH(Data!$E354)</f>
        <v>1</v>
      </c>
      <c r="G354" s="16">
        <f>YEAR(Data!$E354)</f>
        <v>2025</v>
      </c>
      <c r="H354" s="19" t="s">
        <v>15</v>
      </c>
      <c r="I354" s="15" t="str">
        <f t="shared" si="5"/>
        <v>Sở ban ngành</v>
      </c>
      <c r="J354" s="15" t="s">
        <v>1285</v>
      </c>
      <c r="K354" s="19" t="s">
        <v>1275</v>
      </c>
      <c r="L354" s="32">
        <f>Data!$D354/10^6</f>
        <v>11.289091000000001</v>
      </c>
    </row>
    <row r="355" spans="1:12" x14ac:dyDescent="0.25">
      <c r="A355" s="30" t="s">
        <v>74</v>
      </c>
      <c r="B355" s="19" t="s">
        <v>806</v>
      </c>
      <c r="C355" s="19" t="s">
        <v>41</v>
      </c>
      <c r="D355" s="20">
        <v>227930545</v>
      </c>
      <c r="E355" s="21">
        <v>45658</v>
      </c>
      <c r="F355" s="18">
        <f>MONTH(Data!$E355)</f>
        <v>1</v>
      </c>
      <c r="G355" s="16">
        <f>YEAR(Data!$E355)</f>
        <v>2025</v>
      </c>
      <c r="H355" s="19" t="s">
        <v>11</v>
      </c>
      <c r="I355" s="15" t="str">
        <f t="shared" si="5"/>
        <v>Sở ban ngành</v>
      </c>
      <c r="J355" s="15" t="s">
        <v>1284</v>
      </c>
      <c r="K355" s="19" t="s">
        <v>1280</v>
      </c>
      <c r="L355" s="32">
        <f>Data!$D355/10^6</f>
        <v>227.930545</v>
      </c>
    </row>
    <row r="356" spans="1:12" x14ac:dyDescent="0.25">
      <c r="A356" s="30" t="s">
        <v>47</v>
      </c>
      <c r="B356" s="19" t="s">
        <v>818</v>
      </c>
      <c r="C356" s="19" t="s">
        <v>10</v>
      </c>
      <c r="D356" s="20">
        <v>128224682</v>
      </c>
      <c r="E356" s="21">
        <v>45658</v>
      </c>
      <c r="F356" s="18">
        <f>MONTH(Data!$E356)</f>
        <v>1</v>
      </c>
      <c r="G356" s="16">
        <f>YEAR(Data!$E356)</f>
        <v>2025</v>
      </c>
      <c r="H356" s="19" t="s">
        <v>29</v>
      </c>
      <c r="I356" s="15" t="str">
        <f t="shared" si="5"/>
        <v>Sở ban ngành</v>
      </c>
      <c r="J356" s="15" t="s">
        <v>1285</v>
      </c>
      <c r="K356" s="19" t="s">
        <v>1263</v>
      </c>
      <c r="L356" s="32">
        <f>Data!$D356/10^6</f>
        <v>128.224682</v>
      </c>
    </row>
    <row r="357" spans="1:12" x14ac:dyDescent="0.25">
      <c r="A357" s="30" t="s">
        <v>30</v>
      </c>
      <c r="B357" s="19" t="s">
        <v>807</v>
      </c>
      <c r="C357" s="19" t="s">
        <v>149</v>
      </c>
      <c r="D357" s="20">
        <v>47970545</v>
      </c>
      <c r="E357" s="21">
        <v>45658</v>
      </c>
      <c r="F357" s="18">
        <f>MONTH(Data!$E357)</f>
        <v>1</v>
      </c>
      <c r="G357" s="16">
        <f>YEAR(Data!$E357)</f>
        <v>2025</v>
      </c>
      <c r="H357" s="19" t="s">
        <v>32</v>
      </c>
      <c r="I357" s="15" t="str">
        <f t="shared" si="5"/>
        <v>Sở ban ngành</v>
      </c>
      <c r="J357" s="15" t="s">
        <v>1284</v>
      </c>
      <c r="K357" s="19" t="s">
        <v>1263</v>
      </c>
      <c r="L357" s="32">
        <f>Data!$D357/10^6</f>
        <v>47.970545000000001</v>
      </c>
    </row>
    <row r="358" spans="1:12" x14ac:dyDescent="0.25">
      <c r="A358" s="30" t="s">
        <v>8</v>
      </c>
      <c r="B358" s="19" t="s">
        <v>590</v>
      </c>
      <c r="C358" s="19" t="s">
        <v>149</v>
      </c>
      <c r="D358" s="20">
        <v>135804545</v>
      </c>
      <c r="E358" s="21">
        <v>45658</v>
      </c>
      <c r="F358" s="18">
        <f>MONTH(Data!$E358)</f>
        <v>1</v>
      </c>
      <c r="G358" s="16">
        <f>YEAR(Data!$E358)</f>
        <v>2025</v>
      </c>
      <c r="H358" s="19" t="s">
        <v>11</v>
      </c>
      <c r="I358" s="15" t="str">
        <f t="shared" si="5"/>
        <v>Sở ban ngành</v>
      </c>
      <c r="J358" s="15" t="s">
        <v>1285</v>
      </c>
      <c r="K358" s="19" t="s">
        <v>1275</v>
      </c>
      <c r="L358" s="32">
        <f>Data!$D358/10^6</f>
        <v>135.80454499999999</v>
      </c>
    </row>
    <row r="359" spans="1:12" x14ac:dyDescent="0.25">
      <c r="A359" s="30" t="s">
        <v>37</v>
      </c>
      <c r="B359" s="19" t="s">
        <v>281</v>
      </c>
      <c r="C359" s="19" t="s">
        <v>46</v>
      </c>
      <c r="D359" s="20">
        <v>45296818</v>
      </c>
      <c r="E359" s="21">
        <v>45658</v>
      </c>
      <c r="F359" s="18">
        <f>MONTH(Data!$E359)</f>
        <v>1</v>
      </c>
      <c r="G359" s="16">
        <f>YEAR(Data!$E359)</f>
        <v>2025</v>
      </c>
      <c r="H359" s="19" t="s">
        <v>11</v>
      </c>
      <c r="I359" s="15" t="str">
        <f t="shared" si="5"/>
        <v>Sở ban ngành</v>
      </c>
      <c r="J359" s="15" t="s">
        <v>1284</v>
      </c>
      <c r="K359" s="19" t="s">
        <v>1271</v>
      </c>
      <c r="L359" s="32">
        <f>Data!$D359/10^6</f>
        <v>45.296818000000002</v>
      </c>
    </row>
    <row r="360" spans="1:12" x14ac:dyDescent="0.25">
      <c r="A360" s="30" t="s">
        <v>89</v>
      </c>
      <c r="B360" s="19" t="s">
        <v>817</v>
      </c>
      <c r="C360" s="19" t="s">
        <v>10</v>
      </c>
      <c r="D360" s="20">
        <v>20690909</v>
      </c>
      <c r="E360" s="21">
        <v>45658</v>
      </c>
      <c r="F360" s="18">
        <f>MONTH(Data!$E360)</f>
        <v>1</v>
      </c>
      <c r="G360" s="16">
        <f>YEAR(Data!$E360)</f>
        <v>2025</v>
      </c>
      <c r="H360" s="19" t="s">
        <v>11</v>
      </c>
      <c r="I360" s="15" t="str">
        <f t="shared" si="5"/>
        <v>Trường học</v>
      </c>
      <c r="J360" s="15" t="s">
        <v>1285</v>
      </c>
      <c r="K360" s="19" t="s">
        <v>1262</v>
      </c>
      <c r="L360" s="32">
        <f>Data!$D360/10^6</f>
        <v>20.690909000000001</v>
      </c>
    </row>
    <row r="361" spans="1:12" x14ac:dyDescent="0.25">
      <c r="A361" s="30" t="s">
        <v>89</v>
      </c>
      <c r="B361" s="19" t="s">
        <v>815</v>
      </c>
      <c r="C361" s="19" t="s">
        <v>10</v>
      </c>
      <c r="D361" s="20">
        <v>16127273</v>
      </c>
      <c r="E361" s="21">
        <v>45658</v>
      </c>
      <c r="F361" s="18">
        <f>MONTH(Data!$E361)</f>
        <v>1</v>
      </c>
      <c r="G361" s="16">
        <f>YEAR(Data!$E361)</f>
        <v>2025</v>
      </c>
      <c r="H361" s="19" t="s">
        <v>11</v>
      </c>
      <c r="I361" s="15" t="str">
        <f t="shared" si="5"/>
        <v>Trường học</v>
      </c>
      <c r="J361" s="15" t="s">
        <v>1284</v>
      </c>
      <c r="K361" s="19" t="s">
        <v>1262</v>
      </c>
      <c r="L361" s="32">
        <f>Data!$D361/10^6</f>
        <v>16.127272999999999</v>
      </c>
    </row>
    <row r="362" spans="1:12" x14ac:dyDescent="0.25">
      <c r="A362" s="30" t="s">
        <v>59</v>
      </c>
      <c r="B362" s="19" t="s">
        <v>809</v>
      </c>
      <c r="C362" s="19" t="s">
        <v>10</v>
      </c>
      <c r="D362" s="20">
        <v>24415455</v>
      </c>
      <c r="E362" s="21">
        <v>45658</v>
      </c>
      <c r="F362" s="18">
        <f>MONTH(Data!$E362)</f>
        <v>1</v>
      </c>
      <c r="G362" s="16">
        <f>YEAR(Data!$E362)</f>
        <v>2025</v>
      </c>
      <c r="H362" s="19" t="s">
        <v>22</v>
      </c>
      <c r="I362" s="15" t="str">
        <f t="shared" si="5"/>
        <v>Trường học</v>
      </c>
      <c r="J362" s="15" t="s">
        <v>1285</v>
      </c>
      <c r="K362" s="19" t="s">
        <v>1262</v>
      </c>
      <c r="L362" s="32">
        <f>Data!$D362/10^6</f>
        <v>24.415455000000001</v>
      </c>
    </row>
    <row r="363" spans="1:12" x14ac:dyDescent="0.25">
      <c r="A363" s="30" t="s">
        <v>17</v>
      </c>
      <c r="B363" s="19" t="s">
        <v>810</v>
      </c>
      <c r="C363" s="19" t="s">
        <v>10</v>
      </c>
      <c r="D363" s="20">
        <v>9340000</v>
      </c>
      <c r="E363" s="21">
        <v>45658</v>
      </c>
      <c r="F363" s="18">
        <f>MONTH(Data!$E363)</f>
        <v>1</v>
      </c>
      <c r="G363" s="16">
        <f>YEAR(Data!$E363)</f>
        <v>2025</v>
      </c>
      <c r="H363" s="19" t="s">
        <v>11</v>
      </c>
      <c r="I363" s="15" t="str">
        <f t="shared" si="5"/>
        <v>Trường học</v>
      </c>
      <c r="J363" s="15" t="s">
        <v>1284</v>
      </c>
      <c r="K363" s="19" t="s">
        <v>1262</v>
      </c>
      <c r="L363" s="32">
        <f>Data!$D363/10^6</f>
        <v>9.34</v>
      </c>
    </row>
    <row r="364" spans="1:12" x14ac:dyDescent="0.25">
      <c r="A364" s="30" t="s">
        <v>62</v>
      </c>
      <c r="B364" s="19" t="s">
        <v>813</v>
      </c>
      <c r="C364" s="19" t="s">
        <v>10</v>
      </c>
      <c r="D364" s="20">
        <v>17761818</v>
      </c>
      <c r="E364" s="21">
        <v>45658</v>
      </c>
      <c r="F364" s="18">
        <f>MONTH(Data!$E364)</f>
        <v>1</v>
      </c>
      <c r="G364" s="16">
        <f>YEAR(Data!$E364)</f>
        <v>2025</v>
      </c>
      <c r="H364" s="19" t="s">
        <v>15</v>
      </c>
      <c r="I364" s="15" t="str">
        <f t="shared" si="5"/>
        <v>Trường học</v>
      </c>
      <c r="J364" s="15" t="s">
        <v>1285</v>
      </c>
      <c r="K364" s="19" t="s">
        <v>1263</v>
      </c>
      <c r="L364" s="32">
        <f>Data!$D364/10^6</f>
        <v>17.761818000000002</v>
      </c>
    </row>
    <row r="365" spans="1:12" x14ac:dyDescent="0.25">
      <c r="A365" s="29" t="s">
        <v>68</v>
      </c>
      <c r="B365" s="15" t="s">
        <v>185</v>
      </c>
      <c r="C365" s="15" t="s">
        <v>10</v>
      </c>
      <c r="D365" s="16">
        <v>44070000</v>
      </c>
      <c r="E365" s="17">
        <v>45323</v>
      </c>
      <c r="F365" s="18">
        <f>MONTH(Data!$E365)</f>
        <v>2</v>
      </c>
      <c r="G365" s="16">
        <f>YEAR(Data!$E365)</f>
        <v>2024</v>
      </c>
      <c r="H365" s="15" t="s">
        <v>22</v>
      </c>
      <c r="I365" s="15" t="str">
        <f t="shared" si="5"/>
        <v>Bệnh viện</v>
      </c>
      <c r="J365" s="15" t="s">
        <v>1284</v>
      </c>
      <c r="K365" s="15" t="s">
        <v>1267</v>
      </c>
      <c r="L365" s="32">
        <f>Data!$D365/10^6</f>
        <v>44.07</v>
      </c>
    </row>
    <row r="366" spans="1:12" x14ac:dyDescent="0.25">
      <c r="A366" s="29" t="s">
        <v>52</v>
      </c>
      <c r="B366" s="15" t="s">
        <v>1025</v>
      </c>
      <c r="C366" s="15" t="s">
        <v>10</v>
      </c>
      <c r="D366" s="16">
        <v>30618377</v>
      </c>
      <c r="E366" s="17">
        <v>45323</v>
      </c>
      <c r="F366" s="18">
        <f>MONTH(Data!$E366)</f>
        <v>2</v>
      </c>
      <c r="G366" s="16">
        <f>YEAR(Data!$E366)</f>
        <v>2024</v>
      </c>
      <c r="H366" s="15" t="s">
        <v>35</v>
      </c>
      <c r="I366" s="15" t="str">
        <f t="shared" si="5"/>
        <v>Doanh nghiệp</v>
      </c>
      <c r="J366" s="15" t="s">
        <v>1285</v>
      </c>
      <c r="K366" s="15" t="s">
        <v>1263</v>
      </c>
      <c r="L366" s="32">
        <f>Data!$D366/10^6</f>
        <v>30.618376999999999</v>
      </c>
    </row>
    <row r="367" spans="1:12" x14ac:dyDescent="0.25">
      <c r="A367" s="29" t="s">
        <v>51</v>
      </c>
      <c r="B367" s="15" t="s">
        <v>1033</v>
      </c>
      <c r="C367" s="15" t="s">
        <v>10</v>
      </c>
      <c r="D367" s="16">
        <v>108126121</v>
      </c>
      <c r="E367" s="17">
        <v>45323</v>
      </c>
      <c r="F367" s="18">
        <f>MONTH(Data!$E367)</f>
        <v>2</v>
      </c>
      <c r="G367" s="16">
        <f>YEAR(Data!$E367)</f>
        <v>2024</v>
      </c>
      <c r="H367" s="15" t="s">
        <v>42</v>
      </c>
      <c r="I367" s="15" t="str">
        <f t="shared" si="5"/>
        <v>Doanh nghiệp</v>
      </c>
      <c r="J367" s="15" t="s">
        <v>1284</v>
      </c>
      <c r="K367" s="15" t="s">
        <v>1262</v>
      </c>
      <c r="L367" s="32">
        <f>Data!$D367/10^6</f>
        <v>108.126121</v>
      </c>
    </row>
    <row r="368" spans="1:12" x14ac:dyDescent="0.25">
      <c r="A368" s="29" t="s">
        <v>36</v>
      </c>
      <c r="B368" s="15" t="s">
        <v>1038</v>
      </c>
      <c r="C368" s="15" t="s">
        <v>10</v>
      </c>
      <c r="D368" s="16">
        <v>4700000</v>
      </c>
      <c r="E368" s="17">
        <v>45323</v>
      </c>
      <c r="F368" s="18">
        <f>MONTH(Data!$E368)</f>
        <v>2</v>
      </c>
      <c r="G368" s="16">
        <f>YEAR(Data!$E368)</f>
        <v>2024</v>
      </c>
      <c r="H368" s="15" t="s">
        <v>15</v>
      </c>
      <c r="I368" s="15" t="str">
        <f t="shared" si="5"/>
        <v>Doanh nghiệp</v>
      </c>
      <c r="J368" s="15" t="s">
        <v>1285</v>
      </c>
      <c r="K368" s="15" t="s">
        <v>1262</v>
      </c>
      <c r="L368" s="32">
        <f>Data!$D368/10^6</f>
        <v>4.7</v>
      </c>
    </row>
    <row r="369" spans="1:12" x14ac:dyDescent="0.25">
      <c r="A369" s="29" t="s">
        <v>51</v>
      </c>
      <c r="B369" s="15" t="s">
        <v>1039</v>
      </c>
      <c r="C369" s="15" t="s">
        <v>10</v>
      </c>
      <c r="D369" s="16">
        <v>64010909</v>
      </c>
      <c r="E369" s="17">
        <v>45323</v>
      </c>
      <c r="F369" s="18">
        <f>MONTH(Data!$E369)</f>
        <v>2</v>
      </c>
      <c r="G369" s="16">
        <f>YEAR(Data!$E369)</f>
        <v>2024</v>
      </c>
      <c r="H369" s="15" t="s">
        <v>42</v>
      </c>
      <c r="I369" s="15" t="str">
        <f t="shared" si="5"/>
        <v>Doanh nghiệp</v>
      </c>
      <c r="J369" s="15" t="s">
        <v>1284</v>
      </c>
      <c r="K369" s="15" t="s">
        <v>1263</v>
      </c>
      <c r="L369" s="32">
        <f>Data!$D369/10^6</f>
        <v>64.010908999999998</v>
      </c>
    </row>
    <row r="370" spans="1:12" x14ac:dyDescent="0.25">
      <c r="A370" s="29" t="s">
        <v>17</v>
      </c>
      <c r="B370" s="15" t="s">
        <v>1047</v>
      </c>
      <c r="C370" s="15" t="s">
        <v>10</v>
      </c>
      <c r="D370" s="16">
        <v>83200000</v>
      </c>
      <c r="E370" s="17">
        <v>45323</v>
      </c>
      <c r="F370" s="18">
        <f>MONTH(Data!$E370)</f>
        <v>2</v>
      </c>
      <c r="G370" s="16">
        <f>YEAR(Data!$E370)</f>
        <v>2024</v>
      </c>
      <c r="H370" s="15" t="s">
        <v>11</v>
      </c>
      <c r="I370" s="15" t="str">
        <f t="shared" si="5"/>
        <v>Doanh nghiệp</v>
      </c>
      <c r="J370" s="15" t="s">
        <v>1285</v>
      </c>
      <c r="K370" s="15" t="s">
        <v>1263</v>
      </c>
      <c r="L370" s="32">
        <f>Data!$D370/10^6</f>
        <v>83.2</v>
      </c>
    </row>
    <row r="371" spans="1:12" x14ac:dyDescent="0.25">
      <c r="A371" s="29" t="s">
        <v>21</v>
      </c>
      <c r="B371" s="15" t="s">
        <v>1048</v>
      </c>
      <c r="C371" s="15" t="s">
        <v>10</v>
      </c>
      <c r="D371" s="16">
        <v>463574264</v>
      </c>
      <c r="E371" s="17">
        <v>45323</v>
      </c>
      <c r="F371" s="18">
        <f>MONTH(Data!$E371)</f>
        <v>2</v>
      </c>
      <c r="G371" s="16">
        <f>YEAR(Data!$E371)</f>
        <v>2024</v>
      </c>
      <c r="H371" s="15" t="s">
        <v>22</v>
      </c>
      <c r="I371" s="15" t="str">
        <f t="shared" si="5"/>
        <v>Doanh nghiệp</v>
      </c>
      <c r="J371" s="15" t="s">
        <v>1284</v>
      </c>
      <c r="K371" s="15" t="s">
        <v>1268</v>
      </c>
      <c r="L371" s="32">
        <f>Data!$D371/10^6</f>
        <v>463.57426400000003</v>
      </c>
    </row>
    <row r="372" spans="1:12" x14ac:dyDescent="0.25">
      <c r="A372" s="29" t="s">
        <v>107</v>
      </c>
      <c r="B372" s="15" t="s">
        <v>1062</v>
      </c>
      <c r="C372" s="15" t="s">
        <v>46</v>
      </c>
      <c r="D372" s="16">
        <v>8603609530</v>
      </c>
      <c r="E372" s="17">
        <v>45323</v>
      </c>
      <c r="F372" s="18">
        <f>MONTH(Data!$E372)</f>
        <v>2</v>
      </c>
      <c r="G372" s="16">
        <f>YEAR(Data!$E372)</f>
        <v>2024</v>
      </c>
      <c r="H372" s="15" t="s">
        <v>42</v>
      </c>
      <c r="I372" s="15" t="str">
        <f t="shared" si="5"/>
        <v>Doanh nghiệp</v>
      </c>
      <c r="J372" s="15" t="s">
        <v>1285</v>
      </c>
      <c r="K372" s="15" t="s">
        <v>1265</v>
      </c>
      <c r="L372" s="32">
        <f>Data!$D372/10^6</f>
        <v>8603.6095299999997</v>
      </c>
    </row>
    <row r="373" spans="1:12" x14ac:dyDescent="0.25">
      <c r="A373" s="29" t="s">
        <v>21</v>
      </c>
      <c r="B373" s="15" t="s">
        <v>1081</v>
      </c>
      <c r="C373" s="15" t="s">
        <v>10</v>
      </c>
      <c r="D373" s="16">
        <v>227153009</v>
      </c>
      <c r="E373" s="17">
        <v>45323</v>
      </c>
      <c r="F373" s="18">
        <f>MONTH(Data!$E373)</f>
        <v>2</v>
      </c>
      <c r="G373" s="16">
        <f>YEAR(Data!$E373)</f>
        <v>2024</v>
      </c>
      <c r="H373" s="15" t="s">
        <v>22</v>
      </c>
      <c r="I373" s="15" t="str">
        <f t="shared" si="5"/>
        <v>Doanh nghiệp</v>
      </c>
      <c r="J373" s="15" t="s">
        <v>1284</v>
      </c>
      <c r="K373" s="15" t="s">
        <v>1268</v>
      </c>
      <c r="L373" s="32">
        <f>Data!$D373/10^6</f>
        <v>227.153009</v>
      </c>
    </row>
    <row r="374" spans="1:12" x14ac:dyDescent="0.25">
      <c r="A374" s="29" t="s">
        <v>21</v>
      </c>
      <c r="B374" s="15" t="s">
        <v>1082</v>
      </c>
      <c r="C374" s="15" t="s">
        <v>10</v>
      </c>
      <c r="D374" s="16">
        <v>418763636</v>
      </c>
      <c r="E374" s="17">
        <v>45323</v>
      </c>
      <c r="F374" s="18">
        <f>MONTH(Data!$E374)</f>
        <v>2</v>
      </c>
      <c r="G374" s="16">
        <f>YEAR(Data!$E374)</f>
        <v>2024</v>
      </c>
      <c r="H374" s="15" t="s">
        <v>22</v>
      </c>
      <c r="I374" s="15" t="str">
        <f t="shared" si="5"/>
        <v>Doanh nghiệp</v>
      </c>
      <c r="J374" s="15" t="s">
        <v>1285</v>
      </c>
      <c r="K374" s="15" t="s">
        <v>1268</v>
      </c>
      <c r="L374" s="32">
        <f>Data!$D374/10^6</f>
        <v>418.76363600000002</v>
      </c>
    </row>
    <row r="375" spans="1:12" x14ac:dyDescent="0.25">
      <c r="A375" s="29" t="s">
        <v>21</v>
      </c>
      <c r="B375" s="15" t="s">
        <v>1083</v>
      </c>
      <c r="C375" s="15" t="s">
        <v>10</v>
      </c>
      <c r="D375" s="16">
        <v>283138182</v>
      </c>
      <c r="E375" s="17">
        <v>45323</v>
      </c>
      <c r="F375" s="18">
        <f>MONTH(Data!$E375)</f>
        <v>2</v>
      </c>
      <c r="G375" s="16">
        <f>YEAR(Data!$E375)</f>
        <v>2024</v>
      </c>
      <c r="H375" s="15" t="s">
        <v>22</v>
      </c>
      <c r="I375" s="15" t="str">
        <f t="shared" si="5"/>
        <v>Doanh nghiệp</v>
      </c>
      <c r="J375" s="15" t="s">
        <v>1284</v>
      </c>
      <c r="K375" s="15" t="s">
        <v>1268</v>
      </c>
      <c r="L375" s="32">
        <f>Data!$D375/10^6</f>
        <v>283.13818199999997</v>
      </c>
    </row>
    <row r="376" spans="1:12" x14ac:dyDescent="0.25">
      <c r="A376" s="29" t="s">
        <v>146</v>
      </c>
      <c r="B376" s="15" t="s">
        <v>1030</v>
      </c>
      <c r="C376" s="15" t="s">
        <v>10</v>
      </c>
      <c r="D376" s="16">
        <v>84070909</v>
      </c>
      <c r="E376" s="17">
        <v>45323</v>
      </c>
      <c r="F376" s="18">
        <f>MONTH(Data!$E376)</f>
        <v>2</v>
      </c>
      <c r="G376" s="16">
        <f>YEAR(Data!$E376)</f>
        <v>2024</v>
      </c>
      <c r="H376" s="15" t="s">
        <v>32</v>
      </c>
      <c r="I376" s="15" t="str">
        <f t="shared" si="5"/>
        <v>Doanh nghiệp</v>
      </c>
      <c r="J376" s="15" t="s">
        <v>1285</v>
      </c>
      <c r="K376" s="15" t="s">
        <v>1263</v>
      </c>
      <c r="L376" s="32">
        <f>Data!$D376/10^6</f>
        <v>84.070909</v>
      </c>
    </row>
    <row r="377" spans="1:12" x14ac:dyDescent="0.25">
      <c r="A377" s="29" t="s">
        <v>68</v>
      </c>
      <c r="B377" s="15" t="s">
        <v>1031</v>
      </c>
      <c r="C377" s="15" t="s">
        <v>149</v>
      </c>
      <c r="D377" s="16">
        <v>28250000</v>
      </c>
      <c r="E377" s="17">
        <v>45323</v>
      </c>
      <c r="F377" s="18">
        <f>MONTH(Data!$E377)</f>
        <v>2</v>
      </c>
      <c r="G377" s="16">
        <f>YEAR(Data!$E377)</f>
        <v>2024</v>
      </c>
      <c r="H377" s="15" t="s">
        <v>22</v>
      </c>
      <c r="I377" s="15" t="str">
        <f t="shared" si="5"/>
        <v>Doanh nghiệp</v>
      </c>
      <c r="J377" s="15" t="s">
        <v>1284</v>
      </c>
      <c r="K377" s="15" t="s">
        <v>1262</v>
      </c>
      <c r="L377" s="32">
        <f>Data!$D377/10^6</f>
        <v>28.25</v>
      </c>
    </row>
    <row r="378" spans="1:12" x14ac:dyDescent="0.25">
      <c r="A378" s="29" t="s">
        <v>21</v>
      </c>
      <c r="B378" s="15" t="s">
        <v>1044</v>
      </c>
      <c r="C378" s="15" t="s">
        <v>149</v>
      </c>
      <c r="D378" s="16">
        <v>5818182</v>
      </c>
      <c r="E378" s="17">
        <v>45323</v>
      </c>
      <c r="F378" s="18">
        <f>MONTH(Data!$E378)</f>
        <v>2</v>
      </c>
      <c r="G378" s="16">
        <f>YEAR(Data!$E378)</f>
        <v>2024</v>
      </c>
      <c r="H378" s="15" t="s">
        <v>22</v>
      </c>
      <c r="I378" s="15" t="str">
        <f t="shared" si="5"/>
        <v>Doanh nghiệp</v>
      </c>
      <c r="J378" s="15" t="s">
        <v>1285</v>
      </c>
      <c r="K378" s="15" t="s">
        <v>1265</v>
      </c>
      <c r="L378" s="32">
        <f>Data!$D378/10^6</f>
        <v>5.8181820000000002</v>
      </c>
    </row>
    <row r="379" spans="1:12" x14ac:dyDescent="0.25">
      <c r="A379" s="29" t="s">
        <v>102</v>
      </c>
      <c r="B379" s="15" t="s">
        <v>1046</v>
      </c>
      <c r="C379" s="15" t="s">
        <v>149</v>
      </c>
      <c r="D379" s="16">
        <v>437364982</v>
      </c>
      <c r="E379" s="17">
        <v>45323</v>
      </c>
      <c r="F379" s="18">
        <f>MONTH(Data!$E379)</f>
        <v>2</v>
      </c>
      <c r="G379" s="16">
        <f>YEAR(Data!$E379)</f>
        <v>2024</v>
      </c>
      <c r="H379" s="15" t="s">
        <v>22</v>
      </c>
      <c r="I379" s="15" t="str">
        <f t="shared" si="5"/>
        <v>Doanh nghiệp</v>
      </c>
      <c r="J379" s="15" t="s">
        <v>1284</v>
      </c>
      <c r="K379" s="15" t="s">
        <v>1262</v>
      </c>
      <c r="L379" s="32">
        <f>Data!$D379/10^6</f>
        <v>437.364982</v>
      </c>
    </row>
    <row r="380" spans="1:12" x14ac:dyDescent="0.25">
      <c r="A380" s="29" t="s">
        <v>73</v>
      </c>
      <c r="B380" s="15" t="s">
        <v>1053</v>
      </c>
      <c r="C380" s="15" t="s">
        <v>10</v>
      </c>
      <c r="D380" s="16">
        <v>68094545</v>
      </c>
      <c r="E380" s="17">
        <v>45323</v>
      </c>
      <c r="F380" s="18">
        <f>MONTH(Data!$E380)</f>
        <v>2</v>
      </c>
      <c r="G380" s="16">
        <f>YEAR(Data!$E380)</f>
        <v>2024</v>
      </c>
      <c r="H380" s="15" t="s">
        <v>32</v>
      </c>
      <c r="I380" s="15" t="str">
        <f t="shared" si="5"/>
        <v>Doanh nghiệp</v>
      </c>
      <c r="J380" s="15" t="s">
        <v>1285</v>
      </c>
      <c r="K380" s="15" t="s">
        <v>1262</v>
      </c>
      <c r="L380" s="32">
        <f>Data!$D380/10^6</f>
        <v>68.094544999999997</v>
      </c>
    </row>
    <row r="381" spans="1:12" x14ac:dyDescent="0.25">
      <c r="A381" s="29" t="s">
        <v>107</v>
      </c>
      <c r="B381" s="15" t="s">
        <v>1058</v>
      </c>
      <c r="C381" s="15" t="s">
        <v>41</v>
      </c>
      <c r="D381" s="16">
        <v>49335000</v>
      </c>
      <c r="E381" s="17">
        <v>45323</v>
      </c>
      <c r="F381" s="18">
        <f>MONTH(Data!$E381)</f>
        <v>2</v>
      </c>
      <c r="G381" s="16">
        <f>YEAR(Data!$E381)</f>
        <v>2024</v>
      </c>
      <c r="H381" s="15" t="s">
        <v>42</v>
      </c>
      <c r="I381" s="15" t="str">
        <f t="shared" si="5"/>
        <v>Doanh nghiệp</v>
      </c>
      <c r="J381" s="15" t="s">
        <v>1284</v>
      </c>
      <c r="K381" s="15" t="s">
        <v>1270</v>
      </c>
      <c r="L381" s="32">
        <f>Data!$D381/10^6</f>
        <v>49.335000000000001</v>
      </c>
    </row>
    <row r="382" spans="1:12" x14ac:dyDescent="0.25">
      <c r="A382" s="29" t="s">
        <v>191</v>
      </c>
      <c r="B382" s="15" t="s">
        <v>1082</v>
      </c>
      <c r="C382" s="15" t="s">
        <v>149</v>
      </c>
      <c r="D382" s="16">
        <v>487834822</v>
      </c>
      <c r="E382" s="17">
        <v>45323</v>
      </c>
      <c r="F382" s="18">
        <f>MONTH(Data!$E382)</f>
        <v>2</v>
      </c>
      <c r="G382" s="16">
        <f>YEAR(Data!$E382)</f>
        <v>2024</v>
      </c>
      <c r="H382" s="15" t="s">
        <v>35</v>
      </c>
      <c r="I382" s="15" t="str">
        <f t="shared" si="5"/>
        <v>Doanh nghiệp</v>
      </c>
      <c r="J382" s="15" t="s">
        <v>1285</v>
      </c>
      <c r="K382" s="15" t="s">
        <v>1262</v>
      </c>
      <c r="L382" s="32">
        <f>Data!$D382/10^6</f>
        <v>487.83482199999997</v>
      </c>
    </row>
    <row r="383" spans="1:12" x14ac:dyDescent="0.25">
      <c r="A383" s="29" t="s">
        <v>127</v>
      </c>
      <c r="B383" s="15" t="s">
        <v>1088</v>
      </c>
      <c r="C383" s="15" t="s">
        <v>149</v>
      </c>
      <c r="D383" s="16">
        <v>62784000</v>
      </c>
      <c r="E383" s="17">
        <v>45323</v>
      </c>
      <c r="F383" s="18">
        <f>MONTH(Data!$E383)</f>
        <v>2</v>
      </c>
      <c r="G383" s="16">
        <f>YEAR(Data!$E383)</f>
        <v>2024</v>
      </c>
      <c r="H383" s="15" t="s">
        <v>32</v>
      </c>
      <c r="I383" s="15" t="str">
        <f t="shared" si="5"/>
        <v>Doanh nghiệp</v>
      </c>
      <c r="J383" s="15" t="s">
        <v>1284</v>
      </c>
      <c r="K383" s="15" t="s">
        <v>1263</v>
      </c>
      <c r="L383" s="32">
        <f>Data!$D383/10^6</f>
        <v>62.783999999999999</v>
      </c>
    </row>
    <row r="384" spans="1:12" x14ac:dyDescent="0.25">
      <c r="A384" s="29" t="s">
        <v>74</v>
      </c>
      <c r="B384" s="15" t="s">
        <v>1090</v>
      </c>
      <c r="C384" s="15" t="s">
        <v>10</v>
      </c>
      <c r="D384" s="16">
        <v>17945173</v>
      </c>
      <c r="E384" s="17">
        <v>45323</v>
      </c>
      <c r="F384" s="18">
        <f>MONTH(Data!$E384)</f>
        <v>2</v>
      </c>
      <c r="G384" s="16">
        <f>YEAR(Data!$E384)</f>
        <v>2024</v>
      </c>
      <c r="H384" s="15" t="s">
        <v>11</v>
      </c>
      <c r="I384" s="15" t="str">
        <f t="shared" si="5"/>
        <v>Doanh nghiệp</v>
      </c>
      <c r="J384" s="15" t="s">
        <v>1285</v>
      </c>
      <c r="K384" s="15" t="s">
        <v>1263</v>
      </c>
      <c r="L384" s="32">
        <f>Data!$D384/10^6</f>
        <v>17.945173</v>
      </c>
    </row>
    <row r="385" spans="1:12" x14ac:dyDescent="0.25">
      <c r="A385" s="29" t="s">
        <v>33</v>
      </c>
      <c r="B385" s="15" t="s">
        <v>1103</v>
      </c>
      <c r="C385" s="15" t="s">
        <v>10</v>
      </c>
      <c r="D385" s="16">
        <v>1483795500</v>
      </c>
      <c r="E385" s="17">
        <v>45323</v>
      </c>
      <c r="F385" s="18">
        <f>MONTH(Data!$E385)</f>
        <v>2</v>
      </c>
      <c r="G385" s="16">
        <f>YEAR(Data!$E385)</f>
        <v>2024</v>
      </c>
      <c r="H385" s="15" t="s">
        <v>35</v>
      </c>
      <c r="I385" s="15" t="str">
        <f t="shared" si="5"/>
        <v>Doanh nghiệp</v>
      </c>
      <c r="J385" s="15" t="s">
        <v>1284</v>
      </c>
      <c r="K385" s="15" t="s">
        <v>1263</v>
      </c>
      <c r="L385" s="32">
        <f>Data!$D385/10^6</f>
        <v>1483.7954999999999</v>
      </c>
    </row>
    <row r="386" spans="1:12" x14ac:dyDescent="0.25">
      <c r="A386" s="29" t="s">
        <v>52</v>
      </c>
      <c r="B386" s="15" t="s">
        <v>1112</v>
      </c>
      <c r="C386" s="15" t="s">
        <v>149</v>
      </c>
      <c r="D386" s="16">
        <v>36454016</v>
      </c>
      <c r="E386" s="17">
        <v>45323</v>
      </c>
      <c r="F386" s="18">
        <f>MONTH(Data!$E386)</f>
        <v>2</v>
      </c>
      <c r="G386" s="16">
        <f>YEAR(Data!$E386)</f>
        <v>2024</v>
      </c>
      <c r="H386" s="15" t="s">
        <v>35</v>
      </c>
      <c r="I386" s="15" t="str">
        <f t="shared" si="5"/>
        <v>Doanh nghiệp</v>
      </c>
      <c r="J386" s="15" t="s">
        <v>1285</v>
      </c>
      <c r="K386" s="15" t="s">
        <v>1264</v>
      </c>
      <c r="L386" s="32">
        <f>Data!$D386/10^6</f>
        <v>36.454016000000003</v>
      </c>
    </row>
    <row r="387" spans="1:12" x14ac:dyDescent="0.25">
      <c r="A387" s="29" t="s">
        <v>74</v>
      </c>
      <c r="B387" s="15" t="s">
        <v>1115</v>
      </c>
      <c r="C387" s="15" t="s">
        <v>149</v>
      </c>
      <c r="D387" s="16">
        <v>689674426</v>
      </c>
      <c r="E387" s="17">
        <v>45323</v>
      </c>
      <c r="F387" s="18">
        <f>MONTH(Data!$E387)</f>
        <v>2</v>
      </c>
      <c r="G387" s="16">
        <f>YEAR(Data!$E387)</f>
        <v>2024</v>
      </c>
      <c r="H387" s="15" t="s">
        <v>11</v>
      </c>
      <c r="I387" s="15" t="str">
        <f t="shared" ref="I387:I450" si="6">IF(ISNUMBER(SEARCH("Công ty",$B387)),"Doanh nghiệp",IF(ISNUMBER(SEARCH("Doanh nghiệp",$B387)),"Doanh nghiệp",IF(ISNUMBER(SEARCH("Tập đoàn",$B387)),"Doanh nghiệp",
IF(ISNUMBER(SEARCH("Bệnh viện",$B387)),"Bệnh viện",
IF(ISNUMBER(SEARCH("Ngân hàng",$B387)),"Ngân hàng",IF(ISNUMBER(SEARCH("trường",$B387)),"Trường học",IF(ISNUMBER(SEARCH("học viện",$B387)),"Trường học",
IF(ISNUMBER(SEARCH("Bộ",$B387)),"Sở ban ngành",IF(ISNUMBER(SEARCH("Đoàn",$B387)),"Sở ban ngành",IF(ISNUMBER(SEARCH("Phòng",$B387)),"Sở ban ngành",IF(ISNUMBER(SEARCH("UBND",$B387)),"Sở ban ngành",IF(ISNUMBER(SEARCH("ủy ban",$B387)),"Sở ban ngành",IF(ISNUMBER(SEARCH("công an",$B387)),"Sở ban ngành",IF(ISNUMBER(SEARCH("sở",$B387)),"Sở ban ngành",IF(ISNUMBER(SEARCH("thôn",$B387)),"Sở ban ngành",IF(ISNUMBER(SEARCH("xã",$B387)),"Sở ban ngành",IF(ISNUMBER(SEARCH("quân khu",$B387)),"Sở ban ngành",IF(ISNUMBER(SEARCH("cục",$B387)),"Sở ban ngành",IF(ISNUMBER(SEARCH("viện",$B387)),"Sở ban ngành",IF(ISNUMBER(SEARCH("quỹ",$B387)),"Sở ban ngành",IF(ISNUMBER(SEARCH("trung tâm",$B387)),"Sở ban ngành",IF(ISNUMBER(SEARCH("quân chủng",$B387)),"Sở ban ngành",IF(ISNUMBER(SEARCH("hội",$B387)),"Sở ban ngành",
"Khác")))))))))))))))))))))))</f>
        <v>Doanh nghiệp</v>
      </c>
      <c r="J387" s="15" t="s">
        <v>1284</v>
      </c>
      <c r="K387" s="15" t="s">
        <v>1266</v>
      </c>
      <c r="L387" s="32">
        <f>Data!$D387/10^6</f>
        <v>689.67442600000004</v>
      </c>
    </row>
    <row r="388" spans="1:12" x14ac:dyDescent="0.25">
      <c r="A388" s="29" t="s">
        <v>30</v>
      </c>
      <c r="B388" s="15" t="s">
        <v>1051</v>
      </c>
      <c r="C388" s="15" t="s">
        <v>10</v>
      </c>
      <c r="D388" s="16">
        <v>36363636</v>
      </c>
      <c r="E388" s="17">
        <v>45323</v>
      </c>
      <c r="F388" s="18">
        <f>MONTH(Data!$E388)</f>
        <v>2</v>
      </c>
      <c r="G388" s="16">
        <f>YEAR(Data!$E388)</f>
        <v>2024</v>
      </c>
      <c r="H388" s="15" t="s">
        <v>32</v>
      </c>
      <c r="I388" s="15" t="str">
        <f t="shared" si="6"/>
        <v>Doanh nghiệp</v>
      </c>
      <c r="J388" s="15" t="s">
        <v>1285</v>
      </c>
      <c r="K388" s="15" t="s">
        <v>1263</v>
      </c>
      <c r="L388" s="32">
        <f>Data!$D388/10^6</f>
        <v>36.363636</v>
      </c>
    </row>
    <row r="389" spans="1:12" x14ac:dyDescent="0.25">
      <c r="A389" s="29" t="s">
        <v>100</v>
      </c>
      <c r="B389" s="15" t="s">
        <v>1073</v>
      </c>
      <c r="C389" s="15" t="s">
        <v>149</v>
      </c>
      <c r="D389" s="16">
        <v>22394455</v>
      </c>
      <c r="E389" s="17">
        <v>45323</v>
      </c>
      <c r="F389" s="18">
        <f>MONTH(Data!$E389)</f>
        <v>2</v>
      </c>
      <c r="G389" s="16">
        <f>YEAR(Data!$E389)</f>
        <v>2024</v>
      </c>
      <c r="H389" s="15" t="s">
        <v>42</v>
      </c>
      <c r="I389" s="15" t="str">
        <f t="shared" si="6"/>
        <v>Doanh nghiệp</v>
      </c>
      <c r="J389" s="15" t="s">
        <v>1284</v>
      </c>
      <c r="K389" s="15" t="s">
        <v>1262</v>
      </c>
      <c r="L389" s="32">
        <f>Data!$D389/10^6</f>
        <v>22.394455000000001</v>
      </c>
    </row>
    <row r="390" spans="1:12" x14ac:dyDescent="0.25">
      <c r="A390" s="29" t="s">
        <v>52</v>
      </c>
      <c r="B390" s="15" t="s">
        <v>1097</v>
      </c>
      <c r="C390" s="15" t="s">
        <v>10</v>
      </c>
      <c r="D390" s="16">
        <v>15781818</v>
      </c>
      <c r="E390" s="17">
        <v>45323</v>
      </c>
      <c r="F390" s="18">
        <f>MONTH(Data!$E390)</f>
        <v>2</v>
      </c>
      <c r="G390" s="16">
        <f>YEAR(Data!$E390)</f>
        <v>2024</v>
      </c>
      <c r="H390" s="15" t="s">
        <v>35</v>
      </c>
      <c r="I390" s="15" t="str">
        <f t="shared" si="6"/>
        <v>Doanh nghiệp</v>
      </c>
      <c r="J390" s="15" t="s">
        <v>1285</v>
      </c>
      <c r="K390" s="15" t="s">
        <v>1263</v>
      </c>
      <c r="L390" s="32">
        <f>Data!$D390/10^6</f>
        <v>15.781817999999999</v>
      </c>
    </row>
    <row r="391" spans="1:12" x14ac:dyDescent="0.25">
      <c r="A391" s="29" t="s">
        <v>111</v>
      </c>
      <c r="B391" s="15" t="s">
        <v>1101</v>
      </c>
      <c r="C391" s="15" t="s">
        <v>10</v>
      </c>
      <c r="D391" s="16">
        <v>563536182</v>
      </c>
      <c r="E391" s="17">
        <v>45323</v>
      </c>
      <c r="F391" s="18">
        <f>MONTH(Data!$E391)</f>
        <v>2</v>
      </c>
      <c r="G391" s="16">
        <f>YEAR(Data!$E391)</f>
        <v>2024</v>
      </c>
      <c r="H391" s="15" t="s">
        <v>22</v>
      </c>
      <c r="I391" s="15" t="str">
        <f t="shared" si="6"/>
        <v>Doanh nghiệp</v>
      </c>
      <c r="J391" s="15" t="s">
        <v>1284</v>
      </c>
      <c r="K391" s="15" t="s">
        <v>1263</v>
      </c>
      <c r="L391" s="32">
        <f>Data!$D391/10^6</f>
        <v>563.53618200000005</v>
      </c>
    </row>
    <row r="392" spans="1:12" x14ac:dyDescent="0.25">
      <c r="A392" s="29" t="s">
        <v>127</v>
      </c>
      <c r="B392" s="15" t="s">
        <v>1107</v>
      </c>
      <c r="C392" s="15" t="s">
        <v>149</v>
      </c>
      <c r="D392" s="16">
        <v>25061818</v>
      </c>
      <c r="E392" s="17">
        <v>45323</v>
      </c>
      <c r="F392" s="18">
        <f>MONTH(Data!$E392)</f>
        <v>2</v>
      </c>
      <c r="G392" s="16">
        <f>YEAR(Data!$E392)</f>
        <v>2024</v>
      </c>
      <c r="H392" s="15" t="s">
        <v>32</v>
      </c>
      <c r="I392" s="15" t="str">
        <f t="shared" si="6"/>
        <v>Doanh nghiệp</v>
      </c>
      <c r="J392" s="15" t="s">
        <v>1285</v>
      </c>
      <c r="K392" s="15" t="s">
        <v>1264</v>
      </c>
      <c r="L392" s="32">
        <f>Data!$D392/10^6</f>
        <v>25.061817999999999</v>
      </c>
    </row>
    <row r="393" spans="1:12" x14ac:dyDescent="0.25">
      <c r="A393" s="29" t="s">
        <v>30</v>
      </c>
      <c r="B393" s="15" t="s">
        <v>1109</v>
      </c>
      <c r="C393" s="15" t="s">
        <v>10</v>
      </c>
      <c r="D393" s="16">
        <v>84316664</v>
      </c>
      <c r="E393" s="17">
        <v>45323</v>
      </c>
      <c r="F393" s="18">
        <f>MONTH(Data!$E393)</f>
        <v>2</v>
      </c>
      <c r="G393" s="16">
        <f>YEAR(Data!$E393)</f>
        <v>2024</v>
      </c>
      <c r="H393" s="15" t="s">
        <v>32</v>
      </c>
      <c r="I393" s="15" t="str">
        <f t="shared" si="6"/>
        <v>Doanh nghiệp</v>
      </c>
      <c r="J393" s="15" t="s">
        <v>1284</v>
      </c>
      <c r="K393" s="15" t="s">
        <v>1263</v>
      </c>
      <c r="L393" s="32">
        <f>Data!$D393/10^6</f>
        <v>84.316664000000003</v>
      </c>
    </row>
    <row r="394" spans="1:12" x14ac:dyDescent="0.25">
      <c r="A394" s="29" t="s">
        <v>62</v>
      </c>
      <c r="B394" s="15" t="s">
        <v>1110</v>
      </c>
      <c r="C394" s="15" t="s">
        <v>10</v>
      </c>
      <c r="D394" s="16">
        <v>53041000</v>
      </c>
      <c r="E394" s="17">
        <v>45323</v>
      </c>
      <c r="F394" s="18">
        <f>MONTH(Data!$E394)</f>
        <v>2</v>
      </c>
      <c r="G394" s="16">
        <f>YEAR(Data!$E394)</f>
        <v>2024</v>
      </c>
      <c r="H394" s="15" t="s">
        <v>15</v>
      </c>
      <c r="I394" s="15" t="str">
        <f t="shared" si="6"/>
        <v>Doanh nghiệp</v>
      </c>
      <c r="J394" s="15" t="s">
        <v>1285</v>
      </c>
      <c r="K394" s="15" t="s">
        <v>1263</v>
      </c>
      <c r="L394" s="32">
        <f>Data!$D394/10^6</f>
        <v>53.040999999999997</v>
      </c>
    </row>
    <row r="395" spans="1:12" x14ac:dyDescent="0.25">
      <c r="A395" s="29" t="s">
        <v>51</v>
      </c>
      <c r="B395" s="15" t="s">
        <v>1058</v>
      </c>
      <c r="C395" s="15" t="s">
        <v>10</v>
      </c>
      <c r="D395" s="16">
        <v>118041818</v>
      </c>
      <c r="E395" s="17">
        <v>45323</v>
      </c>
      <c r="F395" s="18">
        <f>MONTH(Data!$E395)</f>
        <v>2</v>
      </c>
      <c r="G395" s="16">
        <f>YEAR(Data!$E395)</f>
        <v>2024</v>
      </c>
      <c r="H395" s="15" t="s">
        <v>42</v>
      </c>
      <c r="I395" s="15" t="str">
        <f t="shared" si="6"/>
        <v>Doanh nghiệp</v>
      </c>
      <c r="J395" s="15" t="s">
        <v>1284</v>
      </c>
      <c r="K395" s="15" t="s">
        <v>1262</v>
      </c>
      <c r="L395" s="32">
        <f>Data!$D395/10^6</f>
        <v>118.04181800000001</v>
      </c>
    </row>
    <row r="396" spans="1:12" x14ac:dyDescent="0.25">
      <c r="A396" s="29" t="s">
        <v>56</v>
      </c>
      <c r="B396" s="15" t="s">
        <v>1060</v>
      </c>
      <c r="C396" s="15" t="s">
        <v>149</v>
      </c>
      <c r="D396" s="16">
        <v>23367273</v>
      </c>
      <c r="E396" s="17">
        <v>45323</v>
      </c>
      <c r="F396" s="18">
        <f>MONTH(Data!$E396)</f>
        <v>2</v>
      </c>
      <c r="G396" s="16">
        <f>YEAR(Data!$E396)</f>
        <v>2024</v>
      </c>
      <c r="H396" s="15" t="s">
        <v>25</v>
      </c>
      <c r="I396" s="15" t="str">
        <f t="shared" si="6"/>
        <v>Doanh nghiệp</v>
      </c>
      <c r="J396" s="15" t="s">
        <v>1285</v>
      </c>
      <c r="K396" s="15" t="s">
        <v>1263</v>
      </c>
      <c r="L396" s="32">
        <f>Data!$D396/10^6</f>
        <v>23.367273000000001</v>
      </c>
    </row>
    <row r="397" spans="1:12" x14ac:dyDescent="0.25">
      <c r="A397" s="29" t="s">
        <v>52</v>
      </c>
      <c r="B397" s="15" t="s">
        <v>1075</v>
      </c>
      <c r="C397" s="15" t="s">
        <v>14</v>
      </c>
      <c r="D397" s="16">
        <v>154935000</v>
      </c>
      <c r="E397" s="17">
        <v>45323</v>
      </c>
      <c r="F397" s="18">
        <f>MONTH(Data!$E397)</f>
        <v>2</v>
      </c>
      <c r="G397" s="16">
        <f>YEAR(Data!$E397)</f>
        <v>2024</v>
      </c>
      <c r="H397" s="15" t="s">
        <v>35</v>
      </c>
      <c r="I397" s="15" t="str">
        <f t="shared" si="6"/>
        <v>Doanh nghiệp</v>
      </c>
      <c r="J397" s="15" t="s">
        <v>1284</v>
      </c>
      <c r="K397" s="15" t="s">
        <v>1264</v>
      </c>
      <c r="L397" s="32">
        <f>Data!$D397/10^6</f>
        <v>154.935</v>
      </c>
    </row>
    <row r="398" spans="1:12" x14ac:dyDescent="0.25">
      <c r="A398" s="29" t="s">
        <v>52</v>
      </c>
      <c r="B398" s="15" t="s">
        <v>1076</v>
      </c>
      <c r="C398" s="15" t="s">
        <v>14</v>
      </c>
      <c r="D398" s="16">
        <v>154935000</v>
      </c>
      <c r="E398" s="17">
        <v>45323</v>
      </c>
      <c r="F398" s="18">
        <f>MONTH(Data!$E398)</f>
        <v>2</v>
      </c>
      <c r="G398" s="16">
        <f>YEAR(Data!$E398)</f>
        <v>2024</v>
      </c>
      <c r="H398" s="15" t="s">
        <v>35</v>
      </c>
      <c r="I398" s="15" t="str">
        <f t="shared" si="6"/>
        <v>Doanh nghiệp</v>
      </c>
      <c r="J398" s="15" t="s">
        <v>1285</v>
      </c>
      <c r="K398" s="15" t="s">
        <v>1264</v>
      </c>
      <c r="L398" s="32">
        <f>Data!$D398/10^6</f>
        <v>154.935</v>
      </c>
    </row>
    <row r="399" spans="1:12" x14ac:dyDescent="0.25">
      <c r="A399" s="29" t="s">
        <v>74</v>
      </c>
      <c r="B399" s="15" t="s">
        <v>1079</v>
      </c>
      <c r="C399" s="15" t="s">
        <v>14</v>
      </c>
      <c r="D399" s="16">
        <v>6636364</v>
      </c>
      <c r="E399" s="17">
        <v>45323</v>
      </c>
      <c r="F399" s="18">
        <f>MONTH(Data!$E399)</f>
        <v>2</v>
      </c>
      <c r="G399" s="16">
        <f>YEAR(Data!$E399)</f>
        <v>2024</v>
      </c>
      <c r="H399" s="15" t="s">
        <v>11</v>
      </c>
      <c r="I399" s="15" t="str">
        <f t="shared" si="6"/>
        <v>Doanh nghiệp</v>
      </c>
      <c r="J399" s="15" t="s">
        <v>1284</v>
      </c>
      <c r="K399" s="15" t="s">
        <v>1264</v>
      </c>
      <c r="L399" s="32">
        <f>Data!$D399/10^6</f>
        <v>6.6363640000000004</v>
      </c>
    </row>
    <row r="400" spans="1:12" x14ac:dyDescent="0.25">
      <c r="A400" s="29" t="s">
        <v>92</v>
      </c>
      <c r="B400" s="15" t="s">
        <v>1111</v>
      </c>
      <c r="C400" s="15" t="s">
        <v>14</v>
      </c>
      <c r="D400" s="16">
        <v>21070000</v>
      </c>
      <c r="E400" s="17">
        <v>45323</v>
      </c>
      <c r="F400" s="18">
        <f>MONTH(Data!$E400)</f>
        <v>2</v>
      </c>
      <c r="G400" s="16">
        <f>YEAR(Data!$E400)</f>
        <v>2024</v>
      </c>
      <c r="H400" s="15" t="s">
        <v>29</v>
      </c>
      <c r="I400" s="15" t="str">
        <f t="shared" si="6"/>
        <v>Doanh nghiệp</v>
      </c>
      <c r="J400" s="15" t="s">
        <v>1285</v>
      </c>
      <c r="K400" s="15" t="s">
        <v>1264</v>
      </c>
      <c r="L400" s="32">
        <f>Data!$D400/10^6</f>
        <v>21.07</v>
      </c>
    </row>
    <row r="401" spans="1:12" x14ac:dyDescent="0.25">
      <c r="A401" s="29" t="s">
        <v>33</v>
      </c>
      <c r="B401" s="15" t="s">
        <v>1046</v>
      </c>
      <c r="C401" s="15" t="s">
        <v>14</v>
      </c>
      <c r="D401" s="16">
        <v>95723800</v>
      </c>
      <c r="E401" s="17">
        <v>45323</v>
      </c>
      <c r="F401" s="18">
        <f>MONTH(Data!$E401)</f>
        <v>2</v>
      </c>
      <c r="G401" s="16">
        <f>YEAR(Data!$E401)</f>
        <v>2024</v>
      </c>
      <c r="H401" s="15" t="s">
        <v>35</v>
      </c>
      <c r="I401" s="15" t="str">
        <f t="shared" si="6"/>
        <v>Doanh nghiệp</v>
      </c>
      <c r="J401" s="15" t="s">
        <v>1284</v>
      </c>
      <c r="K401" s="15" t="s">
        <v>1264</v>
      </c>
      <c r="L401" s="32">
        <f>Data!$D401/10^6</f>
        <v>95.723799999999997</v>
      </c>
    </row>
    <row r="402" spans="1:12" x14ac:dyDescent="0.25">
      <c r="A402" s="29" t="s">
        <v>36</v>
      </c>
      <c r="B402" s="15" t="s">
        <v>1077</v>
      </c>
      <c r="C402" s="15" t="s">
        <v>46</v>
      </c>
      <c r="D402" s="16">
        <v>172953265</v>
      </c>
      <c r="E402" s="17">
        <v>45323</v>
      </c>
      <c r="F402" s="18">
        <f>MONTH(Data!$E402)</f>
        <v>2</v>
      </c>
      <c r="G402" s="16">
        <f>YEAR(Data!$E402)</f>
        <v>2024</v>
      </c>
      <c r="H402" s="15" t="s">
        <v>15</v>
      </c>
      <c r="I402" s="15" t="str">
        <f t="shared" si="6"/>
        <v>Doanh nghiệp</v>
      </c>
      <c r="J402" s="15" t="s">
        <v>1285</v>
      </c>
      <c r="K402" s="15" t="s">
        <v>1265</v>
      </c>
      <c r="L402" s="32">
        <f>Data!$D402/10^6</f>
        <v>172.95326499999999</v>
      </c>
    </row>
    <row r="403" spans="1:12" x14ac:dyDescent="0.25">
      <c r="A403" s="29" t="s">
        <v>74</v>
      </c>
      <c r="B403" s="15" t="s">
        <v>1108</v>
      </c>
      <c r="C403" s="15" t="s">
        <v>10</v>
      </c>
      <c r="D403" s="16">
        <v>63516913</v>
      </c>
      <c r="E403" s="17">
        <v>45323</v>
      </c>
      <c r="F403" s="18">
        <f>MONTH(Data!$E403)</f>
        <v>2</v>
      </c>
      <c r="G403" s="16">
        <f>YEAR(Data!$E403)</f>
        <v>2024</v>
      </c>
      <c r="H403" s="15" t="s">
        <v>11</v>
      </c>
      <c r="I403" s="15" t="str">
        <f t="shared" si="6"/>
        <v>Doanh nghiệp</v>
      </c>
      <c r="J403" s="15" t="s">
        <v>1284</v>
      </c>
      <c r="K403" s="15" t="s">
        <v>1263</v>
      </c>
      <c r="L403" s="32">
        <f>Data!$D403/10^6</f>
        <v>63.516913000000002</v>
      </c>
    </row>
    <row r="404" spans="1:12" x14ac:dyDescent="0.25">
      <c r="A404" s="29" t="s">
        <v>30</v>
      </c>
      <c r="B404" s="15" t="s">
        <v>1032</v>
      </c>
      <c r="C404" s="15" t="s">
        <v>10</v>
      </c>
      <c r="D404" s="16">
        <v>122505227</v>
      </c>
      <c r="E404" s="17">
        <v>45323</v>
      </c>
      <c r="F404" s="18">
        <f>MONTH(Data!$E404)</f>
        <v>2</v>
      </c>
      <c r="G404" s="16">
        <f>YEAR(Data!$E404)</f>
        <v>2024</v>
      </c>
      <c r="H404" s="15" t="s">
        <v>32</v>
      </c>
      <c r="I404" s="15" t="str">
        <f t="shared" si="6"/>
        <v>Doanh nghiệp</v>
      </c>
      <c r="J404" s="15" t="s">
        <v>1285</v>
      </c>
      <c r="K404" s="15" t="s">
        <v>1263</v>
      </c>
      <c r="L404" s="32">
        <f>Data!$D404/10^6</f>
        <v>122.505227</v>
      </c>
    </row>
    <row r="405" spans="1:12" x14ac:dyDescent="0.25">
      <c r="A405" s="29" t="s">
        <v>74</v>
      </c>
      <c r="B405" s="15" t="s">
        <v>1040</v>
      </c>
      <c r="C405" s="15" t="s">
        <v>10</v>
      </c>
      <c r="D405" s="16">
        <v>121554668</v>
      </c>
      <c r="E405" s="17">
        <v>45323</v>
      </c>
      <c r="F405" s="18">
        <f>MONTH(Data!$E405)</f>
        <v>2</v>
      </c>
      <c r="G405" s="16">
        <f>YEAR(Data!$E405)</f>
        <v>2024</v>
      </c>
      <c r="H405" s="15" t="s">
        <v>11</v>
      </c>
      <c r="I405" s="15" t="str">
        <f t="shared" si="6"/>
        <v>Doanh nghiệp</v>
      </c>
      <c r="J405" s="15" t="s">
        <v>1284</v>
      </c>
      <c r="K405" s="15" t="s">
        <v>1267</v>
      </c>
      <c r="L405" s="32">
        <f>Data!$D405/10^6</f>
        <v>121.55466800000001</v>
      </c>
    </row>
    <row r="406" spans="1:12" x14ac:dyDescent="0.25">
      <c r="A406" s="29" t="s">
        <v>74</v>
      </c>
      <c r="B406" s="15" t="s">
        <v>1041</v>
      </c>
      <c r="C406" s="15" t="s">
        <v>149</v>
      </c>
      <c r="D406" s="16">
        <v>121554668</v>
      </c>
      <c r="E406" s="17">
        <v>45323</v>
      </c>
      <c r="F406" s="18">
        <f>MONTH(Data!$E406)</f>
        <v>2</v>
      </c>
      <c r="G406" s="16">
        <f>YEAR(Data!$E406)</f>
        <v>2024</v>
      </c>
      <c r="H406" s="15" t="s">
        <v>11</v>
      </c>
      <c r="I406" s="15" t="str">
        <f t="shared" si="6"/>
        <v>Doanh nghiệp</v>
      </c>
      <c r="J406" s="15" t="s">
        <v>1285</v>
      </c>
      <c r="K406" s="15" t="s">
        <v>1267</v>
      </c>
      <c r="L406" s="32">
        <f>Data!$D406/10^6</f>
        <v>121.55466800000001</v>
      </c>
    </row>
    <row r="407" spans="1:12" x14ac:dyDescent="0.25">
      <c r="A407" s="29" t="s">
        <v>68</v>
      </c>
      <c r="B407" s="15" t="s">
        <v>1054</v>
      </c>
      <c r="C407" s="15" t="s">
        <v>10</v>
      </c>
      <c r="D407" s="16">
        <v>25220000</v>
      </c>
      <c r="E407" s="17">
        <v>45323</v>
      </c>
      <c r="F407" s="18">
        <f>MONTH(Data!$E407)</f>
        <v>2</v>
      </c>
      <c r="G407" s="16">
        <f>YEAR(Data!$E407)</f>
        <v>2024</v>
      </c>
      <c r="H407" s="15" t="s">
        <v>22</v>
      </c>
      <c r="I407" s="15" t="str">
        <f t="shared" si="6"/>
        <v>Doanh nghiệp</v>
      </c>
      <c r="J407" s="15" t="s">
        <v>1284</v>
      </c>
      <c r="K407" s="15" t="s">
        <v>1263</v>
      </c>
      <c r="L407" s="32">
        <f>Data!$D407/10^6</f>
        <v>25.22</v>
      </c>
    </row>
    <row r="408" spans="1:12" x14ac:dyDescent="0.25">
      <c r="A408" s="29" t="s">
        <v>78</v>
      </c>
      <c r="B408" s="15" t="s">
        <v>1061</v>
      </c>
      <c r="C408" s="15" t="s">
        <v>14</v>
      </c>
      <c r="D408" s="16">
        <v>11283423</v>
      </c>
      <c r="E408" s="17">
        <v>45323</v>
      </c>
      <c r="F408" s="18">
        <f>MONTH(Data!$E408)</f>
        <v>2</v>
      </c>
      <c r="G408" s="16">
        <f>YEAR(Data!$E408)</f>
        <v>2024</v>
      </c>
      <c r="H408" s="15" t="s">
        <v>15</v>
      </c>
      <c r="I408" s="15" t="str">
        <f t="shared" si="6"/>
        <v>Doanh nghiệp</v>
      </c>
      <c r="J408" s="15" t="s">
        <v>1285</v>
      </c>
      <c r="K408" s="15" t="s">
        <v>1277</v>
      </c>
      <c r="L408" s="32">
        <f>Data!$D408/10^6</f>
        <v>11.283423000000001</v>
      </c>
    </row>
    <row r="409" spans="1:12" x14ac:dyDescent="0.25">
      <c r="A409" s="29" t="s">
        <v>79</v>
      </c>
      <c r="B409" s="15" t="s">
        <v>1066</v>
      </c>
      <c r="C409" s="15" t="s">
        <v>14</v>
      </c>
      <c r="D409" s="16">
        <v>438362726</v>
      </c>
      <c r="E409" s="17">
        <v>45323</v>
      </c>
      <c r="F409" s="18">
        <f>MONTH(Data!$E409)</f>
        <v>2</v>
      </c>
      <c r="G409" s="16">
        <f>YEAR(Data!$E409)</f>
        <v>2024</v>
      </c>
      <c r="H409" s="15" t="s">
        <v>15</v>
      </c>
      <c r="I409" s="15" t="str">
        <f t="shared" si="6"/>
        <v>Doanh nghiệp</v>
      </c>
      <c r="J409" s="15" t="s">
        <v>1284</v>
      </c>
      <c r="K409" s="15" t="s">
        <v>1264</v>
      </c>
      <c r="L409" s="32">
        <f>Data!$D409/10^6</f>
        <v>438.36272600000001</v>
      </c>
    </row>
    <row r="410" spans="1:12" x14ac:dyDescent="0.25">
      <c r="A410" s="29" t="s">
        <v>146</v>
      </c>
      <c r="B410" s="15" t="s">
        <v>1070</v>
      </c>
      <c r="C410" s="15" t="s">
        <v>149</v>
      </c>
      <c r="D410" s="16">
        <v>268770911</v>
      </c>
      <c r="E410" s="17">
        <v>45323</v>
      </c>
      <c r="F410" s="18">
        <f>MONTH(Data!$E410)</f>
        <v>2</v>
      </c>
      <c r="G410" s="16">
        <f>YEAR(Data!$E410)</f>
        <v>2024</v>
      </c>
      <c r="H410" s="15" t="s">
        <v>32</v>
      </c>
      <c r="I410" s="15" t="str">
        <f t="shared" si="6"/>
        <v>Doanh nghiệp</v>
      </c>
      <c r="J410" s="15" t="s">
        <v>1285</v>
      </c>
      <c r="K410" s="15" t="s">
        <v>1266</v>
      </c>
      <c r="L410" s="32">
        <f>Data!$D410/10^6</f>
        <v>268.77091100000001</v>
      </c>
    </row>
    <row r="411" spans="1:12" x14ac:dyDescent="0.25">
      <c r="A411" s="29" t="s">
        <v>95</v>
      </c>
      <c r="B411" s="15" t="s">
        <v>1074</v>
      </c>
      <c r="C411" s="15" t="s">
        <v>14</v>
      </c>
      <c r="D411" s="16">
        <v>196229430</v>
      </c>
      <c r="E411" s="17">
        <v>45323</v>
      </c>
      <c r="F411" s="18">
        <f>MONTH(Data!$E411)</f>
        <v>2</v>
      </c>
      <c r="G411" s="16">
        <f>YEAR(Data!$E411)</f>
        <v>2024</v>
      </c>
      <c r="H411" s="15" t="s">
        <v>35</v>
      </c>
      <c r="I411" s="15" t="str">
        <f t="shared" si="6"/>
        <v>Doanh nghiệp</v>
      </c>
      <c r="J411" s="15" t="s">
        <v>1284</v>
      </c>
      <c r="K411" s="15" t="s">
        <v>1264</v>
      </c>
      <c r="L411" s="32">
        <f>Data!$D411/10^6</f>
        <v>196.22943000000001</v>
      </c>
    </row>
    <row r="412" spans="1:12" x14ac:dyDescent="0.25">
      <c r="A412" s="29" t="s">
        <v>47</v>
      </c>
      <c r="B412" s="15" t="s">
        <v>1087</v>
      </c>
      <c r="C412" s="15" t="s">
        <v>10</v>
      </c>
      <c r="D412" s="16">
        <v>24896818</v>
      </c>
      <c r="E412" s="17">
        <v>45323</v>
      </c>
      <c r="F412" s="18">
        <f>MONTH(Data!$E412)</f>
        <v>2</v>
      </c>
      <c r="G412" s="16">
        <f>YEAR(Data!$E412)</f>
        <v>2024</v>
      </c>
      <c r="H412" s="15" t="s">
        <v>29</v>
      </c>
      <c r="I412" s="15" t="str">
        <f t="shared" si="6"/>
        <v>Doanh nghiệp</v>
      </c>
      <c r="J412" s="15" t="s">
        <v>1285</v>
      </c>
      <c r="K412" s="15" t="s">
        <v>1263</v>
      </c>
      <c r="L412" s="32">
        <f>Data!$D412/10^6</f>
        <v>24.896818</v>
      </c>
    </row>
    <row r="413" spans="1:12" x14ac:dyDescent="0.25">
      <c r="A413" s="29" t="s">
        <v>30</v>
      </c>
      <c r="B413" s="15" t="s">
        <v>1096</v>
      </c>
      <c r="C413" s="15" t="s">
        <v>14</v>
      </c>
      <c r="D413" s="16">
        <v>253040000</v>
      </c>
      <c r="E413" s="17">
        <v>45323</v>
      </c>
      <c r="F413" s="18">
        <f>MONTH(Data!$E413)</f>
        <v>2</v>
      </c>
      <c r="G413" s="16">
        <f>YEAR(Data!$E413)</f>
        <v>2024</v>
      </c>
      <c r="H413" s="15" t="s">
        <v>32</v>
      </c>
      <c r="I413" s="15" t="str">
        <f t="shared" si="6"/>
        <v>Doanh nghiệp</v>
      </c>
      <c r="J413" s="15" t="s">
        <v>1284</v>
      </c>
      <c r="K413" s="15" t="s">
        <v>1274</v>
      </c>
      <c r="L413" s="32">
        <f>Data!$D413/10^6</f>
        <v>253.04</v>
      </c>
    </row>
    <row r="414" spans="1:12" x14ac:dyDescent="0.25">
      <c r="A414" s="29" t="s">
        <v>50</v>
      </c>
      <c r="B414" s="15" t="s">
        <v>1105</v>
      </c>
      <c r="C414" s="15" t="s">
        <v>14</v>
      </c>
      <c r="D414" s="16">
        <v>82720000</v>
      </c>
      <c r="E414" s="17">
        <v>45323</v>
      </c>
      <c r="F414" s="18">
        <f>MONTH(Data!$E414)</f>
        <v>2</v>
      </c>
      <c r="G414" s="16">
        <f>YEAR(Data!$E414)</f>
        <v>2024</v>
      </c>
      <c r="H414" s="15" t="s">
        <v>35</v>
      </c>
      <c r="I414" s="15" t="str">
        <f t="shared" si="6"/>
        <v>Doanh nghiệp</v>
      </c>
      <c r="J414" s="15" t="s">
        <v>1285</v>
      </c>
      <c r="K414" s="15" t="s">
        <v>1266</v>
      </c>
      <c r="L414" s="32">
        <f>Data!$D414/10^6</f>
        <v>82.72</v>
      </c>
    </row>
    <row r="415" spans="1:12" x14ac:dyDescent="0.25">
      <c r="A415" s="29" t="s">
        <v>128</v>
      </c>
      <c r="B415" s="15" t="s">
        <v>1108</v>
      </c>
      <c r="C415" s="15" t="s">
        <v>10</v>
      </c>
      <c r="D415" s="16">
        <v>28565102</v>
      </c>
      <c r="E415" s="17">
        <v>45323</v>
      </c>
      <c r="F415" s="18">
        <f>MONTH(Data!$E415)</f>
        <v>2</v>
      </c>
      <c r="G415" s="16">
        <f>YEAR(Data!$E415)</f>
        <v>2024</v>
      </c>
      <c r="H415" s="15" t="s">
        <v>42</v>
      </c>
      <c r="I415" s="15" t="str">
        <f t="shared" si="6"/>
        <v>Doanh nghiệp</v>
      </c>
      <c r="J415" s="15" t="s">
        <v>1284</v>
      </c>
      <c r="K415" s="15" t="s">
        <v>1263</v>
      </c>
      <c r="L415" s="32">
        <f>Data!$D415/10^6</f>
        <v>28.565102</v>
      </c>
    </row>
    <row r="416" spans="1:12" x14ac:dyDescent="0.25">
      <c r="A416" s="29" t="s">
        <v>92</v>
      </c>
      <c r="B416" s="15" t="s">
        <v>1114</v>
      </c>
      <c r="C416" s="15" t="s">
        <v>14</v>
      </c>
      <c r="D416" s="16">
        <v>41297563</v>
      </c>
      <c r="E416" s="17">
        <v>45323</v>
      </c>
      <c r="F416" s="18">
        <f>MONTH(Data!$E416)</f>
        <v>2</v>
      </c>
      <c r="G416" s="16">
        <f>YEAR(Data!$E416)</f>
        <v>2024</v>
      </c>
      <c r="H416" s="15" t="s">
        <v>29</v>
      </c>
      <c r="I416" s="15" t="str">
        <f t="shared" si="6"/>
        <v>Doanh nghiệp</v>
      </c>
      <c r="J416" s="15" t="s">
        <v>1285</v>
      </c>
      <c r="K416" s="15" t="s">
        <v>1275</v>
      </c>
      <c r="L416" s="32">
        <f>Data!$D416/10^6</f>
        <v>41.297562999999997</v>
      </c>
    </row>
    <row r="417" spans="1:12" x14ac:dyDescent="0.25">
      <c r="A417" s="29" t="s">
        <v>17</v>
      </c>
      <c r="B417" s="15" t="s">
        <v>1028</v>
      </c>
      <c r="C417" s="15" t="s">
        <v>14</v>
      </c>
      <c r="D417" s="16">
        <v>23069091</v>
      </c>
      <c r="E417" s="17">
        <v>45323</v>
      </c>
      <c r="F417" s="18">
        <f>MONTH(Data!$E417)</f>
        <v>2</v>
      </c>
      <c r="G417" s="16">
        <f>YEAR(Data!$E417)</f>
        <v>2024</v>
      </c>
      <c r="H417" s="15" t="s">
        <v>11</v>
      </c>
      <c r="I417" s="15" t="str">
        <f t="shared" si="6"/>
        <v>Doanh nghiệp</v>
      </c>
      <c r="J417" s="15" t="s">
        <v>1284</v>
      </c>
      <c r="K417" s="15" t="s">
        <v>1275</v>
      </c>
      <c r="L417" s="32">
        <f>Data!$D417/10^6</f>
        <v>23.069091</v>
      </c>
    </row>
    <row r="418" spans="1:12" x14ac:dyDescent="0.25">
      <c r="A418" s="29" t="s">
        <v>55</v>
      </c>
      <c r="B418" s="15" t="s">
        <v>1033</v>
      </c>
      <c r="C418" s="15" t="s">
        <v>14</v>
      </c>
      <c r="D418" s="16">
        <v>112728182</v>
      </c>
      <c r="E418" s="17">
        <v>45323</v>
      </c>
      <c r="F418" s="18">
        <f>MONTH(Data!$E418)</f>
        <v>2</v>
      </c>
      <c r="G418" s="16">
        <f>YEAR(Data!$E418)</f>
        <v>2024</v>
      </c>
      <c r="H418" s="15" t="s">
        <v>15</v>
      </c>
      <c r="I418" s="15" t="str">
        <f t="shared" si="6"/>
        <v>Doanh nghiệp</v>
      </c>
      <c r="J418" s="15" t="s">
        <v>1285</v>
      </c>
      <c r="K418" s="15" t="s">
        <v>1264</v>
      </c>
      <c r="L418" s="32">
        <f>Data!$D418/10^6</f>
        <v>112.728182</v>
      </c>
    </row>
    <row r="419" spans="1:12" x14ac:dyDescent="0.25">
      <c r="A419" s="29" t="s">
        <v>92</v>
      </c>
      <c r="B419" s="15" t="s">
        <v>1080</v>
      </c>
      <c r="C419" s="15" t="s">
        <v>10</v>
      </c>
      <c r="D419" s="16">
        <v>28113396</v>
      </c>
      <c r="E419" s="17">
        <v>45323</v>
      </c>
      <c r="F419" s="18">
        <f>MONTH(Data!$E419)</f>
        <v>2</v>
      </c>
      <c r="G419" s="16">
        <f>YEAR(Data!$E419)</f>
        <v>2024</v>
      </c>
      <c r="H419" s="15" t="s">
        <v>29</v>
      </c>
      <c r="I419" s="15" t="str">
        <f t="shared" si="6"/>
        <v>Doanh nghiệp</v>
      </c>
      <c r="J419" s="15" t="s">
        <v>1284</v>
      </c>
      <c r="K419" s="15" t="s">
        <v>1263</v>
      </c>
      <c r="L419" s="32">
        <f>Data!$D419/10^6</f>
        <v>28.113396000000002</v>
      </c>
    </row>
    <row r="420" spans="1:12" x14ac:dyDescent="0.25">
      <c r="A420" s="29" t="s">
        <v>95</v>
      </c>
      <c r="B420" s="15" t="s">
        <v>1111</v>
      </c>
      <c r="C420" s="15" t="s">
        <v>14</v>
      </c>
      <c r="D420" s="16">
        <v>163444300</v>
      </c>
      <c r="E420" s="17">
        <v>45323</v>
      </c>
      <c r="F420" s="18">
        <f>MONTH(Data!$E420)</f>
        <v>2</v>
      </c>
      <c r="G420" s="16">
        <f>YEAR(Data!$E420)</f>
        <v>2024</v>
      </c>
      <c r="H420" s="15" t="s">
        <v>35</v>
      </c>
      <c r="I420" s="15" t="str">
        <f t="shared" si="6"/>
        <v>Doanh nghiệp</v>
      </c>
      <c r="J420" s="15" t="s">
        <v>1285</v>
      </c>
      <c r="K420" s="15" t="s">
        <v>1264</v>
      </c>
      <c r="L420" s="32">
        <f>Data!$D420/10^6</f>
        <v>163.4443</v>
      </c>
    </row>
    <row r="421" spans="1:12" x14ac:dyDescent="0.25">
      <c r="A421" s="29" t="s">
        <v>123</v>
      </c>
      <c r="B421" s="15" t="s">
        <v>1114</v>
      </c>
      <c r="C421" s="15" t="s">
        <v>14</v>
      </c>
      <c r="D421" s="16">
        <v>86655000</v>
      </c>
      <c r="E421" s="17">
        <v>45323</v>
      </c>
      <c r="F421" s="18">
        <f>MONTH(Data!$E421)</f>
        <v>2</v>
      </c>
      <c r="G421" s="16">
        <f>YEAR(Data!$E421)</f>
        <v>2024</v>
      </c>
      <c r="H421" s="15" t="s">
        <v>15</v>
      </c>
      <c r="I421" s="15" t="str">
        <f t="shared" si="6"/>
        <v>Doanh nghiệp</v>
      </c>
      <c r="J421" s="15" t="s">
        <v>1284</v>
      </c>
      <c r="K421" s="15" t="s">
        <v>1264</v>
      </c>
      <c r="L421" s="32">
        <f>Data!$D421/10^6</f>
        <v>86.655000000000001</v>
      </c>
    </row>
    <row r="422" spans="1:12" x14ac:dyDescent="0.25">
      <c r="A422" s="29" t="s">
        <v>28</v>
      </c>
      <c r="B422" s="15" t="s">
        <v>1121</v>
      </c>
      <c r="C422" s="15" t="s">
        <v>10</v>
      </c>
      <c r="D422" s="16">
        <v>72920000</v>
      </c>
      <c r="E422" s="17">
        <v>45323</v>
      </c>
      <c r="F422" s="18">
        <f>MONTH(Data!$E422)</f>
        <v>2</v>
      </c>
      <c r="G422" s="16">
        <f>YEAR(Data!$E422)</f>
        <v>2024</v>
      </c>
      <c r="H422" s="15" t="s">
        <v>29</v>
      </c>
      <c r="I422" s="15" t="str">
        <f t="shared" si="6"/>
        <v>Doanh nghiệp</v>
      </c>
      <c r="J422" s="15" t="s">
        <v>1285</v>
      </c>
      <c r="K422" s="15" t="s">
        <v>1262</v>
      </c>
      <c r="L422" s="32">
        <f>Data!$D422/10^6</f>
        <v>72.92</v>
      </c>
    </row>
    <row r="423" spans="1:12" x14ac:dyDescent="0.25">
      <c r="A423" s="29" t="s">
        <v>128</v>
      </c>
      <c r="B423" s="15" t="s">
        <v>1026</v>
      </c>
      <c r="C423" s="15" t="s">
        <v>10</v>
      </c>
      <c r="D423" s="16">
        <v>60480273</v>
      </c>
      <c r="E423" s="17">
        <v>45323</v>
      </c>
      <c r="F423" s="18">
        <f>MONTH(Data!$E423)</f>
        <v>2</v>
      </c>
      <c r="G423" s="16">
        <f>YEAR(Data!$E423)</f>
        <v>2024</v>
      </c>
      <c r="H423" s="15" t="s">
        <v>42</v>
      </c>
      <c r="I423" s="15" t="str">
        <f t="shared" si="6"/>
        <v>Doanh nghiệp</v>
      </c>
      <c r="J423" s="15" t="s">
        <v>1284</v>
      </c>
      <c r="K423" s="15" t="s">
        <v>1262</v>
      </c>
      <c r="L423" s="32">
        <f>Data!$D423/10^6</f>
        <v>60.480272999999997</v>
      </c>
    </row>
    <row r="424" spans="1:12" x14ac:dyDescent="0.25">
      <c r="A424" s="29" t="s">
        <v>23</v>
      </c>
      <c r="B424" s="15" t="s">
        <v>1037</v>
      </c>
      <c r="C424" s="15" t="s">
        <v>46</v>
      </c>
      <c r="D424" s="16">
        <v>16363636</v>
      </c>
      <c r="E424" s="17">
        <v>45323</v>
      </c>
      <c r="F424" s="18">
        <f>MONTH(Data!$E424)</f>
        <v>2</v>
      </c>
      <c r="G424" s="16">
        <f>YEAR(Data!$E424)</f>
        <v>2024</v>
      </c>
      <c r="H424" s="15" t="s">
        <v>25</v>
      </c>
      <c r="I424" s="15" t="str">
        <f t="shared" si="6"/>
        <v>Doanh nghiệp</v>
      </c>
      <c r="J424" s="15" t="s">
        <v>1285</v>
      </c>
      <c r="K424" s="15" t="s">
        <v>1271</v>
      </c>
      <c r="L424" s="32">
        <f>Data!$D424/10^6</f>
        <v>16.363636</v>
      </c>
    </row>
    <row r="425" spans="1:12" x14ac:dyDescent="0.25">
      <c r="A425" s="29" t="s">
        <v>21</v>
      </c>
      <c r="B425" s="15" t="s">
        <v>1039</v>
      </c>
      <c r="C425" s="15" t="s">
        <v>149</v>
      </c>
      <c r="D425" s="16">
        <v>37574519</v>
      </c>
      <c r="E425" s="17">
        <v>45323</v>
      </c>
      <c r="F425" s="18">
        <f>MONTH(Data!$E425)</f>
        <v>2</v>
      </c>
      <c r="G425" s="16">
        <f>YEAR(Data!$E425)</f>
        <v>2024</v>
      </c>
      <c r="H425" s="15" t="s">
        <v>22</v>
      </c>
      <c r="I425" s="15" t="str">
        <f t="shared" si="6"/>
        <v>Doanh nghiệp</v>
      </c>
      <c r="J425" s="15" t="s">
        <v>1284</v>
      </c>
      <c r="K425" s="15" t="s">
        <v>1262</v>
      </c>
      <c r="L425" s="32">
        <f>Data!$D425/10^6</f>
        <v>37.574519000000002</v>
      </c>
    </row>
    <row r="426" spans="1:12" x14ac:dyDescent="0.25">
      <c r="A426" s="29" t="s">
        <v>128</v>
      </c>
      <c r="B426" s="15" t="s">
        <v>1044</v>
      </c>
      <c r="C426" s="15" t="s">
        <v>10</v>
      </c>
      <c r="D426" s="16">
        <v>56390273</v>
      </c>
      <c r="E426" s="17">
        <v>45323</v>
      </c>
      <c r="F426" s="18">
        <f>MONTH(Data!$E426)</f>
        <v>2</v>
      </c>
      <c r="G426" s="16">
        <f>YEAR(Data!$E426)</f>
        <v>2024</v>
      </c>
      <c r="H426" s="15" t="s">
        <v>42</v>
      </c>
      <c r="I426" s="15" t="str">
        <f t="shared" si="6"/>
        <v>Doanh nghiệp</v>
      </c>
      <c r="J426" s="15" t="s">
        <v>1285</v>
      </c>
      <c r="K426" s="15" t="s">
        <v>1262</v>
      </c>
      <c r="L426" s="32">
        <f>Data!$D426/10^6</f>
        <v>56.390273000000001</v>
      </c>
    </row>
    <row r="427" spans="1:12" x14ac:dyDescent="0.25">
      <c r="A427" s="29" t="s">
        <v>62</v>
      </c>
      <c r="B427" s="15" t="s">
        <v>1078</v>
      </c>
      <c r="C427" s="15" t="s">
        <v>10</v>
      </c>
      <c r="D427" s="16">
        <v>31533191</v>
      </c>
      <c r="E427" s="17">
        <v>45323</v>
      </c>
      <c r="F427" s="18">
        <f>MONTH(Data!$E427)</f>
        <v>2</v>
      </c>
      <c r="G427" s="16">
        <f>YEAR(Data!$E427)</f>
        <v>2024</v>
      </c>
      <c r="H427" s="15" t="s">
        <v>15</v>
      </c>
      <c r="I427" s="15" t="str">
        <f t="shared" si="6"/>
        <v>Doanh nghiệp</v>
      </c>
      <c r="J427" s="15" t="s">
        <v>1284</v>
      </c>
      <c r="K427" s="15" t="s">
        <v>1263</v>
      </c>
      <c r="L427" s="32">
        <f>Data!$D427/10^6</f>
        <v>31.533190999999999</v>
      </c>
    </row>
    <row r="428" spans="1:12" x14ac:dyDescent="0.25">
      <c r="A428" s="29" t="s">
        <v>27</v>
      </c>
      <c r="B428" s="15" t="s">
        <v>1096</v>
      </c>
      <c r="C428" s="15" t="s">
        <v>14</v>
      </c>
      <c r="D428" s="16">
        <v>133029000</v>
      </c>
      <c r="E428" s="17">
        <v>45323</v>
      </c>
      <c r="F428" s="18">
        <f>MONTH(Data!$E428)</f>
        <v>2</v>
      </c>
      <c r="G428" s="16">
        <f>YEAR(Data!$E428)</f>
        <v>2024</v>
      </c>
      <c r="H428" s="15" t="s">
        <v>11</v>
      </c>
      <c r="I428" s="15" t="str">
        <f t="shared" si="6"/>
        <v>Doanh nghiệp</v>
      </c>
      <c r="J428" s="15" t="s">
        <v>1285</v>
      </c>
      <c r="K428" s="15" t="s">
        <v>1275</v>
      </c>
      <c r="L428" s="32">
        <f>Data!$D428/10^6</f>
        <v>133.029</v>
      </c>
    </row>
    <row r="429" spans="1:12" x14ac:dyDescent="0.25">
      <c r="A429" s="29" t="s">
        <v>8</v>
      </c>
      <c r="B429" s="15" t="s">
        <v>1097</v>
      </c>
      <c r="C429" s="15" t="s">
        <v>10</v>
      </c>
      <c r="D429" s="16">
        <v>31019545</v>
      </c>
      <c r="E429" s="17">
        <v>45323</v>
      </c>
      <c r="F429" s="18">
        <f>MONTH(Data!$E429)</f>
        <v>2</v>
      </c>
      <c r="G429" s="16">
        <f>YEAR(Data!$E429)</f>
        <v>2024</v>
      </c>
      <c r="H429" s="15" t="s">
        <v>11</v>
      </c>
      <c r="I429" s="15" t="str">
        <f t="shared" si="6"/>
        <v>Doanh nghiệp</v>
      </c>
      <c r="J429" s="15" t="s">
        <v>1284</v>
      </c>
      <c r="K429" s="15" t="s">
        <v>1262</v>
      </c>
      <c r="L429" s="32">
        <f>Data!$D429/10^6</f>
        <v>31.019545000000001</v>
      </c>
    </row>
    <row r="430" spans="1:12" x14ac:dyDescent="0.25">
      <c r="A430" s="29" t="s">
        <v>62</v>
      </c>
      <c r="B430" s="15" t="s">
        <v>1106</v>
      </c>
      <c r="C430" s="15" t="s">
        <v>14</v>
      </c>
      <c r="D430" s="16">
        <v>29851364</v>
      </c>
      <c r="E430" s="17">
        <v>45323</v>
      </c>
      <c r="F430" s="18">
        <f>MONTH(Data!$E430)</f>
        <v>2</v>
      </c>
      <c r="G430" s="16">
        <f>YEAR(Data!$E430)</f>
        <v>2024</v>
      </c>
      <c r="H430" s="15" t="s">
        <v>15</v>
      </c>
      <c r="I430" s="15" t="str">
        <f t="shared" si="6"/>
        <v>Doanh nghiệp</v>
      </c>
      <c r="J430" s="15" t="s">
        <v>1285</v>
      </c>
      <c r="K430" s="15" t="s">
        <v>1264</v>
      </c>
      <c r="L430" s="32">
        <f>Data!$D430/10^6</f>
        <v>29.851364</v>
      </c>
    </row>
    <row r="431" spans="1:12" x14ac:dyDescent="0.25">
      <c r="A431" s="29" t="s">
        <v>50</v>
      </c>
      <c r="B431" s="15" t="s">
        <v>1111</v>
      </c>
      <c r="C431" s="15" t="s">
        <v>10</v>
      </c>
      <c r="D431" s="16">
        <v>117765455</v>
      </c>
      <c r="E431" s="17">
        <v>45323</v>
      </c>
      <c r="F431" s="18">
        <f>MONTH(Data!$E431)</f>
        <v>2</v>
      </c>
      <c r="G431" s="16">
        <f>YEAR(Data!$E431)</f>
        <v>2024</v>
      </c>
      <c r="H431" s="15" t="s">
        <v>35</v>
      </c>
      <c r="I431" s="15" t="str">
        <f t="shared" si="6"/>
        <v>Doanh nghiệp</v>
      </c>
      <c r="J431" s="15" t="s">
        <v>1284</v>
      </c>
      <c r="K431" s="15" t="s">
        <v>1263</v>
      </c>
      <c r="L431" s="32">
        <f>Data!$D431/10^6</f>
        <v>117.765455</v>
      </c>
    </row>
    <row r="432" spans="1:12" x14ac:dyDescent="0.25">
      <c r="A432" s="29" t="s">
        <v>107</v>
      </c>
      <c r="B432" s="15" t="s">
        <v>1027</v>
      </c>
      <c r="C432" s="15" t="s">
        <v>14</v>
      </c>
      <c r="D432" s="16">
        <v>28373000</v>
      </c>
      <c r="E432" s="17">
        <v>45323</v>
      </c>
      <c r="F432" s="18">
        <f>MONTH(Data!$E432)</f>
        <v>2</v>
      </c>
      <c r="G432" s="16">
        <f>YEAR(Data!$E432)</f>
        <v>2024</v>
      </c>
      <c r="H432" s="15" t="s">
        <v>42</v>
      </c>
      <c r="I432" s="15" t="str">
        <f t="shared" si="6"/>
        <v>Doanh nghiệp</v>
      </c>
      <c r="J432" s="15" t="s">
        <v>1285</v>
      </c>
      <c r="K432" s="15" t="s">
        <v>1275</v>
      </c>
      <c r="L432" s="32">
        <f>Data!$D432/10^6</f>
        <v>28.373000000000001</v>
      </c>
    </row>
    <row r="433" spans="1:12" x14ac:dyDescent="0.25">
      <c r="A433" s="29" t="s">
        <v>100</v>
      </c>
      <c r="B433" s="15" t="s">
        <v>1039</v>
      </c>
      <c r="C433" s="15" t="s">
        <v>149</v>
      </c>
      <c r="D433" s="16">
        <v>22394455</v>
      </c>
      <c r="E433" s="17">
        <v>45323</v>
      </c>
      <c r="F433" s="18">
        <f>MONTH(Data!$E433)</f>
        <v>2</v>
      </c>
      <c r="G433" s="16">
        <f>YEAR(Data!$E433)</f>
        <v>2024</v>
      </c>
      <c r="H433" s="15" t="s">
        <v>42</v>
      </c>
      <c r="I433" s="15" t="str">
        <f t="shared" si="6"/>
        <v>Doanh nghiệp</v>
      </c>
      <c r="J433" s="15" t="s">
        <v>1284</v>
      </c>
      <c r="K433" s="15" t="s">
        <v>1262</v>
      </c>
      <c r="L433" s="32">
        <f>Data!$D433/10^6</f>
        <v>22.394455000000001</v>
      </c>
    </row>
    <row r="434" spans="1:12" x14ac:dyDescent="0.25">
      <c r="A434" s="29" t="s">
        <v>92</v>
      </c>
      <c r="B434" s="15" t="s">
        <v>1058</v>
      </c>
      <c r="C434" s="15" t="s">
        <v>10</v>
      </c>
      <c r="D434" s="16">
        <v>72547230</v>
      </c>
      <c r="E434" s="17">
        <v>45323</v>
      </c>
      <c r="F434" s="18">
        <f>MONTH(Data!$E434)</f>
        <v>2</v>
      </c>
      <c r="G434" s="16">
        <f>YEAR(Data!$E434)</f>
        <v>2024</v>
      </c>
      <c r="H434" s="15" t="s">
        <v>29</v>
      </c>
      <c r="I434" s="15" t="str">
        <f t="shared" si="6"/>
        <v>Doanh nghiệp</v>
      </c>
      <c r="J434" s="15" t="s">
        <v>1285</v>
      </c>
      <c r="K434" s="15" t="s">
        <v>1263</v>
      </c>
      <c r="L434" s="32">
        <f>Data!$D434/10^6</f>
        <v>72.547229999999999</v>
      </c>
    </row>
    <row r="435" spans="1:12" x14ac:dyDescent="0.25">
      <c r="A435" s="29" t="s">
        <v>92</v>
      </c>
      <c r="B435" s="15" t="s">
        <v>1059</v>
      </c>
      <c r="C435" s="15" t="s">
        <v>41</v>
      </c>
      <c r="D435" s="16">
        <v>56237418</v>
      </c>
      <c r="E435" s="17">
        <v>45323</v>
      </c>
      <c r="F435" s="18">
        <f>MONTH(Data!$E435)</f>
        <v>2</v>
      </c>
      <c r="G435" s="16">
        <f>YEAR(Data!$E435)</f>
        <v>2024</v>
      </c>
      <c r="H435" s="15" t="s">
        <v>29</v>
      </c>
      <c r="I435" s="15" t="str">
        <f t="shared" si="6"/>
        <v>Doanh nghiệp</v>
      </c>
      <c r="J435" s="15" t="s">
        <v>1284</v>
      </c>
      <c r="K435" s="15" t="s">
        <v>1269</v>
      </c>
      <c r="L435" s="32">
        <f>Data!$D435/10^6</f>
        <v>56.237417999999998</v>
      </c>
    </row>
    <row r="436" spans="1:12" x14ac:dyDescent="0.25">
      <c r="A436" s="29" t="s">
        <v>74</v>
      </c>
      <c r="B436" s="15" t="s">
        <v>1065</v>
      </c>
      <c r="C436" s="15" t="s">
        <v>14</v>
      </c>
      <c r="D436" s="16">
        <v>25527273</v>
      </c>
      <c r="E436" s="17">
        <v>45323</v>
      </c>
      <c r="F436" s="18">
        <f>MONTH(Data!$E436)</f>
        <v>2</v>
      </c>
      <c r="G436" s="16">
        <f>YEAR(Data!$E436)</f>
        <v>2024</v>
      </c>
      <c r="H436" s="15" t="s">
        <v>11</v>
      </c>
      <c r="I436" s="15" t="str">
        <f t="shared" si="6"/>
        <v>Doanh nghiệp</v>
      </c>
      <c r="J436" s="15" t="s">
        <v>1285</v>
      </c>
      <c r="K436" s="15" t="s">
        <v>1273</v>
      </c>
      <c r="L436" s="32">
        <f>Data!$D436/10^6</f>
        <v>25.527273000000001</v>
      </c>
    </row>
    <row r="437" spans="1:12" x14ac:dyDescent="0.25">
      <c r="A437" s="29" t="s">
        <v>74</v>
      </c>
      <c r="B437" s="15" t="s">
        <v>1081</v>
      </c>
      <c r="C437" s="15" t="s">
        <v>14</v>
      </c>
      <c r="D437" s="16">
        <v>27258000</v>
      </c>
      <c r="E437" s="17">
        <v>45323</v>
      </c>
      <c r="F437" s="18">
        <f>MONTH(Data!$E437)</f>
        <v>2</v>
      </c>
      <c r="G437" s="16">
        <f>YEAR(Data!$E437)</f>
        <v>2024</v>
      </c>
      <c r="H437" s="15" t="s">
        <v>11</v>
      </c>
      <c r="I437" s="15" t="str">
        <f t="shared" si="6"/>
        <v>Doanh nghiệp</v>
      </c>
      <c r="J437" s="15" t="s">
        <v>1284</v>
      </c>
      <c r="K437" s="15" t="s">
        <v>1275</v>
      </c>
      <c r="L437" s="32">
        <f>Data!$D437/10^6</f>
        <v>27.257999999999999</v>
      </c>
    </row>
    <row r="438" spans="1:12" x14ac:dyDescent="0.25">
      <c r="A438" s="29" t="s">
        <v>30</v>
      </c>
      <c r="B438" s="15" t="s">
        <v>1118</v>
      </c>
      <c r="C438" s="15" t="s">
        <v>149</v>
      </c>
      <c r="D438" s="16">
        <v>432876134</v>
      </c>
      <c r="E438" s="17">
        <v>45323</v>
      </c>
      <c r="F438" s="18">
        <f>MONTH(Data!$E438)</f>
        <v>2</v>
      </c>
      <c r="G438" s="16">
        <f>YEAR(Data!$E438)</f>
        <v>2024</v>
      </c>
      <c r="H438" s="15" t="s">
        <v>32</v>
      </c>
      <c r="I438" s="15" t="str">
        <f t="shared" si="6"/>
        <v>Doanh nghiệp</v>
      </c>
      <c r="J438" s="15" t="s">
        <v>1285</v>
      </c>
      <c r="K438" s="15" t="s">
        <v>1266</v>
      </c>
      <c r="L438" s="32">
        <f>Data!$D438/10^6</f>
        <v>432.87613399999998</v>
      </c>
    </row>
    <row r="439" spans="1:12" x14ac:dyDescent="0.25">
      <c r="A439" s="29" t="s">
        <v>116</v>
      </c>
      <c r="B439" s="15" t="s">
        <v>1025</v>
      </c>
      <c r="C439" s="15" t="s">
        <v>10</v>
      </c>
      <c r="D439" s="16">
        <v>28327000</v>
      </c>
      <c r="E439" s="17">
        <v>45323</v>
      </c>
      <c r="F439" s="18">
        <f>MONTH(Data!$E439)</f>
        <v>2</v>
      </c>
      <c r="G439" s="16">
        <f>YEAR(Data!$E439)</f>
        <v>2024</v>
      </c>
      <c r="H439" s="15" t="s">
        <v>15</v>
      </c>
      <c r="I439" s="15" t="str">
        <f t="shared" si="6"/>
        <v>Doanh nghiệp</v>
      </c>
      <c r="J439" s="15" t="s">
        <v>1284</v>
      </c>
      <c r="K439" s="15" t="s">
        <v>1263</v>
      </c>
      <c r="L439" s="32">
        <f>Data!$D439/10^6</f>
        <v>28.327000000000002</v>
      </c>
    </row>
    <row r="440" spans="1:12" x14ac:dyDescent="0.25">
      <c r="A440" s="29" t="s">
        <v>127</v>
      </c>
      <c r="B440" s="15" t="s">
        <v>1042</v>
      </c>
      <c r="C440" s="15" t="s">
        <v>149</v>
      </c>
      <c r="D440" s="16">
        <v>16768182</v>
      </c>
      <c r="E440" s="17">
        <v>45323</v>
      </c>
      <c r="F440" s="18">
        <f>MONTH(Data!$E440)</f>
        <v>2</v>
      </c>
      <c r="G440" s="16">
        <f>YEAR(Data!$E440)</f>
        <v>2024</v>
      </c>
      <c r="H440" s="15" t="s">
        <v>32</v>
      </c>
      <c r="I440" s="15" t="str">
        <f t="shared" si="6"/>
        <v>Doanh nghiệp</v>
      </c>
      <c r="J440" s="15" t="s">
        <v>1285</v>
      </c>
      <c r="K440" s="15" t="s">
        <v>1262</v>
      </c>
      <c r="L440" s="32">
        <f>Data!$D440/10^6</f>
        <v>16.768181999999999</v>
      </c>
    </row>
    <row r="441" spans="1:12" x14ac:dyDescent="0.25">
      <c r="A441" s="29" t="s">
        <v>78</v>
      </c>
      <c r="B441" s="15" t="s">
        <v>1048</v>
      </c>
      <c r="C441" s="15" t="s">
        <v>14</v>
      </c>
      <c r="D441" s="16">
        <v>9800000</v>
      </c>
      <c r="E441" s="17">
        <v>45323</v>
      </c>
      <c r="F441" s="18">
        <f>MONTH(Data!$E441)</f>
        <v>2</v>
      </c>
      <c r="G441" s="16">
        <f>YEAR(Data!$E441)</f>
        <v>2024</v>
      </c>
      <c r="H441" s="15" t="s">
        <v>15</v>
      </c>
      <c r="I441" s="15" t="str">
        <f t="shared" si="6"/>
        <v>Doanh nghiệp</v>
      </c>
      <c r="J441" s="15" t="s">
        <v>1284</v>
      </c>
      <c r="K441" s="15" t="s">
        <v>1275</v>
      </c>
      <c r="L441" s="32">
        <f>Data!$D441/10^6</f>
        <v>9.8000000000000007</v>
      </c>
    </row>
    <row r="442" spans="1:12" x14ac:dyDescent="0.25">
      <c r="A442" s="29" t="s">
        <v>100</v>
      </c>
      <c r="B442" s="15" t="s">
        <v>1051</v>
      </c>
      <c r="C442" s="15" t="s">
        <v>149</v>
      </c>
      <c r="D442" s="16">
        <v>135110945</v>
      </c>
      <c r="E442" s="17">
        <v>45323</v>
      </c>
      <c r="F442" s="18">
        <f>MONTH(Data!$E442)</f>
        <v>2</v>
      </c>
      <c r="G442" s="16">
        <f>YEAR(Data!$E442)</f>
        <v>2024</v>
      </c>
      <c r="H442" s="15" t="s">
        <v>42</v>
      </c>
      <c r="I442" s="15" t="str">
        <f t="shared" si="6"/>
        <v>Doanh nghiệp</v>
      </c>
      <c r="J442" s="15" t="s">
        <v>1285</v>
      </c>
      <c r="K442" s="15" t="s">
        <v>1262</v>
      </c>
      <c r="L442" s="32">
        <f>Data!$D442/10^6</f>
        <v>135.11094499999999</v>
      </c>
    </row>
    <row r="443" spans="1:12" x14ac:dyDescent="0.25">
      <c r="A443" s="29" t="s">
        <v>37</v>
      </c>
      <c r="B443" s="15" t="s">
        <v>1062</v>
      </c>
      <c r="C443" s="15" t="s">
        <v>14</v>
      </c>
      <c r="D443" s="16">
        <v>71543636</v>
      </c>
      <c r="E443" s="17">
        <v>45323</v>
      </c>
      <c r="F443" s="18">
        <f>MONTH(Data!$E443)</f>
        <v>2</v>
      </c>
      <c r="G443" s="16">
        <f>YEAR(Data!$E443)</f>
        <v>2024</v>
      </c>
      <c r="H443" s="15" t="s">
        <v>11</v>
      </c>
      <c r="I443" s="15" t="str">
        <f t="shared" si="6"/>
        <v>Doanh nghiệp</v>
      </c>
      <c r="J443" s="15" t="s">
        <v>1284</v>
      </c>
      <c r="K443" s="15" t="s">
        <v>1264</v>
      </c>
      <c r="L443" s="32">
        <f>Data!$D443/10^6</f>
        <v>71.543636000000006</v>
      </c>
    </row>
    <row r="444" spans="1:12" x14ac:dyDescent="0.25">
      <c r="A444" s="29" t="s">
        <v>73</v>
      </c>
      <c r="B444" s="15" t="s">
        <v>1083</v>
      </c>
      <c r="C444" s="15" t="s">
        <v>41</v>
      </c>
      <c r="D444" s="16">
        <v>95690909</v>
      </c>
      <c r="E444" s="17">
        <v>45323</v>
      </c>
      <c r="F444" s="18">
        <f>MONTH(Data!$E444)</f>
        <v>2</v>
      </c>
      <c r="G444" s="16">
        <f>YEAR(Data!$E444)</f>
        <v>2024</v>
      </c>
      <c r="H444" s="15" t="s">
        <v>32</v>
      </c>
      <c r="I444" s="15" t="str">
        <f t="shared" si="6"/>
        <v>Doanh nghiệp</v>
      </c>
      <c r="J444" s="15" t="s">
        <v>1285</v>
      </c>
      <c r="K444" s="15" t="s">
        <v>1270</v>
      </c>
      <c r="L444" s="32">
        <f>Data!$D444/10^6</f>
        <v>95.690909000000005</v>
      </c>
    </row>
    <row r="445" spans="1:12" x14ac:dyDescent="0.25">
      <c r="A445" s="29" t="s">
        <v>87</v>
      </c>
      <c r="B445" s="15" t="s">
        <v>1108</v>
      </c>
      <c r="C445" s="15" t="s">
        <v>10</v>
      </c>
      <c r="D445" s="16">
        <v>31820909</v>
      </c>
      <c r="E445" s="17">
        <v>45323</v>
      </c>
      <c r="F445" s="18">
        <f>MONTH(Data!$E445)</f>
        <v>2</v>
      </c>
      <c r="G445" s="16">
        <f>YEAR(Data!$E445)</f>
        <v>2024</v>
      </c>
      <c r="H445" s="15" t="s">
        <v>29</v>
      </c>
      <c r="I445" s="15" t="str">
        <f t="shared" si="6"/>
        <v>Doanh nghiệp</v>
      </c>
      <c r="J445" s="15" t="s">
        <v>1284</v>
      </c>
      <c r="K445" s="15" t="s">
        <v>1263</v>
      </c>
      <c r="L445" s="32">
        <f>Data!$D445/10^6</f>
        <v>31.820909</v>
      </c>
    </row>
    <row r="446" spans="1:12" x14ac:dyDescent="0.25">
      <c r="A446" s="29" t="s">
        <v>78</v>
      </c>
      <c r="B446" s="15" t="s">
        <v>1116</v>
      </c>
      <c r="C446" s="15" t="s">
        <v>41</v>
      </c>
      <c r="D446" s="16">
        <v>41772727</v>
      </c>
      <c r="E446" s="17">
        <v>45323</v>
      </c>
      <c r="F446" s="18">
        <f>MONTH(Data!$E446)</f>
        <v>2</v>
      </c>
      <c r="G446" s="16">
        <f>YEAR(Data!$E446)</f>
        <v>2024</v>
      </c>
      <c r="H446" s="15" t="s">
        <v>15</v>
      </c>
      <c r="I446" s="15" t="str">
        <f t="shared" si="6"/>
        <v>Doanh nghiệp</v>
      </c>
      <c r="J446" s="15" t="s">
        <v>1285</v>
      </c>
      <c r="K446" s="15" t="s">
        <v>1272</v>
      </c>
      <c r="L446" s="32">
        <f>Data!$D446/10^6</f>
        <v>41.772727000000003</v>
      </c>
    </row>
    <row r="447" spans="1:12" x14ac:dyDescent="0.25">
      <c r="A447" s="29" t="s">
        <v>87</v>
      </c>
      <c r="B447" s="15" t="s">
        <v>1034</v>
      </c>
      <c r="C447" s="15" t="s">
        <v>41</v>
      </c>
      <c r="D447" s="16">
        <v>64427273</v>
      </c>
      <c r="E447" s="17">
        <v>45323</v>
      </c>
      <c r="F447" s="18">
        <f>MONTH(Data!$E447)</f>
        <v>2</v>
      </c>
      <c r="G447" s="16">
        <f>YEAR(Data!$E447)</f>
        <v>2024</v>
      </c>
      <c r="H447" s="15" t="s">
        <v>29</v>
      </c>
      <c r="I447" s="15" t="str">
        <f t="shared" si="6"/>
        <v>Doanh nghiệp</v>
      </c>
      <c r="J447" s="15" t="s">
        <v>1284</v>
      </c>
      <c r="K447" s="15" t="s">
        <v>1269</v>
      </c>
      <c r="L447" s="32">
        <f>Data!$D447/10^6</f>
        <v>64.427273</v>
      </c>
    </row>
    <row r="448" spans="1:12" x14ac:dyDescent="0.25">
      <c r="A448" s="29" t="s">
        <v>73</v>
      </c>
      <c r="B448" s="15" t="s">
        <v>1061</v>
      </c>
      <c r="C448" s="15" t="s">
        <v>14</v>
      </c>
      <c r="D448" s="16">
        <v>48718182</v>
      </c>
      <c r="E448" s="17">
        <v>45323</v>
      </c>
      <c r="F448" s="18">
        <f>MONTH(Data!$E448)</f>
        <v>2</v>
      </c>
      <c r="G448" s="16">
        <f>YEAR(Data!$E448)</f>
        <v>2024</v>
      </c>
      <c r="H448" s="15" t="s">
        <v>32</v>
      </c>
      <c r="I448" s="15" t="str">
        <f t="shared" si="6"/>
        <v>Doanh nghiệp</v>
      </c>
      <c r="J448" s="15" t="s">
        <v>1285</v>
      </c>
      <c r="K448" s="15" t="s">
        <v>1275</v>
      </c>
      <c r="L448" s="32">
        <f>Data!$D448/10^6</f>
        <v>48.718181999999999</v>
      </c>
    </row>
    <row r="449" spans="1:12" x14ac:dyDescent="0.25">
      <c r="A449" s="29" t="s">
        <v>87</v>
      </c>
      <c r="B449" s="15" t="s">
        <v>1087</v>
      </c>
      <c r="C449" s="15" t="s">
        <v>46</v>
      </c>
      <c r="D449" s="16">
        <v>10690909</v>
      </c>
      <c r="E449" s="17">
        <v>45323</v>
      </c>
      <c r="F449" s="18">
        <f>MONTH(Data!$E449)</f>
        <v>2</v>
      </c>
      <c r="G449" s="16">
        <f>YEAR(Data!$E449)</f>
        <v>2024</v>
      </c>
      <c r="H449" s="15" t="s">
        <v>29</v>
      </c>
      <c r="I449" s="15" t="str">
        <f t="shared" si="6"/>
        <v>Doanh nghiệp</v>
      </c>
      <c r="J449" s="15" t="s">
        <v>1284</v>
      </c>
      <c r="K449" s="15" t="s">
        <v>1271</v>
      </c>
      <c r="L449" s="32">
        <f>Data!$D449/10^6</f>
        <v>10.690909</v>
      </c>
    </row>
    <row r="450" spans="1:12" x14ac:dyDescent="0.25">
      <c r="A450" s="29" t="s">
        <v>92</v>
      </c>
      <c r="B450" s="15" t="s">
        <v>1088</v>
      </c>
      <c r="C450" s="15" t="s">
        <v>41</v>
      </c>
      <c r="D450" s="16">
        <v>15100000</v>
      </c>
      <c r="E450" s="17">
        <v>45323</v>
      </c>
      <c r="F450" s="18">
        <f>MONTH(Data!$E450)</f>
        <v>2</v>
      </c>
      <c r="G450" s="16">
        <f>YEAR(Data!$E450)</f>
        <v>2024</v>
      </c>
      <c r="H450" s="15" t="s">
        <v>29</v>
      </c>
      <c r="I450" s="15" t="str">
        <f t="shared" si="6"/>
        <v>Doanh nghiệp</v>
      </c>
      <c r="J450" s="15" t="s">
        <v>1285</v>
      </c>
      <c r="K450" s="15" t="s">
        <v>1269</v>
      </c>
      <c r="L450" s="32">
        <f>Data!$D450/10^6</f>
        <v>15.1</v>
      </c>
    </row>
    <row r="451" spans="1:12" x14ac:dyDescent="0.25">
      <c r="A451" s="29" t="s">
        <v>92</v>
      </c>
      <c r="B451" s="15" t="s">
        <v>1091</v>
      </c>
      <c r="C451" s="15" t="s">
        <v>46</v>
      </c>
      <c r="D451" s="16">
        <v>71272727</v>
      </c>
      <c r="E451" s="17">
        <v>45323</v>
      </c>
      <c r="F451" s="18">
        <f>MONTH(Data!$E451)</f>
        <v>2</v>
      </c>
      <c r="G451" s="16">
        <f>YEAR(Data!$E451)</f>
        <v>2024</v>
      </c>
      <c r="H451" s="15" t="s">
        <v>29</v>
      </c>
      <c r="I451" s="15" t="str">
        <f t="shared" ref="I451:I514" si="7">IF(ISNUMBER(SEARCH("Công ty",$B451)),"Doanh nghiệp",IF(ISNUMBER(SEARCH("Doanh nghiệp",$B451)),"Doanh nghiệp",IF(ISNUMBER(SEARCH("Tập đoàn",$B451)),"Doanh nghiệp",
IF(ISNUMBER(SEARCH("Bệnh viện",$B451)),"Bệnh viện",
IF(ISNUMBER(SEARCH("Ngân hàng",$B451)),"Ngân hàng",IF(ISNUMBER(SEARCH("trường",$B451)),"Trường học",IF(ISNUMBER(SEARCH("học viện",$B451)),"Trường học",
IF(ISNUMBER(SEARCH("Bộ",$B451)),"Sở ban ngành",IF(ISNUMBER(SEARCH("Đoàn",$B451)),"Sở ban ngành",IF(ISNUMBER(SEARCH("Phòng",$B451)),"Sở ban ngành",IF(ISNUMBER(SEARCH("UBND",$B451)),"Sở ban ngành",IF(ISNUMBER(SEARCH("ủy ban",$B451)),"Sở ban ngành",IF(ISNUMBER(SEARCH("công an",$B451)),"Sở ban ngành",IF(ISNUMBER(SEARCH("sở",$B451)),"Sở ban ngành",IF(ISNUMBER(SEARCH("thôn",$B451)),"Sở ban ngành",IF(ISNUMBER(SEARCH("xã",$B451)),"Sở ban ngành",IF(ISNUMBER(SEARCH("quân khu",$B451)),"Sở ban ngành",IF(ISNUMBER(SEARCH("cục",$B451)),"Sở ban ngành",IF(ISNUMBER(SEARCH("viện",$B451)),"Sở ban ngành",IF(ISNUMBER(SEARCH("quỹ",$B451)),"Sở ban ngành",IF(ISNUMBER(SEARCH("trung tâm",$B451)),"Sở ban ngành",IF(ISNUMBER(SEARCH("quân chủng",$B451)),"Sở ban ngành",IF(ISNUMBER(SEARCH("hội",$B451)),"Sở ban ngành",
"Khác")))))))))))))))))))))))</f>
        <v>Doanh nghiệp</v>
      </c>
      <c r="J451" s="15" t="s">
        <v>1284</v>
      </c>
      <c r="K451" s="15" t="s">
        <v>1271</v>
      </c>
      <c r="L451" s="32">
        <f>Data!$D451/10^6</f>
        <v>71.272727000000003</v>
      </c>
    </row>
    <row r="452" spans="1:12" x14ac:dyDescent="0.25">
      <c r="A452" s="29" t="s">
        <v>52</v>
      </c>
      <c r="B452" s="15" t="s">
        <v>1096</v>
      </c>
      <c r="C452" s="15" t="s">
        <v>14</v>
      </c>
      <c r="D452" s="16">
        <v>22590000</v>
      </c>
      <c r="E452" s="17">
        <v>45323</v>
      </c>
      <c r="F452" s="18">
        <f>MONTH(Data!$E452)</f>
        <v>2</v>
      </c>
      <c r="G452" s="16">
        <f>YEAR(Data!$E452)</f>
        <v>2024</v>
      </c>
      <c r="H452" s="15" t="s">
        <v>35</v>
      </c>
      <c r="I452" s="15" t="str">
        <f t="shared" si="7"/>
        <v>Doanh nghiệp</v>
      </c>
      <c r="J452" s="15" t="s">
        <v>1285</v>
      </c>
      <c r="K452" s="15" t="s">
        <v>1264</v>
      </c>
      <c r="L452" s="32">
        <f>Data!$D452/10^6</f>
        <v>22.59</v>
      </c>
    </row>
    <row r="453" spans="1:12" x14ac:dyDescent="0.25">
      <c r="A453" s="29" t="s">
        <v>72</v>
      </c>
      <c r="B453" s="15" t="s">
        <v>1099</v>
      </c>
      <c r="C453" s="15" t="s">
        <v>10</v>
      </c>
      <c r="D453" s="16">
        <v>14061863</v>
      </c>
      <c r="E453" s="17">
        <v>45323</v>
      </c>
      <c r="F453" s="18">
        <f>MONTH(Data!$E453)</f>
        <v>2</v>
      </c>
      <c r="G453" s="16">
        <f>YEAR(Data!$E453)</f>
        <v>2024</v>
      </c>
      <c r="H453" s="15" t="s">
        <v>22</v>
      </c>
      <c r="I453" s="15" t="str">
        <f t="shared" si="7"/>
        <v>Doanh nghiệp</v>
      </c>
      <c r="J453" s="15" t="s">
        <v>1284</v>
      </c>
      <c r="K453" s="15" t="s">
        <v>1262</v>
      </c>
      <c r="L453" s="32">
        <f>Data!$D453/10^6</f>
        <v>14.061863000000001</v>
      </c>
    </row>
    <row r="454" spans="1:12" x14ac:dyDescent="0.25">
      <c r="A454" s="29" t="s">
        <v>130</v>
      </c>
      <c r="B454" s="15" t="s">
        <v>1106</v>
      </c>
      <c r="C454" s="15" t="s">
        <v>149</v>
      </c>
      <c r="D454" s="16">
        <v>62101165</v>
      </c>
      <c r="E454" s="17">
        <v>45323</v>
      </c>
      <c r="F454" s="18">
        <f>MONTH(Data!$E454)</f>
        <v>2</v>
      </c>
      <c r="G454" s="16">
        <f>YEAR(Data!$E454)</f>
        <v>2024</v>
      </c>
      <c r="H454" s="15" t="s">
        <v>22</v>
      </c>
      <c r="I454" s="15" t="str">
        <f t="shared" si="7"/>
        <v>Doanh nghiệp</v>
      </c>
      <c r="J454" s="15" t="s">
        <v>1285</v>
      </c>
      <c r="K454" s="15" t="s">
        <v>1266</v>
      </c>
      <c r="L454" s="32">
        <f>Data!$D454/10^6</f>
        <v>62.101165000000002</v>
      </c>
    </row>
    <row r="455" spans="1:12" x14ac:dyDescent="0.25">
      <c r="A455" s="29" t="s">
        <v>39</v>
      </c>
      <c r="B455" s="15" t="s">
        <v>1107</v>
      </c>
      <c r="C455" s="15" t="s">
        <v>149</v>
      </c>
      <c r="D455" s="16">
        <v>3823086532</v>
      </c>
      <c r="E455" s="17">
        <v>45323</v>
      </c>
      <c r="F455" s="18">
        <f>MONTH(Data!$E455)</f>
        <v>2</v>
      </c>
      <c r="G455" s="16">
        <f>YEAR(Data!$E455)</f>
        <v>2024</v>
      </c>
      <c r="H455" s="15" t="s">
        <v>42</v>
      </c>
      <c r="I455" s="15" t="str">
        <f t="shared" si="7"/>
        <v>Doanh nghiệp</v>
      </c>
      <c r="J455" s="15" t="s">
        <v>1284</v>
      </c>
      <c r="K455" s="15" t="s">
        <v>1264</v>
      </c>
      <c r="L455" s="32">
        <f>Data!$D455/10^6</f>
        <v>3823.0865319999998</v>
      </c>
    </row>
    <row r="456" spans="1:12" x14ac:dyDescent="0.25">
      <c r="A456" s="29" t="s">
        <v>8</v>
      </c>
      <c r="B456" s="15" t="s">
        <v>1117</v>
      </c>
      <c r="C456" s="15" t="s">
        <v>14</v>
      </c>
      <c r="D456" s="16">
        <v>127820430</v>
      </c>
      <c r="E456" s="17">
        <v>45323</v>
      </c>
      <c r="F456" s="18">
        <f>MONTH(Data!$E456)</f>
        <v>2</v>
      </c>
      <c r="G456" s="16">
        <f>YEAR(Data!$E456)</f>
        <v>2024</v>
      </c>
      <c r="H456" s="15" t="s">
        <v>11</v>
      </c>
      <c r="I456" s="15" t="str">
        <f t="shared" si="7"/>
        <v>Doanh nghiệp</v>
      </c>
      <c r="J456" s="15" t="s">
        <v>1285</v>
      </c>
      <c r="K456" s="15" t="s">
        <v>1264</v>
      </c>
      <c r="L456" s="32">
        <f>Data!$D456/10^6</f>
        <v>127.82043</v>
      </c>
    </row>
    <row r="457" spans="1:12" x14ac:dyDescent="0.25">
      <c r="A457" s="29" t="s">
        <v>23</v>
      </c>
      <c r="B457" s="15" t="s">
        <v>1119</v>
      </c>
      <c r="C457" s="15" t="s">
        <v>14</v>
      </c>
      <c r="D457" s="16">
        <v>148409091</v>
      </c>
      <c r="E457" s="17">
        <v>45323</v>
      </c>
      <c r="F457" s="18">
        <f>MONTH(Data!$E457)</f>
        <v>2</v>
      </c>
      <c r="G457" s="16">
        <f>YEAR(Data!$E457)</f>
        <v>2024</v>
      </c>
      <c r="H457" s="15" t="s">
        <v>25</v>
      </c>
      <c r="I457" s="15" t="str">
        <f t="shared" si="7"/>
        <v>Doanh nghiệp</v>
      </c>
      <c r="J457" s="15" t="s">
        <v>1284</v>
      </c>
      <c r="K457" s="15" t="s">
        <v>1264</v>
      </c>
      <c r="L457" s="32">
        <f>Data!$D457/10^6</f>
        <v>148.40909099999999</v>
      </c>
    </row>
    <row r="458" spans="1:12" x14ac:dyDescent="0.25">
      <c r="A458" s="29" t="s">
        <v>8</v>
      </c>
      <c r="B458" s="15" t="s">
        <v>1119</v>
      </c>
      <c r="C458" s="15" t="s">
        <v>10</v>
      </c>
      <c r="D458" s="16">
        <v>38300000</v>
      </c>
      <c r="E458" s="17">
        <v>45323</v>
      </c>
      <c r="F458" s="18">
        <f>MONTH(Data!$E458)</f>
        <v>2</v>
      </c>
      <c r="G458" s="16">
        <f>YEAR(Data!$E458)</f>
        <v>2024</v>
      </c>
      <c r="H458" s="15" t="s">
        <v>11</v>
      </c>
      <c r="I458" s="15" t="str">
        <f t="shared" si="7"/>
        <v>Doanh nghiệp</v>
      </c>
      <c r="J458" s="15" t="s">
        <v>1285</v>
      </c>
      <c r="K458" s="15" t="s">
        <v>1262</v>
      </c>
      <c r="L458" s="32">
        <f>Data!$D458/10^6</f>
        <v>38.299999999999997</v>
      </c>
    </row>
    <row r="459" spans="1:12" x14ac:dyDescent="0.25">
      <c r="A459" s="29" t="s">
        <v>48</v>
      </c>
      <c r="B459" s="15" t="s">
        <v>1134</v>
      </c>
      <c r="C459" s="15" t="s">
        <v>10</v>
      </c>
      <c r="D459" s="16">
        <v>32701000</v>
      </c>
      <c r="E459" s="17">
        <v>45323</v>
      </c>
      <c r="F459" s="18">
        <f>MONTH(Data!$E459)</f>
        <v>2</v>
      </c>
      <c r="G459" s="16">
        <f>YEAR(Data!$E459)</f>
        <v>2024</v>
      </c>
      <c r="H459" s="15" t="s">
        <v>25</v>
      </c>
      <c r="I459" s="15" t="str">
        <f t="shared" si="7"/>
        <v>Doanh nghiệp</v>
      </c>
      <c r="J459" s="15" t="s">
        <v>1284</v>
      </c>
      <c r="K459" s="15" t="s">
        <v>1263</v>
      </c>
      <c r="L459" s="32">
        <f>Data!$D459/10^6</f>
        <v>32.701000000000001</v>
      </c>
    </row>
    <row r="460" spans="1:12" x14ac:dyDescent="0.25">
      <c r="A460" s="29" t="s">
        <v>85</v>
      </c>
      <c r="B460" s="15" t="s">
        <v>1137</v>
      </c>
      <c r="C460" s="15" t="s">
        <v>10</v>
      </c>
      <c r="D460" s="16">
        <v>37034181</v>
      </c>
      <c r="E460" s="17">
        <v>45323</v>
      </c>
      <c r="F460" s="18">
        <f>MONTH(Data!$E460)</f>
        <v>2</v>
      </c>
      <c r="G460" s="16">
        <f>YEAR(Data!$E460)</f>
        <v>2024</v>
      </c>
      <c r="H460" s="15" t="s">
        <v>15</v>
      </c>
      <c r="I460" s="15" t="str">
        <f t="shared" si="7"/>
        <v>Doanh nghiệp</v>
      </c>
      <c r="J460" s="15" t="s">
        <v>1285</v>
      </c>
      <c r="K460" s="15" t="s">
        <v>1263</v>
      </c>
      <c r="L460" s="32">
        <f>Data!$D460/10^6</f>
        <v>37.034180999999997</v>
      </c>
    </row>
    <row r="461" spans="1:12" x14ac:dyDescent="0.25">
      <c r="A461" s="29" t="s">
        <v>111</v>
      </c>
      <c r="B461" s="15" t="s">
        <v>1140</v>
      </c>
      <c r="C461" s="15" t="s">
        <v>14</v>
      </c>
      <c r="D461" s="16">
        <v>146136364</v>
      </c>
      <c r="E461" s="17">
        <v>45323</v>
      </c>
      <c r="F461" s="18">
        <f>MONTH(Data!$E461)</f>
        <v>2</v>
      </c>
      <c r="G461" s="16">
        <f>YEAR(Data!$E461)</f>
        <v>2024</v>
      </c>
      <c r="H461" s="15" t="s">
        <v>22</v>
      </c>
      <c r="I461" s="15" t="str">
        <f t="shared" si="7"/>
        <v>Doanh nghiệp</v>
      </c>
      <c r="J461" s="15" t="s">
        <v>1284</v>
      </c>
      <c r="K461" s="15" t="s">
        <v>1275</v>
      </c>
      <c r="L461" s="32">
        <f>Data!$D461/10^6</f>
        <v>146.13636399999999</v>
      </c>
    </row>
    <row r="462" spans="1:12" x14ac:dyDescent="0.25">
      <c r="A462" s="29" t="s">
        <v>37</v>
      </c>
      <c r="B462" s="15" t="s">
        <v>1142</v>
      </c>
      <c r="C462" s="15" t="s">
        <v>10</v>
      </c>
      <c r="D462" s="16">
        <v>12309091</v>
      </c>
      <c r="E462" s="17">
        <v>45323</v>
      </c>
      <c r="F462" s="18">
        <f>MONTH(Data!$E462)</f>
        <v>2</v>
      </c>
      <c r="G462" s="16">
        <f>YEAR(Data!$E462)</f>
        <v>2024</v>
      </c>
      <c r="H462" s="15" t="s">
        <v>11</v>
      </c>
      <c r="I462" s="15" t="str">
        <f t="shared" si="7"/>
        <v>Doanh nghiệp</v>
      </c>
      <c r="J462" s="15" t="s">
        <v>1285</v>
      </c>
      <c r="K462" s="15" t="s">
        <v>1263</v>
      </c>
      <c r="L462" s="32">
        <f>Data!$D462/10^6</f>
        <v>12.309091</v>
      </c>
    </row>
    <row r="463" spans="1:12" x14ac:dyDescent="0.25">
      <c r="A463" s="29" t="s">
        <v>36</v>
      </c>
      <c r="B463" s="15" t="s">
        <v>1148</v>
      </c>
      <c r="C463" s="15" t="s">
        <v>14</v>
      </c>
      <c r="D463" s="16">
        <v>36254545</v>
      </c>
      <c r="E463" s="17">
        <v>45323</v>
      </c>
      <c r="F463" s="18">
        <f>MONTH(Data!$E463)</f>
        <v>2</v>
      </c>
      <c r="G463" s="16">
        <f>YEAR(Data!$E463)</f>
        <v>2024</v>
      </c>
      <c r="H463" s="15" t="s">
        <v>15</v>
      </c>
      <c r="I463" s="15" t="str">
        <f t="shared" si="7"/>
        <v>Doanh nghiệp</v>
      </c>
      <c r="J463" s="15" t="s">
        <v>1284</v>
      </c>
      <c r="K463" s="15" t="s">
        <v>1273</v>
      </c>
      <c r="L463" s="32">
        <f>Data!$D463/10^6</f>
        <v>36.254545</v>
      </c>
    </row>
    <row r="464" spans="1:12" x14ac:dyDescent="0.25">
      <c r="A464" s="29" t="s">
        <v>13</v>
      </c>
      <c r="B464" s="15" t="s">
        <v>1129</v>
      </c>
      <c r="C464" s="15" t="s">
        <v>14</v>
      </c>
      <c r="D464" s="16">
        <v>86347451</v>
      </c>
      <c r="E464" s="17">
        <v>45323</v>
      </c>
      <c r="F464" s="18">
        <f>MONTH(Data!$E464)</f>
        <v>2</v>
      </c>
      <c r="G464" s="16">
        <f>YEAR(Data!$E464)</f>
        <v>2024</v>
      </c>
      <c r="H464" s="15" t="s">
        <v>15</v>
      </c>
      <c r="I464" s="15" t="str">
        <f t="shared" si="7"/>
        <v>Doanh nghiệp</v>
      </c>
      <c r="J464" s="15" t="s">
        <v>1285</v>
      </c>
      <c r="K464" s="15" t="s">
        <v>1264</v>
      </c>
      <c r="L464" s="32">
        <f>Data!$D464/10^6</f>
        <v>86.347451000000007</v>
      </c>
    </row>
    <row r="465" spans="1:12" x14ac:dyDescent="0.25">
      <c r="A465" s="29" t="s">
        <v>17</v>
      </c>
      <c r="B465" s="15" t="s">
        <v>1149</v>
      </c>
      <c r="C465" s="15" t="s">
        <v>149</v>
      </c>
      <c r="D465" s="16">
        <v>104376364</v>
      </c>
      <c r="E465" s="17">
        <v>45323</v>
      </c>
      <c r="F465" s="18">
        <f>MONTH(Data!$E465)</f>
        <v>2</v>
      </c>
      <c r="G465" s="16">
        <f>YEAR(Data!$E465)</f>
        <v>2024</v>
      </c>
      <c r="H465" s="15" t="s">
        <v>11</v>
      </c>
      <c r="I465" s="15" t="str">
        <f t="shared" si="7"/>
        <v>Doanh nghiệp</v>
      </c>
      <c r="J465" s="15" t="s">
        <v>1284</v>
      </c>
      <c r="K465" s="15" t="s">
        <v>1267</v>
      </c>
      <c r="L465" s="32">
        <f>Data!$D465/10^6</f>
        <v>104.376364</v>
      </c>
    </row>
    <row r="466" spans="1:12" x14ac:dyDescent="0.25">
      <c r="A466" s="29" t="s">
        <v>21</v>
      </c>
      <c r="B466" s="15" t="s">
        <v>1137</v>
      </c>
      <c r="C466" s="15" t="s">
        <v>149</v>
      </c>
      <c r="D466" s="16">
        <v>69818182</v>
      </c>
      <c r="E466" s="17">
        <v>45323</v>
      </c>
      <c r="F466" s="18">
        <f>MONTH(Data!$E466)</f>
        <v>2</v>
      </c>
      <c r="G466" s="16">
        <f>YEAR(Data!$E466)</f>
        <v>2024</v>
      </c>
      <c r="H466" s="15" t="s">
        <v>22</v>
      </c>
      <c r="I466" s="15" t="str">
        <f t="shared" si="7"/>
        <v>Doanh nghiệp</v>
      </c>
      <c r="J466" s="15" t="s">
        <v>1285</v>
      </c>
      <c r="K466" s="15" t="s">
        <v>1271</v>
      </c>
      <c r="L466" s="32">
        <f>Data!$D466/10^6</f>
        <v>69.818181999999993</v>
      </c>
    </row>
    <row r="467" spans="1:12" x14ac:dyDescent="0.25">
      <c r="A467" s="29" t="s">
        <v>55</v>
      </c>
      <c r="B467" s="15" t="s">
        <v>1136</v>
      </c>
      <c r="C467" s="15" t="s">
        <v>41</v>
      </c>
      <c r="D467" s="16">
        <v>123518182</v>
      </c>
      <c r="E467" s="17">
        <v>45323</v>
      </c>
      <c r="F467" s="18">
        <f>MONTH(Data!$E467)</f>
        <v>2</v>
      </c>
      <c r="G467" s="16">
        <f>YEAR(Data!$E467)</f>
        <v>2024</v>
      </c>
      <c r="H467" s="15" t="s">
        <v>15</v>
      </c>
      <c r="I467" s="15" t="str">
        <f t="shared" si="7"/>
        <v>Doanh nghiệp</v>
      </c>
      <c r="J467" s="15" t="s">
        <v>1284</v>
      </c>
      <c r="K467" s="15" t="s">
        <v>1269</v>
      </c>
      <c r="L467" s="32">
        <f>Data!$D467/10^6</f>
        <v>123.518182</v>
      </c>
    </row>
    <row r="468" spans="1:12" x14ac:dyDescent="0.25">
      <c r="A468" s="29" t="s">
        <v>52</v>
      </c>
      <c r="B468" s="15" t="s">
        <v>1147</v>
      </c>
      <c r="C468" s="15" t="s">
        <v>41</v>
      </c>
      <c r="D468" s="16">
        <v>89500000</v>
      </c>
      <c r="E468" s="17">
        <v>45323</v>
      </c>
      <c r="F468" s="18">
        <f>MONTH(Data!$E468)</f>
        <v>2</v>
      </c>
      <c r="G468" s="16">
        <f>YEAR(Data!$E468)</f>
        <v>2024</v>
      </c>
      <c r="H468" s="15" t="s">
        <v>35</v>
      </c>
      <c r="I468" s="15" t="str">
        <f t="shared" si="7"/>
        <v>Doanh nghiệp</v>
      </c>
      <c r="J468" s="15" t="s">
        <v>1285</v>
      </c>
      <c r="K468" s="15" t="s">
        <v>1270</v>
      </c>
      <c r="L468" s="32">
        <f>Data!$D468/10^6</f>
        <v>89.5</v>
      </c>
    </row>
    <row r="469" spans="1:12" x14ac:dyDescent="0.25">
      <c r="A469" s="29" t="s">
        <v>55</v>
      </c>
      <c r="B469" s="15" t="s">
        <v>1142</v>
      </c>
      <c r="C469" s="15" t="s">
        <v>10</v>
      </c>
      <c r="D469" s="16">
        <v>29221360</v>
      </c>
      <c r="E469" s="17">
        <v>45323</v>
      </c>
      <c r="F469" s="18">
        <f>MONTH(Data!$E469)</f>
        <v>2</v>
      </c>
      <c r="G469" s="16">
        <f>YEAR(Data!$E469)</f>
        <v>2024</v>
      </c>
      <c r="H469" s="15" t="s">
        <v>15</v>
      </c>
      <c r="I469" s="15" t="str">
        <f t="shared" si="7"/>
        <v>Doanh nghiệp</v>
      </c>
      <c r="J469" s="15" t="s">
        <v>1284</v>
      </c>
      <c r="K469" s="15" t="s">
        <v>1262</v>
      </c>
      <c r="L469" s="32">
        <f>Data!$D469/10^6</f>
        <v>29.221360000000001</v>
      </c>
    </row>
    <row r="470" spans="1:12" x14ac:dyDescent="0.25">
      <c r="A470" s="29" t="s">
        <v>36</v>
      </c>
      <c r="B470" s="15" t="s">
        <v>1161</v>
      </c>
      <c r="C470" s="15" t="s">
        <v>10</v>
      </c>
      <c r="D470" s="16">
        <v>106624618</v>
      </c>
      <c r="E470" s="17">
        <v>45323</v>
      </c>
      <c r="F470" s="18">
        <f>MONTH(Data!$E470)</f>
        <v>2</v>
      </c>
      <c r="G470" s="16">
        <f>YEAR(Data!$E470)</f>
        <v>2024</v>
      </c>
      <c r="H470" s="15" t="s">
        <v>15</v>
      </c>
      <c r="I470" s="15" t="str">
        <f t="shared" si="7"/>
        <v>Doanh nghiệp</v>
      </c>
      <c r="J470" s="15" t="s">
        <v>1285</v>
      </c>
      <c r="K470" s="15" t="s">
        <v>1263</v>
      </c>
      <c r="L470" s="32">
        <f>Data!$D470/10^6</f>
        <v>106.624618</v>
      </c>
    </row>
    <row r="471" spans="1:12" x14ac:dyDescent="0.25">
      <c r="A471" s="29" t="s">
        <v>27</v>
      </c>
      <c r="B471" s="15" t="s">
        <v>1186</v>
      </c>
      <c r="C471" s="15" t="s">
        <v>14</v>
      </c>
      <c r="D471" s="16">
        <v>1150000000</v>
      </c>
      <c r="E471" s="17">
        <v>45323</v>
      </c>
      <c r="F471" s="18">
        <f>MONTH(Data!$E471)</f>
        <v>2</v>
      </c>
      <c r="G471" s="16">
        <f>YEAR(Data!$E471)</f>
        <v>2024</v>
      </c>
      <c r="H471" s="15" t="s">
        <v>11</v>
      </c>
      <c r="I471" s="15" t="str">
        <f t="shared" si="7"/>
        <v>Doanh nghiệp</v>
      </c>
      <c r="J471" s="15" t="s">
        <v>1284</v>
      </c>
      <c r="K471" s="15" t="s">
        <v>1273</v>
      </c>
      <c r="L471" s="32">
        <f>Data!$D471/10^6</f>
        <v>1150</v>
      </c>
    </row>
    <row r="472" spans="1:12" x14ac:dyDescent="0.25">
      <c r="A472" s="29" t="s">
        <v>30</v>
      </c>
      <c r="B472" s="15" t="s">
        <v>1235</v>
      </c>
      <c r="C472" s="15" t="s">
        <v>149</v>
      </c>
      <c r="D472" s="16">
        <v>17672727</v>
      </c>
      <c r="E472" s="17">
        <v>45323</v>
      </c>
      <c r="F472" s="18">
        <f>MONTH(Data!$E472)</f>
        <v>2</v>
      </c>
      <c r="G472" s="16">
        <f>YEAR(Data!$E472)</f>
        <v>2024</v>
      </c>
      <c r="H472" s="15" t="s">
        <v>32</v>
      </c>
      <c r="I472" s="15" t="str">
        <f t="shared" si="7"/>
        <v>Doanh nghiệp</v>
      </c>
      <c r="J472" s="15" t="s">
        <v>1285</v>
      </c>
      <c r="K472" s="15" t="s">
        <v>1275</v>
      </c>
      <c r="L472" s="32">
        <f>Data!$D472/10^6</f>
        <v>17.672726999999998</v>
      </c>
    </row>
    <row r="473" spans="1:12" x14ac:dyDescent="0.25">
      <c r="A473" s="29" t="s">
        <v>74</v>
      </c>
      <c r="B473" s="15" t="s">
        <v>1238</v>
      </c>
      <c r="C473" s="15" t="s">
        <v>14</v>
      </c>
      <c r="D473" s="16">
        <v>58810909</v>
      </c>
      <c r="E473" s="17">
        <v>45323</v>
      </c>
      <c r="F473" s="18">
        <f>MONTH(Data!$E473)</f>
        <v>2</v>
      </c>
      <c r="G473" s="16">
        <f>YEAR(Data!$E473)</f>
        <v>2024</v>
      </c>
      <c r="H473" s="15" t="s">
        <v>11</v>
      </c>
      <c r="I473" s="15" t="str">
        <f t="shared" si="7"/>
        <v>Doanh nghiệp</v>
      </c>
      <c r="J473" s="15" t="s">
        <v>1284</v>
      </c>
      <c r="K473" s="15" t="s">
        <v>1266</v>
      </c>
      <c r="L473" s="32">
        <f>Data!$D473/10^6</f>
        <v>58.810909000000002</v>
      </c>
    </row>
    <row r="474" spans="1:12" x14ac:dyDescent="0.25">
      <c r="A474" s="29" t="s">
        <v>45</v>
      </c>
      <c r="B474" s="15" t="s">
        <v>1249</v>
      </c>
      <c r="C474" s="15" t="s">
        <v>14</v>
      </c>
      <c r="D474" s="16">
        <v>42306364</v>
      </c>
      <c r="E474" s="17">
        <v>45323</v>
      </c>
      <c r="F474" s="18">
        <f>MONTH(Data!$E474)</f>
        <v>2</v>
      </c>
      <c r="G474" s="16">
        <f>YEAR(Data!$E474)</f>
        <v>2024</v>
      </c>
      <c r="H474" s="15" t="s">
        <v>29</v>
      </c>
      <c r="I474" s="15" t="str">
        <f t="shared" si="7"/>
        <v>Doanh nghiệp</v>
      </c>
      <c r="J474" s="15" t="s">
        <v>1285</v>
      </c>
      <c r="K474" s="15" t="s">
        <v>1275</v>
      </c>
      <c r="L474" s="32">
        <f>Data!$D474/10^6</f>
        <v>42.306364000000002</v>
      </c>
    </row>
    <row r="475" spans="1:12" x14ac:dyDescent="0.25">
      <c r="A475" s="29" t="s">
        <v>79</v>
      </c>
      <c r="B475" s="15" t="s">
        <v>175</v>
      </c>
      <c r="C475" s="15" t="s">
        <v>149</v>
      </c>
      <c r="D475" s="16">
        <v>52320182</v>
      </c>
      <c r="E475" s="17">
        <v>45323</v>
      </c>
      <c r="F475" s="18">
        <f>MONTH(Data!$E475)</f>
        <v>2</v>
      </c>
      <c r="G475" s="16">
        <f>YEAR(Data!$E475)</f>
        <v>2024</v>
      </c>
      <c r="H475" s="15" t="s">
        <v>15</v>
      </c>
      <c r="I475" s="15" t="str">
        <f t="shared" si="7"/>
        <v>Sở ban ngành</v>
      </c>
      <c r="J475" s="15" t="s">
        <v>1284</v>
      </c>
      <c r="K475" s="15" t="s">
        <v>1262</v>
      </c>
      <c r="L475" s="32">
        <f>Data!$D475/10^6</f>
        <v>52.320182000000003</v>
      </c>
    </row>
    <row r="476" spans="1:12" x14ac:dyDescent="0.25">
      <c r="A476" s="29" t="s">
        <v>160</v>
      </c>
      <c r="B476" s="15" t="s">
        <v>202</v>
      </c>
      <c r="C476" s="15" t="s">
        <v>149</v>
      </c>
      <c r="D476" s="16">
        <v>41137425</v>
      </c>
      <c r="E476" s="17">
        <v>45323</v>
      </c>
      <c r="F476" s="18">
        <f>MONTH(Data!$E476)</f>
        <v>2</v>
      </c>
      <c r="G476" s="16">
        <f>YEAR(Data!$E476)</f>
        <v>2024</v>
      </c>
      <c r="H476" s="15" t="s">
        <v>35</v>
      </c>
      <c r="I476" s="15" t="str">
        <f t="shared" si="7"/>
        <v>Sở ban ngành</v>
      </c>
      <c r="J476" s="15" t="s">
        <v>1285</v>
      </c>
      <c r="K476" s="15" t="s">
        <v>1263</v>
      </c>
      <c r="L476" s="32">
        <f>Data!$D476/10^6</f>
        <v>41.137425</v>
      </c>
    </row>
    <row r="477" spans="1:12" x14ac:dyDescent="0.25">
      <c r="A477" s="29" t="s">
        <v>45</v>
      </c>
      <c r="B477" s="15" t="s">
        <v>154</v>
      </c>
      <c r="C477" s="15" t="s">
        <v>10</v>
      </c>
      <c r="D477" s="16">
        <v>6758182</v>
      </c>
      <c r="E477" s="17">
        <v>45323</v>
      </c>
      <c r="F477" s="18">
        <f>MONTH(Data!$E477)</f>
        <v>2</v>
      </c>
      <c r="G477" s="16">
        <f>YEAR(Data!$E477)</f>
        <v>2024</v>
      </c>
      <c r="H477" s="15" t="s">
        <v>29</v>
      </c>
      <c r="I477" s="15" t="str">
        <f t="shared" si="7"/>
        <v>Sở ban ngành</v>
      </c>
      <c r="J477" s="15" t="s">
        <v>1284</v>
      </c>
      <c r="K477" s="15" t="s">
        <v>1263</v>
      </c>
      <c r="L477" s="32">
        <f>Data!$D477/10^6</f>
        <v>6.7581819999999997</v>
      </c>
    </row>
    <row r="478" spans="1:12" x14ac:dyDescent="0.25">
      <c r="A478" s="29" t="s">
        <v>52</v>
      </c>
      <c r="B478" s="15" t="s">
        <v>188</v>
      </c>
      <c r="C478" s="15" t="s">
        <v>41</v>
      </c>
      <c r="D478" s="16">
        <v>75090909</v>
      </c>
      <c r="E478" s="17">
        <v>45323</v>
      </c>
      <c r="F478" s="18">
        <f>MONTH(Data!$E478)</f>
        <v>2</v>
      </c>
      <c r="G478" s="16">
        <f>YEAR(Data!$E478)</f>
        <v>2024</v>
      </c>
      <c r="H478" s="15" t="s">
        <v>35</v>
      </c>
      <c r="I478" s="15" t="str">
        <f t="shared" si="7"/>
        <v>Sở ban ngành</v>
      </c>
      <c r="J478" s="15" t="s">
        <v>1285</v>
      </c>
      <c r="K478" s="15" t="s">
        <v>1269</v>
      </c>
      <c r="L478" s="32">
        <f>Data!$D478/10^6</f>
        <v>75.090908999999996</v>
      </c>
    </row>
    <row r="479" spans="1:12" x14ac:dyDescent="0.25">
      <c r="A479" s="29" t="s">
        <v>79</v>
      </c>
      <c r="B479" s="15" t="s">
        <v>176</v>
      </c>
      <c r="C479" s="15" t="s">
        <v>14</v>
      </c>
      <c r="D479" s="16">
        <v>65609091</v>
      </c>
      <c r="E479" s="17">
        <v>45323</v>
      </c>
      <c r="F479" s="18">
        <f>MONTH(Data!$E479)</f>
        <v>2</v>
      </c>
      <c r="G479" s="16">
        <f>YEAR(Data!$E479)</f>
        <v>2024</v>
      </c>
      <c r="H479" s="15" t="s">
        <v>15</v>
      </c>
      <c r="I479" s="15" t="str">
        <f t="shared" si="7"/>
        <v>Sở ban ngành</v>
      </c>
      <c r="J479" s="15" t="s">
        <v>1284</v>
      </c>
      <c r="K479" s="15" t="s">
        <v>1266</v>
      </c>
      <c r="L479" s="32">
        <f>Data!$D479/10^6</f>
        <v>65.609091000000006</v>
      </c>
    </row>
    <row r="480" spans="1:12" x14ac:dyDescent="0.25">
      <c r="A480" s="29" t="s">
        <v>52</v>
      </c>
      <c r="B480" s="15" t="s">
        <v>1045</v>
      </c>
      <c r="C480" s="15" t="s">
        <v>10</v>
      </c>
      <c r="D480" s="16">
        <v>18180000</v>
      </c>
      <c r="E480" s="17">
        <v>45323</v>
      </c>
      <c r="F480" s="18">
        <f>MONTH(Data!$E480)</f>
        <v>2</v>
      </c>
      <c r="G480" s="16">
        <f>YEAR(Data!$E480)</f>
        <v>2024</v>
      </c>
      <c r="H480" s="15" t="s">
        <v>35</v>
      </c>
      <c r="I480" s="15" t="str">
        <f t="shared" si="7"/>
        <v>Doanh nghiệp</v>
      </c>
      <c r="J480" s="15" t="s">
        <v>1285</v>
      </c>
      <c r="K480" s="15" t="s">
        <v>1262</v>
      </c>
      <c r="L480" s="32">
        <f>Data!$D480/10^6</f>
        <v>18.18</v>
      </c>
    </row>
    <row r="481" spans="1:12" x14ac:dyDescent="0.25">
      <c r="A481" s="29" t="s">
        <v>68</v>
      </c>
      <c r="B481" s="15" t="s">
        <v>190</v>
      </c>
      <c r="C481" s="15" t="s">
        <v>10</v>
      </c>
      <c r="D481" s="16">
        <v>40090909</v>
      </c>
      <c r="E481" s="17">
        <v>45323</v>
      </c>
      <c r="F481" s="18">
        <f>MONTH(Data!$E481)</f>
        <v>2</v>
      </c>
      <c r="G481" s="16">
        <f>YEAR(Data!$E481)</f>
        <v>2024</v>
      </c>
      <c r="H481" s="15" t="s">
        <v>22</v>
      </c>
      <c r="I481" s="15" t="str">
        <f t="shared" si="7"/>
        <v>Sở ban ngành</v>
      </c>
      <c r="J481" s="15" t="s">
        <v>1284</v>
      </c>
      <c r="K481" s="15" t="s">
        <v>1267</v>
      </c>
      <c r="L481" s="32">
        <f>Data!$D481/10^6</f>
        <v>40.090909000000003</v>
      </c>
    </row>
    <row r="482" spans="1:12" x14ac:dyDescent="0.25">
      <c r="A482" s="29" t="s">
        <v>59</v>
      </c>
      <c r="B482" s="15" t="s">
        <v>183</v>
      </c>
      <c r="C482" s="15" t="s">
        <v>149</v>
      </c>
      <c r="D482" s="16">
        <v>8181818</v>
      </c>
      <c r="E482" s="17">
        <v>45323</v>
      </c>
      <c r="F482" s="18">
        <f>MONTH(Data!$E482)</f>
        <v>2</v>
      </c>
      <c r="G482" s="16">
        <f>YEAR(Data!$E482)</f>
        <v>2024</v>
      </c>
      <c r="H482" s="15" t="s">
        <v>22</v>
      </c>
      <c r="I482" s="15" t="str">
        <f t="shared" si="7"/>
        <v>Sở ban ngành</v>
      </c>
      <c r="J482" s="15" t="s">
        <v>1285</v>
      </c>
      <c r="K482" s="15" t="s">
        <v>1262</v>
      </c>
      <c r="L482" s="32">
        <f>Data!$D482/10^6</f>
        <v>8.1818179999999998</v>
      </c>
    </row>
    <row r="483" spans="1:12" x14ac:dyDescent="0.25">
      <c r="A483" s="29" t="s">
        <v>68</v>
      </c>
      <c r="B483" s="15" t="s">
        <v>177</v>
      </c>
      <c r="C483" s="15" t="s">
        <v>14</v>
      </c>
      <c r="D483" s="16">
        <v>30363636</v>
      </c>
      <c r="E483" s="17">
        <v>45323</v>
      </c>
      <c r="F483" s="18">
        <f>MONTH(Data!$E483)</f>
        <v>2</v>
      </c>
      <c r="G483" s="16">
        <f>YEAR(Data!$E483)</f>
        <v>2024</v>
      </c>
      <c r="H483" s="15" t="s">
        <v>22</v>
      </c>
      <c r="I483" s="15" t="str">
        <f t="shared" si="7"/>
        <v>Sở ban ngành</v>
      </c>
      <c r="J483" s="15" t="s">
        <v>1284</v>
      </c>
      <c r="K483" s="15" t="s">
        <v>1264</v>
      </c>
      <c r="L483" s="32">
        <f>Data!$D483/10^6</f>
        <v>30.363636</v>
      </c>
    </row>
    <row r="484" spans="1:12" x14ac:dyDescent="0.25">
      <c r="A484" s="29" t="s">
        <v>78</v>
      </c>
      <c r="B484" s="15" t="s">
        <v>182</v>
      </c>
      <c r="C484" s="15" t="s">
        <v>10</v>
      </c>
      <c r="D484" s="16">
        <v>18885455</v>
      </c>
      <c r="E484" s="17">
        <v>45323</v>
      </c>
      <c r="F484" s="18">
        <f>MONTH(Data!$E484)</f>
        <v>2</v>
      </c>
      <c r="G484" s="16">
        <f>YEAR(Data!$E484)</f>
        <v>2024</v>
      </c>
      <c r="H484" s="15" t="s">
        <v>15</v>
      </c>
      <c r="I484" s="15" t="str">
        <f t="shared" si="7"/>
        <v>Sở ban ngành</v>
      </c>
      <c r="J484" s="15" t="s">
        <v>1285</v>
      </c>
      <c r="K484" s="15" t="s">
        <v>1263</v>
      </c>
      <c r="L484" s="32">
        <f>Data!$D484/10^6</f>
        <v>18.885455</v>
      </c>
    </row>
    <row r="485" spans="1:12" x14ac:dyDescent="0.25">
      <c r="A485" s="29" t="s">
        <v>74</v>
      </c>
      <c r="B485" s="15" t="s">
        <v>200</v>
      </c>
      <c r="C485" s="15" t="s">
        <v>149</v>
      </c>
      <c r="D485" s="16">
        <v>63920000</v>
      </c>
      <c r="E485" s="17">
        <v>45323</v>
      </c>
      <c r="F485" s="18">
        <f>MONTH(Data!$E485)</f>
        <v>2</v>
      </c>
      <c r="G485" s="16">
        <f>YEAR(Data!$E485)</f>
        <v>2024</v>
      </c>
      <c r="H485" s="15" t="s">
        <v>11</v>
      </c>
      <c r="I485" s="15" t="str">
        <f t="shared" si="7"/>
        <v>Sở ban ngành</v>
      </c>
      <c r="J485" s="15" t="s">
        <v>1284</v>
      </c>
      <c r="K485" s="15" t="s">
        <v>1264</v>
      </c>
      <c r="L485" s="32">
        <f>Data!$D485/10^6</f>
        <v>63.92</v>
      </c>
    </row>
    <row r="486" spans="1:12" x14ac:dyDescent="0.25">
      <c r="A486" s="29" t="s">
        <v>146</v>
      </c>
      <c r="B486" s="15" t="s">
        <v>196</v>
      </c>
      <c r="C486" s="15" t="s">
        <v>10</v>
      </c>
      <c r="D486" s="16">
        <v>36236364</v>
      </c>
      <c r="E486" s="17">
        <v>45323</v>
      </c>
      <c r="F486" s="18">
        <f>MONTH(Data!$E486)</f>
        <v>2</v>
      </c>
      <c r="G486" s="16">
        <f>YEAR(Data!$E486)</f>
        <v>2024</v>
      </c>
      <c r="H486" s="15" t="s">
        <v>32</v>
      </c>
      <c r="I486" s="15" t="str">
        <f t="shared" si="7"/>
        <v>Sở ban ngành</v>
      </c>
      <c r="J486" s="15" t="s">
        <v>1285</v>
      </c>
      <c r="K486" s="15" t="s">
        <v>1263</v>
      </c>
      <c r="L486" s="32">
        <f>Data!$D486/10^6</f>
        <v>36.236364000000002</v>
      </c>
    </row>
    <row r="487" spans="1:12" x14ac:dyDescent="0.25">
      <c r="A487" s="29" t="s">
        <v>127</v>
      </c>
      <c r="B487" s="15" t="s">
        <v>168</v>
      </c>
      <c r="C487" s="15" t="s">
        <v>10</v>
      </c>
      <c r="D487" s="16">
        <v>79090909</v>
      </c>
      <c r="E487" s="17">
        <v>45323</v>
      </c>
      <c r="F487" s="18">
        <f>MONTH(Data!$E487)</f>
        <v>2</v>
      </c>
      <c r="G487" s="16">
        <f>YEAR(Data!$E487)</f>
        <v>2024</v>
      </c>
      <c r="H487" s="15" t="s">
        <v>32</v>
      </c>
      <c r="I487" s="15" t="str">
        <f t="shared" si="7"/>
        <v>Sở ban ngành</v>
      </c>
      <c r="J487" s="15" t="s">
        <v>1284</v>
      </c>
      <c r="K487" s="15" t="s">
        <v>1267</v>
      </c>
      <c r="L487" s="32">
        <f>Data!$D487/10^6</f>
        <v>79.090908999999996</v>
      </c>
    </row>
    <row r="488" spans="1:12" x14ac:dyDescent="0.25">
      <c r="A488" s="29" t="s">
        <v>130</v>
      </c>
      <c r="B488" s="15" t="s">
        <v>167</v>
      </c>
      <c r="C488" s="15" t="s">
        <v>46</v>
      </c>
      <c r="D488" s="16">
        <v>73150000</v>
      </c>
      <c r="E488" s="17">
        <v>45323</v>
      </c>
      <c r="F488" s="18">
        <f>MONTH(Data!$E488)</f>
        <v>2</v>
      </c>
      <c r="G488" s="16">
        <f>YEAR(Data!$E488)</f>
        <v>2024</v>
      </c>
      <c r="H488" s="15" t="s">
        <v>22</v>
      </c>
      <c r="I488" s="15" t="str">
        <f t="shared" si="7"/>
        <v>Sở ban ngành</v>
      </c>
      <c r="J488" s="15" t="s">
        <v>1285</v>
      </c>
      <c r="K488" s="15" t="s">
        <v>1271</v>
      </c>
      <c r="L488" s="32">
        <f>Data!$D488/10^6</f>
        <v>73.150000000000006</v>
      </c>
    </row>
    <row r="489" spans="1:12" x14ac:dyDescent="0.25">
      <c r="A489" s="29" t="s">
        <v>73</v>
      </c>
      <c r="B489" s="15" t="s">
        <v>199</v>
      </c>
      <c r="C489" s="15" t="s">
        <v>149</v>
      </c>
      <c r="D489" s="16">
        <v>144327273</v>
      </c>
      <c r="E489" s="17">
        <v>45323</v>
      </c>
      <c r="F489" s="18">
        <f>MONTH(Data!$E489)</f>
        <v>2</v>
      </c>
      <c r="G489" s="16">
        <f>YEAR(Data!$E489)</f>
        <v>2024</v>
      </c>
      <c r="H489" s="15" t="s">
        <v>32</v>
      </c>
      <c r="I489" s="15" t="str">
        <f t="shared" si="7"/>
        <v>Sở ban ngành</v>
      </c>
      <c r="J489" s="15" t="s">
        <v>1284</v>
      </c>
      <c r="K489" s="15" t="s">
        <v>1263</v>
      </c>
      <c r="L489" s="32">
        <f>Data!$D489/10^6</f>
        <v>144.32727299999999</v>
      </c>
    </row>
    <row r="490" spans="1:12" x14ac:dyDescent="0.25">
      <c r="A490" s="29" t="s">
        <v>23</v>
      </c>
      <c r="B490" s="15" t="s">
        <v>26</v>
      </c>
      <c r="C490" s="15" t="s">
        <v>10</v>
      </c>
      <c r="D490" s="16">
        <v>17350000</v>
      </c>
      <c r="E490" s="17">
        <v>45323</v>
      </c>
      <c r="F490" s="18">
        <f>MONTH(Data!$E490)</f>
        <v>2</v>
      </c>
      <c r="G490" s="16">
        <f>YEAR(Data!$E490)</f>
        <v>2024</v>
      </c>
      <c r="H490" s="15" t="s">
        <v>25</v>
      </c>
      <c r="I490" s="15" t="str">
        <f t="shared" si="7"/>
        <v>Sở ban ngành</v>
      </c>
      <c r="J490" s="15" t="s">
        <v>1285</v>
      </c>
      <c r="K490" s="15" t="s">
        <v>1263</v>
      </c>
      <c r="L490" s="32">
        <f>Data!$D490/10^6</f>
        <v>17.350000000000001</v>
      </c>
    </row>
    <row r="491" spans="1:12" x14ac:dyDescent="0.25">
      <c r="A491" s="29" t="s">
        <v>30</v>
      </c>
      <c r="B491" s="15" t="s">
        <v>178</v>
      </c>
      <c r="C491" s="15" t="s">
        <v>10</v>
      </c>
      <c r="D491" s="16">
        <v>153554545</v>
      </c>
      <c r="E491" s="17">
        <v>45323</v>
      </c>
      <c r="F491" s="18">
        <f>MONTH(Data!$E491)</f>
        <v>2</v>
      </c>
      <c r="G491" s="16">
        <f>YEAR(Data!$E491)</f>
        <v>2024</v>
      </c>
      <c r="H491" s="15" t="s">
        <v>32</v>
      </c>
      <c r="I491" s="15" t="str">
        <f t="shared" si="7"/>
        <v>Sở ban ngành</v>
      </c>
      <c r="J491" s="15" t="s">
        <v>1284</v>
      </c>
      <c r="K491" s="15" t="s">
        <v>1263</v>
      </c>
      <c r="L491" s="32">
        <f>Data!$D491/10^6</f>
        <v>153.55454499999999</v>
      </c>
    </row>
    <row r="492" spans="1:12" x14ac:dyDescent="0.25">
      <c r="A492" s="29" t="s">
        <v>127</v>
      </c>
      <c r="B492" s="15" t="s">
        <v>169</v>
      </c>
      <c r="C492" s="15" t="s">
        <v>10</v>
      </c>
      <c r="D492" s="16">
        <v>79090909</v>
      </c>
      <c r="E492" s="17">
        <v>45323</v>
      </c>
      <c r="F492" s="18">
        <f>MONTH(Data!$E492)</f>
        <v>2</v>
      </c>
      <c r="G492" s="16">
        <f>YEAR(Data!$E492)</f>
        <v>2024</v>
      </c>
      <c r="H492" s="15" t="s">
        <v>32</v>
      </c>
      <c r="I492" s="15" t="str">
        <f t="shared" si="7"/>
        <v>Sở ban ngành</v>
      </c>
      <c r="J492" s="15" t="s">
        <v>1285</v>
      </c>
      <c r="K492" s="15" t="s">
        <v>1267</v>
      </c>
      <c r="L492" s="32">
        <f>Data!$D492/10^6</f>
        <v>79.090908999999996</v>
      </c>
    </row>
    <row r="493" spans="1:12" x14ac:dyDescent="0.25">
      <c r="A493" s="29" t="s">
        <v>109</v>
      </c>
      <c r="B493" s="15" t="s">
        <v>172</v>
      </c>
      <c r="C493" s="15" t="s">
        <v>10</v>
      </c>
      <c r="D493" s="16">
        <v>30909091</v>
      </c>
      <c r="E493" s="17">
        <v>45323</v>
      </c>
      <c r="F493" s="18">
        <f>MONTH(Data!$E493)</f>
        <v>2</v>
      </c>
      <c r="G493" s="16">
        <f>YEAR(Data!$E493)</f>
        <v>2024</v>
      </c>
      <c r="H493" s="15" t="s">
        <v>22</v>
      </c>
      <c r="I493" s="15" t="str">
        <f t="shared" si="7"/>
        <v>Sở ban ngành</v>
      </c>
      <c r="J493" s="15" t="s">
        <v>1284</v>
      </c>
      <c r="K493" s="15" t="s">
        <v>1263</v>
      </c>
      <c r="L493" s="32">
        <f>Data!$D493/10^6</f>
        <v>30.909091</v>
      </c>
    </row>
    <row r="494" spans="1:12" x14ac:dyDescent="0.25">
      <c r="A494" s="29" t="s">
        <v>23</v>
      </c>
      <c r="B494" s="15" t="s">
        <v>197</v>
      </c>
      <c r="C494" s="15" t="s">
        <v>10</v>
      </c>
      <c r="D494" s="16">
        <v>5550000</v>
      </c>
      <c r="E494" s="17">
        <v>45323</v>
      </c>
      <c r="F494" s="18">
        <f>MONTH(Data!$E494)</f>
        <v>2</v>
      </c>
      <c r="G494" s="16">
        <f>YEAR(Data!$E494)</f>
        <v>2024</v>
      </c>
      <c r="H494" s="15" t="s">
        <v>25</v>
      </c>
      <c r="I494" s="15" t="str">
        <f t="shared" si="7"/>
        <v>Sở ban ngành</v>
      </c>
      <c r="J494" s="15" t="s">
        <v>1285</v>
      </c>
      <c r="K494" s="15" t="s">
        <v>1262</v>
      </c>
      <c r="L494" s="32">
        <f>Data!$D494/10^6</f>
        <v>5.55</v>
      </c>
    </row>
    <row r="495" spans="1:12" x14ac:dyDescent="0.25">
      <c r="A495" s="29" t="s">
        <v>127</v>
      </c>
      <c r="B495" s="15" t="s">
        <v>171</v>
      </c>
      <c r="C495" s="15" t="s">
        <v>10</v>
      </c>
      <c r="D495" s="16">
        <v>79090909</v>
      </c>
      <c r="E495" s="17">
        <v>45323</v>
      </c>
      <c r="F495" s="18">
        <f>MONTH(Data!$E495)</f>
        <v>2</v>
      </c>
      <c r="G495" s="16">
        <f>YEAR(Data!$E495)</f>
        <v>2024</v>
      </c>
      <c r="H495" s="15" t="s">
        <v>32</v>
      </c>
      <c r="I495" s="15" t="str">
        <f t="shared" si="7"/>
        <v>Sở ban ngành</v>
      </c>
      <c r="J495" s="15" t="s">
        <v>1284</v>
      </c>
      <c r="K495" s="15" t="s">
        <v>1267</v>
      </c>
      <c r="L495" s="32">
        <f>Data!$D495/10^6</f>
        <v>79.090908999999996</v>
      </c>
    </row>
    <row r="496" spans="1:12" x14ac:dyDescent="0.25">
      <c r="A496" s="29" t="s">
        <v>127</v>
      </c>
      <c r="B496" s="15" t="s">
        <v>170</v>
      </c>
      <c r="C496" s="15" t="s">
        <v>10</v>
      </c>
      <c r="D496" s="16">
        <v>79090909</v>
      </c>
      <c r="E496" s="17">
        <v>45323</v>
      </c>
      <c r="F496" s="18">
        <f>MONTH(Data!$E496)</f>
        <v>2</v>
      </c>
      <c r="G496" s="16">
        <f>YEAR(Data!$E496)</f>
        <v>2024</v>
      </c>
      <c r="H496" s="15" t="s">
        <v>32</v>
      </c>
      <c r="I496" s="15" t="str">
        <f t="shared" si="7"/>
        <v>Sở ban ngành</v>
      </c>
      <c r="J496" s="15" t="s">
        <v>1285</v>
      </c>
      <c r="K496" s="15" t="s">
        <v>1267</v>
      </c>
      <c r="L496" s="32">
        <f>Data!$D496/10^6</f>
        <v>79.090908999999996</v>
      </c>
    </row>
    <row r="497" spans="1:12" x14ac:dyDescent="0.25">
      <c r="A497" s="29" t="s">
        <v>45</v>
      </c>
      <c r="B497" s="15" t="s">
        <v>186</v>
      </c>
      <c r="C497" s="15" t="s">
        <v>149</v>
      </c>
      <c r="D497" s="16">
        <v>9318182</v>
      </c>
      <c r="E497" s="17">
        <v>45323</v>
      </c>
      <c r="F497" s="18">
        <f>MONTH(Data!$E497)</f>
        <v>2</v>
      </c>
      <c r="G497" s="16">
        <f>YEAR(Data!$E497)</f>
        <v>2024</v>
      </c>
      <c r="H497" s="15" t="s">
        <v>29</v>
      </c>
      <c r="I497" s="15" t="str">
        <f t="shared" si="7"/>
        <v>Sở ban ngành</v>
      </c>
      <c r="J497" s="15" t="s">
        <v>1284</v>
      </c>
      <c r="K497" s="15" t="s">
        <v>1263</v>
      </c>
      <c r="L497" s="32">
        <f>Data!$D497/10^6</f>
        <v>9.3181820000000002</v>
      </c>
    </row>
    <row r="498" spans="1:12" x14ac:dyDescent="0.25">
      <c r="A498" s="29" t="s">
        <v>74</v>
      </c>
      <c r="B498" s="15" t="s">
        <v>198</v>
      </c>
      <c r="C498" s="15" t="s">
        <v>149</v>
      </c>
      <c r="D498" s="16">
        <v>76941709</v>
      </c>
      <c r="E498" s="17">
        <v>45323</v>
      </c>
      <c r="F498" s="18">
        <f>MONTH(Data!$E498)</f>
        <v>2</v>
      </c>
      <c r="G498" s="16">
        <f>YEAR(Data!$E498)</f>
        <v>2024</v>
      </c>
      <c r="H498" s="15" t="s">
        <v>11</v>
      </c>
      <c r="I498" s="15" t="str">
        <f t="shared" si="7"/>
        <v>Sở ban ngành</v>
      </c>
      <c r="J498" s="15" t="s">
        <v>1285</v>
      </c>
      <c r="K498" s="15" t="s">
        <v>1263</v>
      </c>
      <c r="L498" s="32">
        <f>Data!$D498/10^6</f>
        <v>76.941709000000003</v>
      </c>
    </row>
    <row r="499" spans="1:12" x14ac:dyDescent="0.25">
      <c r="A499" s="29" t="s">
        <v>8</v>
      </c>
      <c r="B499" s="15" t="s">
        <v>9</v>
      </c>
      <c r="C499" s="15" t="s">
        <v>10</v>
      </c>
      <c r="D499" s="16">
        <v>42726818</v>
      </c>
      <c r="E499" s="17">
        <v>45323</v>
      </c>
      <c r="F499" s="18">
        <f>MONTH(Data!$E499)</f>
        <v>2</v>
      </c>
      <c r="G499" s="16">
        <f>YEAR(Data!$E499)</f>
        <v>2024</v>
      </c>
      <c r="H499" s="15" t="s">
        <v>11</v>
      </c>
      <c r="I499" s="15" t="str">
        <f t="shared" si="7"/>
        <v>Sở ban ngành</v>
      </c>
      <c r="J499" s="15" t="s">
        <v>1284</v>
      </c>
      <c r="K499" s="15" t="s">
        <v>1263</v>
      </c>
      <c r="L499" s="32">
        <f>Data!$D499/10^6</f>
        <v>42.726818000000002</v>
      </c>
    </row>
    <row r="500" spans="1:12" x14ac:dyDescent="0.25">
      <c r="A500" s="29" t="s">
        <v>95</v>
      </c>
      <c r="B500" s="15" t="s">
        <v>201</v>
      </c>
      <c r="C500" s="15" t="s">
        <v>10</v>
      </c>
      <c r="D500" s="16">
        <v>63861818</v>
      </c>
      <c r="E500" s="17">
        <v>45323</v>
      </c>
      <c r="F500" s="18">
        <f>MONTH(Data!$E500)</f>
        <v>2</v>
      </c>
      <c r="G500" s="16">
        <f>YEAR(Data!$E500)</f>
        <v>2024</v>
      </c>
      <c r="H500" s="15" t="s">
        <v>35</v>
      </c>
      <c r="I500" s="15" t="str">
        <f t="shared" si="7"/>
        <v>Sở ban ngành</v>
      </c>
      <c r="J500" s="15" t="s">
        <v>1285</v>
      </c>
      <c r="K500" s="15" t="s">
        <v>1276</v>
      </c>
      <c r="L500" s="32">
        <f>Data!$D500/10^6</f>
        <v>63.861818</v>
      </c>
    </row>
    <row r="501" spans="1:12" x14ac:dyDescent="0.25">
      <c r="A501" s="29" t="s">
        <v>8</v>
      </c>
      <c r="B501" s="15" t="s">
        <v>184</v>
      </c>
      <c r="C501" s="15" t="s">
        <v>46</v>
      </c>
      <c r="D501" s="16">
        <v>15454545</v>
      </c>
      <c r="E501" s="17">
        <v>45323</v>
      </c>
      <c r="F501" s="18">
        <f>MONTH(Data!$E501)</f>
        <v>2</v>
      </c>
      <c r="G501" s="16">
        <f>YEAR(Data!$E501)</f>
        <v>2024</v>
      </c>
      <c r="H501" s="15" t="s">
        <v>11</v>
      </c>
      <c r="I501" s="15" t="str">
        <f t="shared" si="7"/>
        <v>Sở ban ngành</v>
      </c>
      <c r="J501" s="15" t="s">
        <v>1284</v>
      </c>
      <c r="K501" s="15" t="s">
        <v>1271</v>
      </c>
      <c r="L501" s="32">
        <f>Data!$D501/10^6</f>
        <v>15.454545</v>
      </c>
    </row>
    <row r="502" spans="1:12" x14ac:dyDescent="0.25">
      <c r="A502" s="29" t="s">
        <v>27</v>
      </c>
      <c r="B502" s="15" t="s">
        <v>189</v>
      </c>
      <c r="C502" s="15" t="s">
        <v>10</v>
      </c>
      <c r="D502" s="16">
        <v>7727273</v>
      </c>
      <c r="E502" s="17">
        <v>45323</v>
      </c>
      <c r="F502" s="18">
        <f>MONTH(Data!$E502)</f>
        <v>2</v>
      </c>
      <c r="G502" s="16">
        <f>YEAR(Data!$E502)</f>
        <v>2024</v>
      </c>
      <c r="H502" s="15" t="s">
        <v>11</v>
      </c>
      <c r="I502" s="15" t="str">
        <f t="shared" si="7"/>
        <v>Sở ban ngành</v>
      </c>
      <c r="J502" s="15" t="s">
        <v>1285</v>
      </c>
      <c r="K502" s="15" t="s">
        <v>1272</v>
      </c>
      <c r="L502" s="32">
        <f>Data!$D502/10^6</f>
        <v>7.7272730000000003</v>
      </c>
    </row>
    <row r="503" spans="1:12" x14ac:dyDescent="0.25">
      <c r="A503" s="29" t="s">
        <v>146</v>
      </c>
      <c r="B503" s="15" t="s">
        <v>1255</v>
      </c>
      <c r="C503" s="15" t="s">
        <v>10</v>
      </c>
      <c r="D503" s="16">
        <v>300032727</v>
      </c>
      <c r="E503" s="17">
        <v>45323</v>
      </c>
      <c r="F503" s="18">
        <f>MONTH(Data!$E503)</f>
        <v>2</v>
      </c>
      <c r="G503" s="16">
        <f>YEAR(Data!$E503)</f>
        <v>2024</v>
      </c>
      <c r="H503" s="15" t="s">
        <v>32</v>
      </c>
      <c r="I503" s="15" t="str">
        <f t="shared" si="7"/>
        <v>Sở ban ngành</v>
      </c>
      <c r="J503" s="15" t="s">
        <v>1284</v>
      </c>
      <c r="K503" s="15" t="s">
        <v>1263</v>
      </c>
      <c r="L503" s="32">
        <f>Data!$D503/10^6</f>
        <v>300.03272700000002</v>
      </c>
    </row>
    <row r="504" spans="1:12" x14ac:dyDescent="0.25">
      <c r="A504" s="29" t="s">
        <v>74</v>
      </c>
      <c r="B504" s="15" t="s">
        <v>193</v>
      </c>
      <c r="C504" s="15" t="s">
        <v>10</v>
      </c>
      <c r="D504" s="16">
        <v>23859182</v>
      </c>
      <c r="E504" s="17">
        <v>45323</v>
      </c>
      <c r="F504" s="18">
        <f>MONTH(Data!$E504)</f>
        <v>2</v>
      </c>
      <c r="G504" s="16">
        <f>YEAR(Data!$E504)</f>
        <v>2024</v>
      </c>
      <c r="H504" s="15" t="s">
        <v>11</v>
      </c>
      <c r="I504" s="15" t="str">
        <f t="shared" si="7"/>
        <v>Sở ban ngành</v>
      </c>
      <c r="J504" s="15" t="s">
        <v>1285</v>
      </c>
      <c r="K504" s="15" t="s">
        <v>1263</v>
      </c>
      <c r="L504" s="32">
        <f>Data!$D504/10^6</f>
        <v>23.859182000000001</v>
      </c>
    </row>
    <row r="505" spans="1:12" x14ac:dyDescent="0.25">
      <c r="A505" s="29" t="s">
        <v>128</v>
      </c>
      <c r="B505" s="15" t="s">
        <v>173</v>
      </c>
      <c r="C505" s="15" t="s">
        <v>46</v>
      </c>
      <c r="D505" s="16">
        <v>701762487</v>
      </c>
      <c r="E505" s="17">
        <v>45323</v>
      </c>
      <c r="F505" s="18">
        <f>MONTH(Data!$E505)</f>
        <v>2</v>
      </c>
      <c r="G505" s="16">
        <f>YEAR(Data!$E505)</f>
        <v>2024</v>
      </c>
      <c r="H505" s="15" t="s">
        <v>42</v>
      </c>
      <c r="I505" s="15" t="str">
        <f t="shared" si="7"/>
        <v>Sở ban ngành</v>
      </c>
      <c r="J505" s="15" t="s">
        <v>1284</v>
      </c>
      <c r="K505" s="15" t="s">
        <v>1271</v>
      </c>
      <c r="L505" s="32">
        <f>Data!$D505/10^6</f>
        <v>701.76248699999996</v>
      </c>
    </row>
    <row r="506" spans="1:12" x14ac:dyDescent="0.25">
      <c r="A506" s="29" t="s">
        <v>30</v>
      </c>
      <c r="B506" s="15" t="s">
        <v>180</v>
      </c>
      <c r="C506" s="15" t="s">
        <v>14</v>
      </c>
      <c r="D506" s="16">
        <v>348054545</v>
      </c>
      <c r="E506" s="17">
        <v>45323</v>
      </c>
      <c r="F506" s="18">
        <f>MONTH(Data!$E506)</f>
        <v>2</v>
      </c>
      <c r="G506" s="16">
        <f>YEAR(Data!$E506)</f>
        <v>2024</v>
      </c>
      <c r="H506" s="15" t="s">
        <v>32</v>
      </c>
      <c r="I506" s="15" t="str">
        <f t="shared" si="7"/>
        <v>Sở ban ngành</v>
      </c>
      <c r="J506" s="15" t="s">
        <v>1285</v>
      </c>
      <c r="K506" s="15" t="s">
        <v>1264</v>
      </c>
      <c r="L506" s="32">
        <f>Data!$D506/10^6</f>
        <v>348.05454500000002</v>
      </c>
    </row>
    <row r="507" spans="1:12" x14ac:dyDescent="0.25">
      <c r="A507" s="29" t="s">
        <v>127</v>
      </c>
      <c r="B507" s="15" t="s">
        <v>179</v>
      </c>
      <c r="C507" s="15" t="s">
        <v>149</v>
      </c>
      <c r="D507" s="16">
        <v>27500000</v>
      </c>
      <c r="E507" s="17">
        <v>45323</v>
      </c>
      <c r="F507" s="18">
        <f>MONTH(Data!$E507)</f>
        <v>2</v>
      </c>
      <c r="G507" s="16">
        <f>YEAR(Data!$E507)</f>
        <v>2024</v>
      </c>
      <c r="H507" s="15" t="s">
        <v>32</v>
      </c>
      <c r="I507" s="15" t="str">
        <f t="shared" si="7"/>
        <v>Trường học</v>
      </c>
      <c r="J507" s="15" t="s">
        <v>1284</v>
      </c>
      <c r="K507" s="15" t="s">
        <v>1264</v>
      </c>
      <c r="L507" s="32">
        <f>Data!$D507/10^6</f>
        <v>27.5</v>
      </c>
    </row>
    <row r="508" spans="1:12" x14ac:dyDescent="0.25">
      <c r="A508" s="29" t="s">
        <v>36</v>
      </c>
      <c r="B508" s="15" t="s">
        <v>174</v>
      </c>
      <c r="C508" s="15" t="s">
        <v>149</v>
      </c>
      <c r="D508" s="16">
        <v>29772727</v>
      </c>
      <c r="E508" s="17">
        <v>45323</v>
      </c>
      <c r="F508" s="18">
        <f>MONTH(Data!$E508)</f>
        <v>2</v>
      </c>
      <c r="G508" s="16">
        <f>YEAR(Data!$E508)</f>
        <v>2024</v>
      </c>
      <c r="H508" s="15" t="s">
        <v>15</v>
      </c>
      <c r="I508" s="15" t="str">
        <f t="shared" si="7"/>
        <v>Trường học</v>
      </c>
      <c r="J508" s="15" t="s">
        <v>1285</v>
      </c>
      <c r="K508" s="15" t="s">
        <v>1277</v>
      </c>
      <c r="L508" s="32">
        <f>Data!$D508/10^6</f>
        <v>29.772727</v>
      </c>
    </row>
    <row r="509" spans="1:12" x14ac:dyDescent="0.25">
      <c r="A509" s="29" t="s">
        <v>30</v>
      </c>
      <c r="B509" s="15" t="s">
        <v>31</v>
      </c>
      <c r="C509" s="15" t="s">
        <v>10</v>
      </c>
      <c r="D509" s="16">
        <v>8231818</v>
      </c>
      <c r="E509" s="17">
        <v>45323</v>
      </c>
      <c r="F509" s="18">
        <f>MONTH(Data!$E509)</f>
        <v>2</v>
      </c>
      <c r="G509" s="16">
        <f>YEAR(Data!$E509)</f>
        <v>2024</v>
      </c>
      <c r="H509" s="15" t="s">
        <v>32</v>
      </c>
      <c r="I509" s="15" t="str">
        <f t="shared" si="7"/>
        <v>Trường học</v>
      </c>
      <c r="J509" s="15" t="s">
        <v>1284</v>
      </c>
      <c r="K509" s="15" t="s">
        <v>1262</v>
      </c>
      <c r="L509" s="32">
        <f>Data!$D509/10^6</f>
        <v>8.2318180000000005</v>
      </c>
    </row>
    <row r="510" spans="1:12" x14ac:dyDescent="0.25">
      <c r="A510" s="29" t="s">
        <v>47</v>
      </c>
      <c r="B510" s="15" t="s">
        <v>194</v>
      </c>
      <c r="C510" s="15" t="s">
        <v>10</v>
      </c>
      <c r="D510" s="16">
        <v>16426000</v>
      </c>
      <c r="E510" s="17">
        <v>45323</v>
      </c>
      <c r="F510" s="18">
        <f>MONTH(Data!$E510)</f>
        <v>2</v>
      </c>
      <c r="G510" s="16">
        <f>YEAR(Data!$E510)</f>
        <v>2024</v>
      </c>
      <c r="H510" s="15" t="s">
        <v>29</v>
      </c>
      <c r="I510" s="15" t="str">
        <f t="shared" si="7"/>
        <v>Trường học</v>
      </c>
      <c r="J510" s="15" t="s">
        <v>1285</v>
      </c>
      <c r="K510" s="15" t="s">
        <v>1263</v>
      </c>
      <c r="L510" s="32">
        <f>Data!$D510/10^6</f>
        <v>16.425999999999998</v>
      </c>
    </row>
    <row r="511" spans="1:12" x14ac:dyDescent="0.25">
      <c r="A511" s="29" t="s">
        <v>17</v>
      </c>
      <c r="B511" s="15" t="s">
        <v>18</v>
      </c>
      <c r="C511" s="15" t="s">
        <v>10</v>
      </c>
      <c r="D511" s="16">
        <v>25585000</v>
      </c>
      <c r="E511" s="17">
        <v>45323</v>
      </c>
      <c r="F511" s="18">
        <f>MONTH(Data!$E511)</f>
        <v>2</v>
      </c>
      <c r="G511" s="16">
        <f>YEAR(Data!$E511)</f>
        <v>2024</v>
      </c>
      <c r="H511" s="15" t="s">
        <v>11</v>
      </c>
      <c r="I511" s="15" t="str">
        <f t="shared" si="7"/>
        <v>Trường học</v>
      </c>
      <c r="J511" s="15" t="s">
        <v>1284</v>
      </c>
      <c r="K511" s="15" t="s">
        <v>1262</v>
      </c>
      <c r="L511" s="32">
        <f>Data!$D511/10^6</f>
        <v>25.585000000000001</v>
      </c>
    </row>
    <row r="512" spans="1:12" x14ac:dyDescent="0.25">
      <c r="A512" s="29" t="s">
        <v>23</v>
      </c>
      <c r="B512" s="15" t="s">
        <v>24</v>
      </c>
      <c r="C512" s="15" t="s">
        <v>10</v>
      </c>
      <c r="D512" s="16">
        <v>15032727</v>
      </c>
      <c r="E512" s="17">
        <v>45323</v>
      </c>
      <c r="F512" s="18">
        <f>MONTH(Data!$E512)</f>
        <v>2</v>
      </c>
      <c r="G512" s="16">
        <f>YEAR(Data!$E512)</f>
        <v>2024</v>
      </c>
      <c r="H512" s="15" t="s">
        <v>25</v>
      </c>
      <c r="I512" s="15" t="str">
        <f t="shared" si="7"/>
        <v>Trường học</v>
      </c>
      <c r="J512" s="15" t="s">
        <v>1285</v>
      </c>
      <c r="K512" s="15" t="s">
        <v>1263</v>
      </c>
      <c r="L512" s="32">
        <f>Data!$D512/10^6</f>
        <v>15.032727</v>
      </c>
    </row>
    <row r="513" spans="1:12" x14ac:dyDescent="0.25">
      <c r="A513" s="29" t="s">
        <v>43</v>
      </c>
      <c r="B513" s="15" t="s">
        <v>203</v>
      </c>
      <c r="C513" s="15" t="s">
        <v>149</v>
      </c>
      <c r="D513" s="16">
        <v>19200000</v>
      </c>
      <c r="E513" s="17">
        <v>45323</v>
      </c>
      <c r="F513" s="18">
        <f>MONTH(Data!$E513)</f>
        <v>2</v>
      </c>
      <c r="G513" s="16">
        <f>YEAR(Data!$E513)</f>
        <v>2024</v>
      </c>
      <c r="H513" s="15" t="s">
        <v>35</v>
      </c>
      <c r="I513" s="15" t="str">
        <f t="shared" si="7"/>
        <v>Trường học</v>
      </c>
      <c r="J513" s="15" t="s">
        <v>1284</v>
      </c>
      <c r="K513" s="15" t="s">
        <v>1262</v>
      </c>
      <c r="L513" s="32">
        <f>Data!$D513/10^6</f>
        <v>19.2</v>
      </c>
    </row>
    <row r="514" spans="1:12" x14ac:dyDescent="0.25">
      <c r="A514" s="29" t="s">
        <v>92</v>
      </c>
      <c r="B514" s="15" t="s">
        <v>187</v>
      </c>
      <c r="C514" s="15" t="s">
        <v>10</v>
      </c>
      <c r="D514" s="16">
        <v>68707545</v>
      </c>
      <c r="E514" s="17">
        <v>45323</v>
      </c>
      <c r="F514" s="18">
        <f>MONTH(Data!$E514)</f>
        <v>2</v>
      </c>
      <c r="G514" s="16">
        <f>YEAR(Data!$E514)</f>
        <v>2024</v>
      </c>
      <c r="H514" s="15" t="s">
        <v>29</v>
      </c>
      <c r="I514" s="15" t="str">
        <f t="shared" si="7"/>
        <v>Trường học</v>
      </c>
      <c r="J514" s="15" t="s">
        <v>1285</v>
      </c>
      <c r="K514" s="15" t="s">
        <v>1263</v>
      </c>
      <c r="L514" s="32">
        <f>Data!$D514/10^6</f>
        <v>68.707544999999996</v>
      </c>
    </row>
    <row r="515" spans="1:12" x14ac:dyDescent="0.25">
      <c r="A515" s="29" t="s">
        <v>50</v>
      </c>
      <c r="B515" s="15" t="s">
        <v>181</v>
      </c>
      <c r="C515" s="15" t="s">
        <v>10</v>
      </c>
      <c r="D515" s="16">
        <v>417315455</v>
      </c>
      <c r="E515" s="17">
        <v>45323</v>
      </c>
      <c r="F515" s="18">
        <f>MONTH(Data!$E515)</f>
        <v>2</v>
      </c>
      <c r="G515" s="16">
        <f>YEAR(Data!$E515)</f>
        <v>2024</v>
      </c>
      <c r="H515" s="15" t="s">
        <v>35</v>
      </c>
      <c r="I515" s="15" t="str">
        <f t="shared" ref="I515:I578" si="8">IF(ISNUMBER(SEARCH("Công ty",$B515)),"Doanh nghiệp",IF(ISNUMBER(SEARCH("Doanh nghiệp",$B515)),"Doanh nghiệp",IF(ISNUMBER(SEARCH("Tập đoàn",$B515)),"Doanh nghiệp",
IF(ISNUMBER(SEARCH("Bệnh viện",$B515)),"Bệnh viện",
IF(ISNUMBER(SEARCH("Ngân hàng",$B515)),"Ngân hàng",IF(ISNUMBER(SEARCH("trường",$B515)),"Trường học",IF(ISNUMBER(SEARCH("học viện",$B515)),"Trường học",
IF(ISNUMBER(SEARCH("Bộ",$B515)),"Sở ban ngành",IF(ISNUMBER(SEARCH("Đoàn",$B515)),"Sở ban ngành",IF(ISNUMBER(SEARCH("Phòng",$B515)),"Sở ban ngành",IF(ISNUMBER(SEARCH("UBND",$B515)),"Sở ban ngành",IF(ISNUMBER(SEARCH("ủy ban",$B515)),"Sở ban ngành",IF(ISNUMBER(SEARCH("công an",$B515)),"Sở ban ngành",IF(ISNUMBER(SEARCH("sở",$B515)),"Sở ban ngành",IF(ISNUMBER(SEARCH("thôn",$B515)),"Sở ban ngành",IF(ISNUMBER(SEARCH("xã",$B515)),"Sở ban ngành",IF(ISNUMBER(SEARCH("quân khu",$B515)),"Sở ban ngành",IF(ISNUMBER(SEARCH("cục",$B515)),"Sở ban ngành",IF(ISNUMBER(SEARCH("viện",$B515)),"Sở ban ngành",IF(ISNUMBER(SEARCH("quỹ",$B515)),"Sở ban ngành",IF(ISNUMBER(SEARCH("trung tâm",$B515)),"Sở ban ngành",IF(ISNUMBER(SEARCH("quân chủng",$B515)),"Sở ban ngành",IF(ISNUMBER(SEARCH("hội",$B515)),"Sở ban ngành",
"Khác")))))))))))))))))))))))</f>
        <v>Trường học</v>
      </c>
      <c r="J515" s="15" t="s">
        <v>1284</v>
      </c>
      <c r="K515" s="15" t="s">
        <v>1267</v>
      </c>
      <c r="L515" s="32">
        <f>Data!$D515/10^6</f>
        <v>417.31545499999999</v>
      </c>
    </row>
    <row r="516" spans="1:12" x14ac:dyDescent="0.25">
      <c r="A516" s="29" t="s">
        <v>17</v>
      </c>
      <c r="B516" s="15" t="s">
        <v>20</v>
      </c>
      <c r="C516" s="15" t="s">
        <v>10</v>
      </c>
      <c r="D516" s="16">
        <v>39410000</v>
      </c>
      <c r="E516" s="17">
        <v>45323</v>
      </c>
      <c r="F516" s="18">
        <f>MONTH(Data!$E516)</f>
        <v>2</v>
      </c>
      <c r="G516" s="16">
        <f>YEAR(Data!$E516)</f>
        <v>2024</v>
      </c>
      <c r="H516" s="15" t="s">
        <v>11</v>
      </c>
      <c r="I516" s="15" t="str">
        <f t="shared" si="8"/>
        <v>Trường học</v>
      </c>
      <c r="J516" s="15" t="s">
        <v>1285</v>
      </c>
      <c r="K516" s="15" t="s">
        <v>1262</v>
      </c>
      <c r="L516" s="32">
        <f>Data!$D516/10^6</f>
        <v>39.409999999999997</v>
      </c>
    </row>
    <row r="517" spans="1:12" x14ac:dyDescent="0.25">
      <c r="A517" s="29" t="s">
        <v>74</v>
      </c>
      <c r="B517" s="15" t="s">
        <v>192</v>
      </c>
      <c r="C517" s="15" t="s">
        <v>14</v>
      </c>
      <c r="D517" s="16">
        <v>45450000</v>
      </c>
      <c r="E517" s="17">
        <v>45323</v>
      </c>
      <c r="F517" s="18">
        <f>MONTH(Data!$E517)</f>
        <v>2</v>
      </c>
      <c r="G517" s="16">
        <f>YEAR(Data!$E517)</f>
        <v>2024</v>
      </c>
      <c r="H517" s="15" t="s">
        <v>11</v>
      </c>
      <c r="I517" s="15" t="str">
        <f t="shared" si="8"/>
        <v>Trường học</v>
      </c>
      <c r="J517" s="15" t="s">
        <v>1284</v>
      </c>
      <c r="K517" s="15" t="s">
        <v>1275</v>
      </c>
      <c r="L517" s="32">
        <f>Data!$D517/10^6</f>
        <v>45.45</v>
      </c>
    </row>
    <row r="518" spans="1:12" x14ac:dyDescent="0.25">
      <c r="A518" s="29" t="s">
        <v>36</v>
      </c>
      <c r="B518" s="15" t="s">
        <v>195</v>
      </c>
      <c r="C518" s="15" t="s">
        <v>10</v>
      </c>
      <c r="D518" s="16">
        <v>24050000</v>
      </c>
      <c r="E518" s="17">
        <v>45323</v>
      </c>
      <c r="F518" s="18">
        <f>MONTH(Data!$E518)</f>
        <v>2</v>
      </c>
      <c r="G518" s="16">
        <f>YEAR(Data!$E518)</f>
        <v>2024</v>
      </c>
      <c r="H518" s="15" t="s">
        <v>15</v>
      </c>
      <c r="I518" s="15" t="str">
        <f t="shared" si="8"/>
        <v>Trường học</v>
      </c>
      <c r="J518" s="15" t="s">
        <v>1285</v>
      </c>
      <c r="K518" s="15" t="s">
        <v>1262</v>
      </c>
      <c r="L518" s="32">
        <f>Data!$D518/10^6</f>
        <v>24.05</v>
      </c>
    </row>
    <row r="519" spans="1:12" x14ac:dyDescent="0.25">
      <c r="A519" s="30" t="s">
        <v>8</v>
      </c>
      <c r="B519" s="19" t="s">
        <v>836</v>
      </c>
      <c r="C519" s="19" t="s">
        <v>10</v>
      </c>
      <c r="D519" s="20">
        <v>45342909</v>
      </c>
      <c r="E519" s="21">
        <v>45689</v>
      </c>
      <c r="F519" s="18">
        <f>MONTH(Data!$E519)</f>
        <v>2</v>
      </c>
      <c r="G519" s="16">
        <f>YEAR(Data!$E519)</f>
        <v>2025</v>
      </c>
      <c r="H519" s="19" t="s">
        <v>11</v>
      </c>
      <c r="I519" s="15" t="str">
        <f t="shared" si="8"/>
        <v>Bệnh viện</v>
      </c>
      <c r="J519" s="15" t="s">
        <v>1284</v>
      </c>
      <c r="K519" s="19" t="s">
        <v>1263</v>
      </c>
      <c r="L519" s="32">
        <f>Data!$D519/10^6</f>
        <v>45.342908999999999</v>
      </c>
    </row>
    <row r="520" spans="1:12" x14ac:dyDescent="0.25">
      <c r="A520" s="30" t="s">
        <v>218</v>
      </c>
      <c r="B520" s="19" t="s">
        <v>830</v>
      </c>
      <c r="C520" s="19" t="s">
        <v>149</v>
      </c>
      <c r="D520" s="20">
        <v>796363636</v>
      </c>
      <c r="E520" s="21">
        <v>45689</v>
      </c>
      <c r="F520" s="18">
        <f>MONTH(Data!$E520)</f>
        <v>2</v>
      </c>
      <c r="G520" s="16">
        <f>YEAR(Data!$E520)</f>
        <v>2025</v>
      </c>
      <c r="H520" s="19" t="s">
        <v>15</v>
      </c>
      <c r="I520" s="15" t="str">
        <f t="shared" si="8"/>
        <v>Bệnh viện</v>
      </c>
      <c r="J520" s="15" t="s">
        <v>1285</v>
      </c>
      <c r="K520" s="19" t="s">
        <v>1262</v>
      </c>
      <c r="L520" s="32">
        <f>Data!$D520/10^6</f>
        <v>796.36363600000004</v>
      </c>
    </row>
    <row r="521" spans="1:12" x14ac:dyDescent="0.25">
      <c r="A521" s="30" t="s">
        <v>33</v>
      </c>
      <c r="B521" s="15" t="s">
        <v>1027</v>
      </c>
      <c r="C521" s="19" t="s">
        <v>14</v>
      </c>
      <c r="D521" s="20">
        <v>6760000000</v>
      </c>
      <c r="E521" s="21">
        <v>45689</v>
      </c>
      <c r="F521" s="18">
        <f>MONTH(Data!$E521)</f>
        <v>2</v>
      </c>
      <c r="G521" s="16">
        <f>YEAR(Data!$E521)</f>
        <v>2025</v>
      </c>
      <c r="H521" s="19" t="s">
        <v>35</v>
      </c>
      <c r="I521" s="15" t="str">
        <f t="shared" si="8"/>
        <v>Doanh nghiệp</v>
      </c>
      <c r="J521" s="15" t="s">
        <v>1284</v>
      </c>
      <c r="K521" s="19" t="s">
        <v>1264</v>
      </c>
      <c r="L521" s="32">
        <f>Data!$D521/10^6</f>
        <v>6760</v>
      </c>
    </row>
    <row r="522" spans="1:12" x14ac:dyDescent="0.25">
      <c r="A522" s="30" t="s">
        <v>51</v>
      </c>
      <c r="B522" s="15" t="s">
        <v>1045</v>
      </c>
      <c r="C522" s="19" t="s">
        <v>149</v>
      </c>
      <c r="D522" s="20">
        <v>8836364</v>
      </c>
      <c r="E522" s="21">
        <v>45689</v>
      </c>
      <c r="F522" s="18">
        <f>MONTH(Data!$E522)</f>
        <v>2</v>
      </c>
      <c r="G522" s="16">
        <f>YEAR(Data!$E522)</f>
        <v>2025</v>
      </c>
      <c r="H522" s="19" t="s">
        <v>42</v>
      </c>
      <c r="I522" s="15" t="str">
        <f t="shared" si="8"/>
        <v>Doanh nghiệp</v>
      </c>
      <c r="J522" s="15" t="s">
        <v>1285</v>
      </c>
      <c r="K522" s="19" t="s">
        <v>1265</v>
      </c>
      <c r="L522" s="32">
        <f>Data!$D522/10^6</f>
        <v>8.8363639999999997</v>
      </c>
    </row>
    <row r="523" spans="1:12" x14ac:dyDescent="0.25">
      <c r="A523" s="30" t="s">
        <v>51</v>
      </c>
      <c r="B523" s="15" t="s">
        <v>1048</v>
      </c>
      <c r="C523" s="19" t="s">
        <v>149</v>
      </c>
      <c r="D523" s="20">
        <v>8836364</v>
      </c>
      <c r="E523" s="21">
        <v>45689</v>
      </c>
      <c r="F523" s="18">
        <f>MONTH(Data!$E523)</f>
        <v>2</v>
      </c>
      <c r="G523" s="16">
        <f>YEAR(Data!$E523)</f>
        <v>2025</v>
      </c>
      <c r="H523" s="19" t="s">
        <v>42</v>
      </c>
      <c r="I523" s="15" t="str">
        <f t="shared" si="8"/>
        <v>Doanh nghiệp</v>
      </c>
      <c r="J523" s="15" t="s">
        <v>1284</v>
      </c>
      <c r="K523" s="19" t="s">
        <v>1265</v>
      </c>
      <c r="L523" s="32">
        <f>Data!$D523/10^6</f>
        <v>8.8363639999999997</v>
      </c>
    </row>
    <row r="524" spans="1:12" x14ac:dyDescent="0.25">
      <c r="A524" s="30" t="s">
        <v>51</v>
      </c>
      <c r="B524" s="15" t="s">
        <v>1056</v>
      </c>
      <c r="C524" s="19" t="s">
        <v>149</v>
      </c>
      <c r="D524" s="20">
        <v>8836364</v>
      </c>
      <c r="E524" s="21">
        <v>45689</v>
      </c>
      <c r="F524" s="18">
        <f>MONTH(Data!$E524)</f>
        <v>2</v>
      </c>
      <c r="G524" s="16">
        <f>YEAR(Data!$E524)</f>
        <v>2025</v>
      </c>
      <c r="H524" s="19" t="s">
        <v>42</v>
      </c>
      <c r="I524" s="15" t="str">
        <f t="shared" si="8"/>
        <v>Doanh nghiệp</v>
      </c>
      <c r="J524" s="15" t="s">
        <v>1285</v>
      </c>
      <c r="K524" s="19" t="s">
        <v>1265</v>
      </c>
      <c r="L524" s="32">
        <f>Data!$D524/10^6</f>
        <v>8.8363639999999997</v>
      </c>
    </row>
    <row r="525" spans="1:12" x14ac:dyDescent="0.25">
      <c r="A525" s="30" t="s">
        <v>52</v>
      </c>
      <c r="B525" s="15" t="s">
        <v>1069</v>
      </c>
      <c r="C525" s="19" t="s">
        <v>10</v>
      </c>
      <c r="D525" s="20">
        <v>85400000</v>
      </c>
      <c r="E525" s="21">
        <v>45689</v>
      </c>
      <c r="F525" s="18">
        <f>MONTH(Data!$E525)</f>
        <v>2</v>
      </c>
      <c r="G525" s="16">
        <f>YEAR(Data!$E525)</f>
        <v>2025</v>
      </c>
      <c r="H525" s="19" t="s">
        <v>35</v>
      </c>
      <c r="I525" s="15" t="str">
        <f t="shared" si="8"/>
        <v>Doanh nghiệp</v>
      </c>
      <c r="J525" s="15" t="s">
        <v>1284</v>
      </c>
      <c r="K525" s="19" t="s">
        <v>1267</v>
      </c>
      <c r="L525" s="32">
        <f>Data!$D525/10^6</f>
        <v>85.4</v>
      </c>
    </row>
    <row r="526" spans="1:12" x14ac:dyDescent="0.25">
      <c r="A526" s="30" t="s">
        <v>191</v>
      </c>
      <c r="B526" s="15" t="s">
        <v>1064</v>
      </c>
      <c r="C526" s="19" t="s">
        <v>46</v>
      </c>
      <c r="D526" s="20">
        <v>772826600</v>
      </c>
      <c r="E526" s="21">
        <v>45689</v>
      </c>
      <c r="F526" s="18">
        <f>MONTH(Data!$E526)</f>
        <v>2</v>
      </c>
      <c r="G526" s="16">
        <f>YEAR(Data!$E526)</f>
        <v>2025</v>
      </c>
      <c r="H526" s="19" t="s">
        <v>35</v>
      </c>
      <c r="I526" s="15" t="str">
        <f t="shared" si="8"/>
        <v>Doanh nghiệp</v>
      </c>
      <c r="J526" s="15" t="s">
        <v>1285</v>
      </c>
      <c r="K526" s="19" t="s">
        <v>1265</v>
      </c>
      <c r="L526" s="32">
        <f>Data!$D526/10^6</f>
        <v>772.82659999999998</v>
      </c>
    </row>
    <row r="527" spans="1:12" x14ac:dyDescent="0.25">
      <c r="A527" s="30" t="s">
        <v>37</v>
      </c>
      <c r="B527" s="15" t="s">
        <v>1066</v>
      </c>
      <c r="C527" s="19" t="s">
        <v>10</v>
      </c>
      <c r="D527" s="20">
        <v>15972727</v>
      </c>
      <c r="E527" s="21">
        <v>45689</v>
      </c>
      <c r="F527" s="18">
        <f>MONTH(Data!$E527)</f>
        <v>2</v>
      </c>
      <c r="G527" s="16">
        <f>YEAR(Data!$E527)</f>
        <v>2025</v>
      </c>
      <c r="H527" s="19" t="s">
        <v>11</v>
      </c>
      <c r="I527" s="15" t="str">
        <f t="shared" si="8"/>
        <v>Doanh nghiệp</v>
      </c>
      <c r="J527" s="15" t="s">
        <v>1284</v>
      </c>
      <c r="K527" s="19" t="s">
        <v>1267</v>
      </c>
      <c r="L527" s="32">
        <f>Data!$D527/10^6</f>
        <v>15.972727000000001</v>
      </c>
    </row>
    <row r="528" spans="1:12" x14ac:dyDescent="0.25">
      <c r="A528" s="30" t="s">
        <v>51</v>
      </c>
      <c r="B528" s="15" t="s">
        <v>1068</v>
      </c>
      <c r="C528" s="19" t="s">
        <v>149</v>
      </c>
      <c r="D528" s="20">
        <v>82885091</v>
      </c>
      <c r="E528" s="21">
        <v>45689</v>
      </c>
      <c r="F528" s="18">
        <f>MONTH(Data!$E528)</f>
        <v>2</v>
      </c>
      <c r="G528" s="16">
        <f>YEAR(Data!$E528)</f>
        <v>2025</v>
      </c>
      <c r="H528" s="19" t="s">
        <v>42</v>
      </c>
      <c r="I528" s="15" t="str">
        <f t="shared" si="8"/>
        <v>Doanh nghiệp</v>
      </c>
      <c r="J528" s="15" t="s">
        <v>1285</v>
      </c>
      <c r="K528" s="19" t="s">
        <v>1264</v>
      </c>
      <c r="L528" s="32">
        <f>Data!$D528/10^6</f>
        <v>82.885091000000003</v>
      </c>
    </row>
    <row r="529" spans="1:12" x14ac:dyDescent="0.25">
      <c r="A529" s="30" t="s">
        <v>91</v>
      </c>
      <c r="B529" s="15" t="s">
        <v>1070</v>
      </c>
      <c r="C529" s="19" t="s">
        <v>14</v>
      </c>
      <c r="D529" s="20">
        <v>80330255</v>
      </c>
      <c r="E529" s="21">
        <v>45689</v>
      </c>
      <c r="F529" s="18">
        <f>MONTH(Data!$E529)</f>
        <v>2</v>
      </c>
      <c r="G529" s="16">
        <f>YEAR(Data!$E529)</f>
        <v>2025</v>
      </c>
      <c r="H529" s="19" t="s">
        <v>42</v>
      </c>
      <c r="I529" s="15" t="str">
        <f t="shared" si="8"/>
        <v>Doanh nghiệp</v>
      </c>
      <c r="J529" s="15" t="s">
        <v>1284</v>
      </c>
      <c r="K529" s="19" t="s">
        <v>1275</v>
      </c>
      <c r="L529" s="32">
        <f>Data!$D529/10^6</f>
        <v>80.330254999999994</v>
      </c>
    </row>
    <row r="530" spans="1:12" x14ac:dyDescent="0.25">
      <c r="A530" s="30" t="s">
        <v>91</v>
      </c>
      <c r="B530" s="15" t="s">
        <v>1071</v>
      </c>
      <c r="C530" s="19" t="s">
        <v>14</v>
      </c>
      <c r="D530" s="20">
        <v>54215200</v>
      </c>
      <c r="E530" s="21">
        <v>45689</v>
      </c>
      <c r="F530" s="18">
        <f>MONTH(Data!$E530)</f>
        <v>2</v>
      </c>
      <c r="G530" s="16">
        <f>YEAR(Data!$E530)</f>
        <v>2025</v>
      </c>
      <c r="H530" s="19" t="s">
        <v>42</v>
      </c>
      <c r="I530" s="15" t="str">
        <f t="shared" si="8"/>
        <v>Doanh nghiệp</v>
      </c>
      <c r="J530" s="15" t="s">
        <v>1285</v>
      </c>
      <c r="K530" s="19" t="s">
        <v>1275</v>
      </c>
      <c r="L530" s="32">
        <f>Data!$D530/10^6</f>
        <v>54.215200000000003</v>
      </c>
    </row>
    <row r="531" spans="1:12" x14ac:dyDescent="0.25">
      <c r="A531" s="30" t="s">
        <v>21</v>
      </c>
      <c r="B531" s="15" t="s">
        <v>1092</v>
      </c>
      <c r="C531" s="19" t="s">
        <v>10</v>
      </c>
      <c r="D531" s="20">
        <v>411465486</v>
      </c>
      <c r="E531" s="21">
        <v>45689</v>
      </c>
      <c r="F531" s="18">
        <f>MONTH(Data!$E531)</f>
        <v>2</v>
      </c>
      <c r="G531" s="16">
        <f>YEAR(Data!$E531)</f>
        <v>2025</v>
      </c>
      <c r="H531" s="19" t="s">
        <v>22</v>
      </c>
      <c r="I531" s="15" t="str">
        <f t="shared" si="8"/>
        <v>Doanh nghiệp</v>
      </c>
      <c r="J531" s="15" t="s">
        <v>1284</v>
      </c>
      <c r="K531" s="19" t="s">
        <v>1268</v>
      </c>
      <c r="L531" s="32">
        <f>Data!$D531/10^6</f>
        <v>411.465486</v>
      </c>
    </row>
    <row r="532" spans="1:12" x14ac:dyDescent="0.25">
      <c r="A532" s="30" t="s">
        <v>52</v>
      </c>
      <c r="B532" s="15" t="s">
        <v>1034</v>
      </c>
      <c r="C532" s="19" t="s">
        <v>10</v>
      </c>
      <c r="D532" s="20">
        <v>153250000</v>
      </c>
      <c r="E532" s="21">
        <v>45689</v>
      </c>
      <c r="F532" s="18">
        <f>MONTH(Data!$E532)</f>
        <v>2</v>
      </c>
      <c r="G532" s="16">
        <f>YEAR(Data!$E532)</f>
        <v>2025</v>
      </c>
      <c r="H532" s="19" t="s">
        <v>35</v>
      </c>
      <c r="I532" s="15" t="str">
        <f t="shared" si="8"/>
        <v>Doanh nghiệp</v>
      </c>
      <c r="J532" s="15" t="s">
        <v>1285</v>
      </c>
      <c r="K532" s="19" t="s">
        <v>1267</v>
      </c>
      <c r="L532" s="32">
        <f>Data!$D532/10^6</f>
        <v>153.25</v>
      </c>
    </row>
    <row r="533" spans="1:12" x14ac:dyDescent="0.25">
      <c r="A533" s="30" t="s">
        <v>21</v>
      </c>
      <c r="B533" s="15" t="s">
        <v>1047</v>
      </c>
      <c r="C533" s="19" t="s">
        <v>10</v>
      </c>
      <c r="D533" s="20">
        <v>3976364</v>
      </c>
      <c r="E533" s="21">
        <v>45689</v>
      </c>
      <c r="F533" s="18">
        <f>MONTH(Data!$E533)</f>
        <v>2</v>
      </c>
      <c r="G533" s="16">
        <f>YEAR(Data!$E533)</f>
        <v>2025</v>
      </c>
      <c r="H533" s="19" t="s">
        <v>22</v>
      </c>
      <c r="I533" s="15" t="str">
        <f t="shared" si="8"/>
        <v>Doanh nghiệp</v>
      </c>
      <c r="J533" s="15" t="s">
        <v>1284</v>
      </c>
      <c r="K533" s="19" t="s">
        <v>1262</v>
      </c>
      <c r="L533" s="32">
        <f>Data!$D533/10^6</f>
        <v>3.9763639999999998</v>
      </c>
    </row>
    <row r="534" spans="1:12" x14ac:dyDescent="0.25">
      <c r="A534" s="30" t="s">
        <v>191</v>
      </c>
      <c r="B534" s="15" t="s">
        <v>1052</v>
      </c>
      <c r="C534" s="19" t="s">
        <v>46</v>
      </c>
      <c r="D534" s="20">
        <v>996658182</v>
      </c>
      <c r="E534" s="21">
        <v>45689</v>
      </c>
      <c r="F534" s="18">
        <f>MONTH(Data!$E534)</f>
        <v>2</v>
      </c>
      <c r="G534" s="16">
        <f>YEAR(Data!$E534)</f>
        <v>2025</v>
      </c>
      <c r="H534" s="19" t="s">
        <v>35</v>
      </c>
      <c r="I534" s="15" t="str">
        <f t="shared" si="8"/>
        <v>Doanh nghiệp</v>
      </c>
      <c r="J534" s="15" t="s">
        <v>1285</v>
      </c>
      <c r="K534" s="19" t="s">
        <v>1265</v>
      </c>
      <c r="L534" s="32">
        <f>Data!$D534/10^6</f>
        <v>996.65818200000001</v>
      </c>
    </row>
    <row r="535" spans="1:12" x14ac:dyDescent="0.25">
      <c r="A535" s="30" t="s">
        <v>37</v>
      </c>
      <c r="B535" s="15" t="s">
        <v>1071</v>
      </c>
      <c r="C535" s="19" t="s">
        <v>149</v>
      </c>
      <c r="D535" s="20">
        <v>39272727</v>
      </c>
      <c r="E535" s="21">
        <v>45689</v>
      </c>
      <c r="F535" s="18">
        <f>MONTH(Data!$E535)</f>
        <v>2</v>
      </c>
      <c r="G535" s="16">
        <f>YEAR(Data!$E535)</f>
        <v>2025</v>
      </c>
      <c r="H535" s="19" t="s">
        <v>11</v>
      </c>
      <c r="I535" s="15" t="str">
        <f t="shared" si="8"/>
        <v>Doanh nghiệp</v>
      </c>
      <c r="J535" s="15" t="s">
        <v>1284</v>
      </c>
      <c r="K535" s="19" t="s">
        <v>1276</v>
      </c>
      <c r="L535" s="32">
        <f>Data!$D535/10^6</f>
        <v>39.272727000000003</v>
      </c>
    </row>
    <row r="536" spans="1:12" x14ac:dyDescent="0.25">
      <c r="A536" s="30" t="s">
        <v>345</v>
      </c>
      <c r="B536" s="15" t="s">
        <v>1083</v>
      </c>
      <c r="C536" s="19" t="s">
        <v>46</v>
      </c>
      <c r="D536" s="20">
        <v>2371408660</v>
      </c>
      <c r="E536" s="21">
        <v>45689</v>
      </c>
      <c r="F536" s="18">
        <f>MONTH(Data!$E536)</f>
        <v>2</v>
      </c>
      <c r="G536" s="16">
        <f>YEAR(Data!$E536)</f>
        <v>2025</v>
      </c>
      <c r="H536" s="19" t="s">
        <v>35</v>
      </c>
      <c r="I536" s="15" t="str">
        <f t="shared" si="8"/>
        <v>Doanh nghiệp</v>
      </c>
      <c r="J536" s="15" t="s">
        <v>1285</v>
      </c>
      <c r="K536" s="19" t="s">
        <v>1265</v>
      </c>
      <c r="L536" s="32">
        <f>Data!$D536/10^6</f>
        <v>2371.4086600000001</v>
      </c>
    </row>
    <row r="537" spans="1:12" x14ac:dyDescent="0.25">
      <c r="A537" s="30" t="s">
        <v>23</v>
      </c>
      <c r="B537" s="15" t="s">
        <v>1102</v>
      </c>
      <c r="C537" s="19" t="s">
        <v>46</v>
      </c>
      <c r="D537" s="20">
        <v>105440020</v>
      </c>
      <c r="E537" s="21">
        <v>45689</v>
      </c>
      <c r="F537" s="18">
        <f>MONTH(Data!$E537)</f>
        <v>2</v>
      </c>
      <c r="G537" s="16">
        <f>YEAR(Data!$E537)</f>
        <v>2025</v>
      </c>
      <c r="H537" s="19" t="s">
        <v>25</v>
      </c>
      <c r="I537" s="15" t="str">
        <f t="shared" si="8"/>
        <v>Doanh nghiệp</v>
      </c>
      <c r="J537" s="15" t="s">
        <v>1284</v>
      </c>
      <c r="K537" s="19" t="s">
        <v>1265</v>
      </c>
      <c r="L537" s="32">
        <f>Data!$D537/10^6</f>
        <v>105.44002</v>
      </c>
    </row>
    <row r="538" spans="1:12" x14ac:dyDescent="0.25">
      <c r="A538" s="30" t="s">
        <v>146</v>
      </c>
      <c r="B538" s="15" t="s">
        <v>1035</v>
      </c>
      <c r="C538" s="19" t="s">
        <v>14</v>
      </c>
      <c r="D538" s="20">
        <v>134818182</v>
      </c>
      <c r="E538" s="21">
        <v>45689</v>
      </c>
      <c r="F538" s="18">
        <f>MONTH(Data!$E538)</f>
        <v>2</v>
      </c>
      <c r="G538" s="16">
        <f>YEAR(Data!$E538)</f>
        <v>2025</v>
      </c>
      <c r="H538" s="19" t="s">
        <v>32</v>
      </c>
      <c r="I538" s="15" t="str">
        <f t="shared" si="8"/>
        <v>Doanh nghiệp</v>
      </c>
      <c r="J538" s="15" t="s">
        <v>1285</v>
      </c>
      <c r="K538" s="19" t="s">
        <v>1273</v>
      </c>
      <c r="L538" s="32">
        <f>Data!$D538/10^6</f>
        <v>134.81818200000001</v>
      </c>
    </row>
    <row r="539" spans="1:12" x14ac:dyDescent="0.25">
      <c r="A539" s="30" t="s">
        <v>102</v>
      </c>
      <c r="B539" s="15" t="s">
        <v>1038</v>
      </c>
      <c r="C539" s="19" t="s">
        <v>149</v>
      </c>
      <c r="D539" s="20">
        <v>632474215</v>
      </c>
      <c r="E539" s="21">
        <v>45689</v>
      </c>
      <c r="F539" s="18">
        <f>MONTH(Data!$E539)</f>
        <v>2</v>
      </c>
      <c r="G539" s="16">
        <f>YEAR(Data!$E539)</f>
        <v>2025</v>
      </c>
      <c r="H539" s="19" t="s">
        <v>22</v>
      </c>
      <c r="I539" s="15" t="str">
        <f t="shared" si="8"/>
        <v>Doanh nghiệp</v>
      </c>
      <c r="J539" s="15" t="s">
        <v>1284</v>
      </c>
      <c r="K539" s="19" t="s">
        <v>1262</v>
      </c>
      <c r="L539" s="32">
        <f>Data!$D539/10^6</f>
        <v>632.47421499999996</v>
      </c>
    </row>
    <row r="540" spans="1:12" x14ac:dyDescent="0.25">
      <c r="A540" s="30" t="s">
        <v>107</v>
      </c>
      <c r="B540" s="15" t="s">
        <v>1081</v>
      </c>
      <c r="C540" s="19" t="s">
        <v>46</v>
      </c>
      <c r="D540" s="20">
        <v>8406703678</v>
      </c>
      <c r="E540" s="21">
        <v>45689</v>
      </c>
      <c r="F540" s="18">
        <f>MONTH(Data!$E540)</f>
        <v>2</v>
      </c>
      <c r="G540" s="16">
        <f>YEAR(Data!$E540)</f>
        <v>2025</v>
      </c>
      <c r="H540" s="19" t="s">
        <v>42</v>
      </c>
      <c r="I540" s="15" t="str">
        <f t="shared" si="8"/>
        <v>Doanh nghiệp</v>
      </c>
      <c r="J540" s="15" t="s">
        <v>1285</v>
      </c>
      <c r="K540" s="19" t="s">
        <v>1265</v>
      </c>
      <c r="L540" s="32">
        <f>Data!$D540/10^6</f>
        <v>8406.7036779999999</v>
      </c>
    </row>
    <row r="541" spans="1:12" x14ac:dyDescent="0.25">
      <c r="A541" s="30" t="s">
        <v>39</v>
      </c>
      <c r="B541" s="15" t="s">
        <v>1111</v>
      </c>
      <c r="C541" s="19" t="s">
        <v>14</v>
      </c>
      <c r="D541" s="20">
        <v>277272727</v>
      </c>
      <c r="E541" s="21">
        <v>45689</v>
      </c>
      <c r="F541" s="18">
        <f>MONTH(Data!$E541)</f>
        <v>2</v>
      </c>
      <c r="G541" s="16">
        <f>YEAR(Data!$E541)</f>
        <v>2025</v>
      </c>
      <c r="H541" s="19" t="s">
        <v>42</v>
      </c>
      <c r="I541" s="15" t="str">
        <f t="shared" si="8"/>
        <v>Doanh nghiệp</v>
      </c>
      <c r="J541" s="15" t="s">
        <v>1284</v>
      </c>
      <c r="K541" s="19" t="s">
        <v>1266</v>
      </c>
      <c r="L541" s="32">
        <f>Data!$D541/10^6</f>
        <v>277.27272699999997</v>
      </c>
    </row>
    <row r="542" spans="1:12" x14ac:dyDescent="0.25">
      <c r="A542" s="30" t="s">
        <v>160</v>
      </c>
      <c r="B542" s="15" t="s">
        <v>1045</v>
      </c>
      <c r="C542" s="19" t="s">
        <v>41</v>
      </c>
      <c r="D542" s="20">
        <v>60327273</v>
      </c>
      <c r="E542" s="21">
        <v>45689</v>
      </c>
      <c r="F542" s="18">
        <f>MONTH(Data!$E542)</f>
        <v>2</v>
      </c>
      <c r="G542" s="16">
        <f>YEAR(Data!$E542)</f>
        <v>2025</v>
      </c>
      <c r="H542" s="19" t="s">
        <v>35</v>
      </c>
      <c r="I542" s="15" t="str">
        <f t="shared" si="8"/>
        <v>Doanh nghiệp</v>
      </c>
      <c r="J542" s="15" t="s">
        <v>1285</v>
      </c>
      <c r="K542" s="19" t="s">
        <v>1269</v>
      </c>
      <c r="L542" s="32">
        <f>Data!$D542/10^6</f>
        <v>60.327272999999998</v>
      </c>
    </row>
    <row r="543" spans="1:12" x14ac:dyDescent="0.25">
      <c r="A543" s="30" t="s">
        <v>268</v>
      </c>
      <c r="B543" s="15" t="s">
        <v>1049</v>
      </c>
      <c r="C543" s="19" t="s">
        <v>149</v>
      </c>
      <c r="D543" s="20">
        <v>95150000</v>
      </c>
      <c r="E543" s="21">
        <v>45689</v>
      </c>
      <c r="F543" s="18">
        <f>MONTH(Data!$E543)</f>
        <v>2</v>
      </c>
      <c r="G543" s="16">
        <f>YEAR(Data!$E543)</f>
        <v>2025</v>
      </c>
      <c r="H543" s="19" t="s">
        <v>25</v>
      </c>
      <c r="I543" s="15" t="str">
        <f t="shared" si="8"/>
        <v>Doanh nghiệp</v>
      </c>
      <c r="J543" s="15" t="s">
        <v>1284</v>
      </c>
      <c r="K543" s="19" t="s">
        <v>1264</v>
      </c>
      <c r="L543" s="32">
        <f>Data!$D543/10^6</f>
        <v>95.15</v>
      </c>
    </row>
    <row r="544" spans="1:12" x14ac:dyDescent="0.25">
      <c r="A544" s="30" t="s">
        <v>17</v>
      </c>
      <c r="B544" s="15" t="s">
        <v>1080</v>
      </c>
      <c r="C544" s="19" t="s">
        <v>149</v>
      </c>
      <c r="D544" s="20">
        <v>34583500</v>
      </c>
      <c r="E544" s="21">
        <v>45689</v>
      </c>
      <c r="F544" s="18">
        <f>MONTH(Data!$E544)</f>
        <v>2</v>
      </c>
      <c r="G544" s="16">
        <f>YEAR(Data!$E544)</f>
        <v>2025</v>
      </c>
      <c r="H544" s="19" t="s">
        <v>11</v>
      </c>
      <c r="I544" s="15" t="str">
        <f t="shared" si="8"/>
        <v>Doanh nghiệp</v>
      </c>
      <c r="J544" s="15" t="s">
        <v>1285</v>
      </c>
      <c r="K544" s="19" t="s">
        <v>1262</v>
      </c>
      <c r="L544" s="32">
        <f>Data!$D544/10^6</f>
        <v>34.583500000000001</v>
      </c>
    </row>
    <row r="545" spans="1:12" x14ac:dyDescent="0.25">
      <c r="A545" s="30" t="s">
        <v>191</v>
      </c>
      <c r="B545" s="15" t="s">
        <v>1108</v>
      </c>
      <c r="C545" s="19" t="s">
        <v>149</v>
      </c>
      <c r="D545" s="20">
        <v>1355435345</v>
      </c>
      <c r="E545" s="21">
        <v>45689</v>
      </c>
      <c r="F545" s="18">
        <f>MONTH(Data!$E545)</f>
        <v>2</v>
      </c>
      <c r="G545" s="16">
        <f>YEAR(Data!$E545)</f>
        <v>2025</v>
      </c>
      <c r="H545" s="19" t="s">
        <v>35</v>
      </c>
      <c r="I545" s="15" t="str">
        <f t="shared" si="8"/>
        <v>Doanh nghiệp</v>
      </c>
      <c r="J545" s="15" t="s">
        <v>1284</v>
      </c>
      <c r="K545" s="19" t="s">
        <v>1265</v>
      </c>
      <c r="L545" s="32">
        <f>Data!$D545/10^6</f>
        <v>1355.4353450000001</v>
      </c>
    </row>
    <row r="546" spans="1:12" x14ac:dyDescent="0.25">
      <c r="A546" s="30" t="s">
        <v>17</v>
      </c>
      <c r="B546" s="15" t="s">
        <v>1123</v>
      </c>
      <c r="C546" s="19" t="s">
        <v>834</v>
      </c>
      <c r="D546" s="20">
        <v>707927468</v>
      </c>
      <c r="E546" s="21">
        <v>45689</v>
      </c>
      <c r="F546" s="18">
        <f>MONTH(Data!$E546)</f>
        <v>2</v>
      </c>
      <c r="G546" s="16">
        <f>YEAR(Data!$E546)</f>
        <v>2025</v>
      </c>
      <c r="H546" s="19" t="s">
        <v>11</v>
      </c>
      <c r="I546" s="15" t="str">
        <f t="shared" si="8"/>
        <v>Doanh nghiệp</v>
      </c>
      <c r="J546" s="15" t="s">
        <v>1285</v>
      </c>
      <c r="K546" s="19" t="s">
        <v>1266</v>
      </c>
      <c r="L546" s="32">
        <f>Data!$D546/10^6</f>
        <v>707.92746799999998</v>
      </c>
    </row>
    <row r="547" spans="1:12" x14ac:dyDescent="0.25">
      <c r="A547" s="30" t="s">
        <v>130</v>
      </c>
      <c r="B547" s="15" t="s">
        <v>1069</v>
      </c>
      <c r="C547" s="19" t="s">
        <v>834</v>
      </c>
      <c r="D547" s="20">
        <v>3164641577</v>
      </c>
      <c r="E547" s="21">
        <v>45689</v>
      </c>
      <c r="F547" s="18">
        <f>MONTH(Data!$E547)</f>
        <v>2</v>
      </c>
      <c r="G547" s="16">
        <f>YEAR(Data!$E547)</f>
        <v>2025</v>
      </c>
      <c r="H547" s="19" t="s">
        <v>22</v>
      </c>
      <c r="I547" s="15" t="str">
        <f t="shared" si="8"/>
        <v>Doanh nghiệp</v>
      </c>
      <c r="J547" s="15" t="s">
        <v>1284</v>
      </c>
      <c r="K547" s="19" t="s">
        <v>1266</v>
      </c>
      <c r="L547" s="32">
        <f>Data!$D547/10^6</f>
        <v>3164.6415769999999</v>
      </c>
    </row>
    <row r="548" spans="1:12" x14ac:dyDescent="0.25">
      <c r="A548" s="30" t="s">
        <v>92</v>
      </c>
      <c r="B548" s="15" t="s">
        <v>1088</v>
      </c>
      <c r="C548" s="19" t="s">
        <v>14</v>
      </c>
      <c r="D548" s="20">
        <v>102877409</v>
      </c>
      <c r="E548" s="21">
        <v>45689</v>
      </c>
      <c r="F548" s="18">
        <f>MONTH(Data!$E548)</f>
        <v>2</v>
      </c>
      <c r="G548" s="16">
        <f>YEAR(Data!$E548)</f>
        <v>2025</v>
      </c>
      <c r="H548" s="19" t="s">
        <v>29</v>
      </c>
      <c r="I548" s="15" t="str">
        <f t="shared" si="8"/>
        <v>Doanh nghiệp</v>
      </c>
      <c r="J548" s="15" t="s">
        <v>1285</v>
      </c>
      <c r="K548" s="19" t="s">
        <v>1275</v>
      </c>
      <c r="L548" s="32">
        <f>Data!$D548/10^6</f>
        <v>102.877409</v>
      </c>
    </row>
    <row r="549" spans="1:12" x14ac:dyDescent="0.25">
      <c r="A549" s="30" t="s">
        <v>68</v>
      </c>
      <c r="B549" s="15" t="s">
        <v>1044</v>
      </c>
      <c r="C549" s="19" t="s">
        <v>10</v>
      </c>
      <c r="D549" s="20">
        <v>23976700</v>
      </c>
      <c r="E549" s="21">
        <v>45689</v>
      </c>
      <c r="F549" s="18">
        <f>MONTH(Data!$E549)</f>
        <v>2</v>
      </c>
      <c r="G549" s="16">
        <f>YEAR(Data!$E549)</f>
        <v>2025</v>
      </c>
      <c r="H549" s="19" t="s">
        <v>22</v>
      </c>
      <c r="I549" s="15" t="str">
        <f t="shared" si="8"/>
        <v>Doanh nghiệp</v>
      </c>
      <c r="J549" s="15" t="s">
        <v>1284</v>
      </c>
      <c r="K549" s="19" t="s">
        <v>1263</v>
      </c>
      <c r="L549" s="32">
        <f>Data!$D549/10^6</f>
        <v>23.976700000000001</v>
      </c>
    </row>
    <row r="550" spans="1:12" x14ac:dyDescent="0.25">
      <c r="A550" s="30" t="s">
        <v>209</v>
      </c>
      <c r="B550" s="15" t="s">
        <v>1101</v>
      </c>
      <c r="C550" s="19" t="s">
        <v>10</v>
      </c>
      <c r="D550" s="20">
        <v>284185128</v>
      </c>
      <c r="E550" s="21">
        <v>45689</v>
      </c>
      <c r="F550" s="18">
        <f>MONTH(Data!$E550)</f>
        <v>2</v>
      </c>
      <c r="G550" s="16">
        <f>YEAR(Data!$E550)</f>
        <v>2025</v>
      </c>
      <c r="H550" s="19" t="s">
        <v>32</v>
      </c>
      <c r="I550" s="15" t="str">
        <f t="shared" si="8"/>
        <v>Doanh nghiệp</v>
      </c>
      <c r="J550" s="15" t="s">
        <v>1285</v>
      </c>
      <c r="K550" s="19" t="s">
        <v>1263</v>
      </c>
      <c r="L550" s="32">
        <f>Data!$D550/10^6</f>
        <v>284.18512800000002</v>
      </c>
    </row>
    <row r="551" spans="1:12" x14ac:dyDescent="0.25">
      <c r="A551" s="30" t="s">
        <v>157</v>
      </c>
      <c r="B551" s="15" t="s">
        <v>1107</v>
      </c>
      <c r="C551" s="19" t="s">
        <v>46</v>
      </c>
      <c r="D551" s="20">
        <v>294558927</v>
      </c>
      <c r="E551" s="21">
        <v>45689</v>
      </c>
      <c r="F551" s="18">
        <f>MONTH(Data!$E551)</f>
        <v>2</v>
      </c>
      <c r="G551" s="16">
        <f>YEAR(Data!$E551)</f>
        <v>2025</v>
      </c>
      <c r="H551" s="19" t="s">
        <v>32</v>
      </c>
      <c r="I551" s="15" t="str">
        <f t="shared" si="8"/>
        <v>Doanh nghiệp</v>
      </c>
      <c r="J551" s="15" t="s">
        <v>1284</v>
      </c>
      <c r="K551" s="19" t="s">
        <v>1265</v>
      </c>
      <c r="L551" s="32">
        <f>Data!$D551/10^6</f>
        <v>294.55892699999998</v>
      </c>
    </row>
    <row r="552" spans="1:12" x14ac:dyDescent="0.25">
      <c r="A552" s="30" t="s">
        <v>50</v>
      </c>
      <c r="B552" s="15" t="s">
        <v>1110</v>
      </c>
      <c r="C552" s="19" t="s">
        <v>46</v>
      </c>
      <c r="D552" s="20">
        <v>142950091</v>
      </c>
      <c r="E552" s="21">
        <v>45689</v>
      </c>
      <c r="F552" s="18">
        <f>MONTH(Data!$E552)</f>
        <v>2</v>
      </c>
      <c r="G552" s="16">
        <f>YEAR(Data!$E552)</f>
        <v>2025</v>
      </c>
      <c r="H552" s="19" t="s">
        <v>35</v>
      </c>
      <c r="I552" s="15" t="str">
        <f t="shared" si="8"/>
        <v>Doanh nghiệp</v>
      </c>
      <c r="J552" s="15" t="s">
        <v>1285</v>
      </c>
      <c r="K552" s="19" t="s">
        <v>1265</v>
      </c>
      <c r="L552" s="32">
        <f>Data!$D552/10^6</f>
        <v>142.95009099999999</v>
      </c>
    </row>
    <row r="553" spans="1:12" x14ac:dyDescent="0.25">
      <c r="A553" s="30" t="s">
        <v>87</v>
      </c>
      <c r="B553" s="15" t="s">
        <v>1122</v>
      </c>
      <c r="C553" s="19" t="s">
        <v>46</v>
      </c>
      <c r="D553" s="20">
        <v>209756509</v>
      </c>
      <c r="E553" s="21">
        <v>45689</v>
      </c>
      <c r="F553" s="18">
        <f>MONTH(Data!$E553)</f>
        <v>2</v>
      </c>
      <c r="G553" s="16">
        <f>YEAR(Data!$E553)</f>
        <v>2025</v>
      </c>
      <c r="H553" s="19" t="s">
        <v>29</v>
      </c>
      <c r="I553" s="15" t="str">
        <f t="shared" si="8"/>
        <v>Doanh nghiệp</v>
      </c>
      <c r="J553" s="15" t="s">
        <v>1284</v>
      </c>
      <c r="K553" s="19" t="s">
        <v>1271</v>
      </c>
      <c r="L553" s="32">
        <f>Data!$D553/10^6</f>
        <v>209.75650899999999</v>
      </c>
    </row>
    <row r="554" spans="1:12" x14ac:dyDescent="0.25">
      <c r="A554" s="30" t="s">
        <v>85</v>
      </c>
      <c r="B554" s="15" t="s">
        <v>1046</v>
      </c>
      <c r="C554" s="19" t="s">
        <v>46</v>
      </c>
      <c r="D554" s="20">
        <v>783056142</v>
      </c>
      <c r="E554" s="21">
        <v>45689</v>
      </c>
      <c r="F554" s="18">
        <f>MONTH(Data!$E554)</f>
        <v>2</v>
      </c>
      <c r="G554" s="16">
        <f>YEAR(Data!$E554)</f>
        <v>2025</v>
      </c>
      <c r="H554" s="19" t="s">
        <v>15</v>
      </c>
      <c r="I554" s="15" t="str">
        <f t="shared" si="8"/>
        <v>Doanh nghiệp</v>
      </c>
      <c r="J554" s="15" t="s">
        <v>1285</v>
      </c>
      <c r="K554" s="19" t="s">
        <v>1265</v>
      </c>
      <c r="L554" s="32">
        <f>Data!$D554/10^6</f>
        <v>783.05614200000002</v>
      </c>
    </row>
    <row r="555" spans="1:12" x14ac:dyDescent="0.25">
      <c r="A555" s="30" t="s">
        <v>48</v>
      </c>
      <c r="B555" s="15" t="s">
        <v>1072</v>
      </c>
      <c r="C555" s="19" t="s">
        <v>46</v>
      </c>
      <c r="D555" s="20">
        <v>81818182</v>
      </c>
      <c r="E555" s="21">
        <v>45689</v>
      </c>
      <c r="F555" s="18">
        <f>MONTH(Data!$E555)</f>
        <v>2</v>
      </c>
      <c r="G555" s="16">
        <f>YEAR(Data!$E555)</f>
        <v>2025</v>
      </c>
      <c r="H555" s="19" t="s">
        <v>25</v>
      </c>
      <c r="I555" s="15" t="str">
        <f t="shared" si="8"/>
        <v>Doanh nghiệp</v>
      </c>
      <c r="J555" s="15" t="s">
        <v>1284</v>
      </c>
      <c r="K555" s="19" t="s">
        <v>1265</v>
      </c>
      <c r="L555" s="32">
        <f>Data!$D555/10^6</f>
        <v>81.818181999999993</v>
      </c>
    </row>
    <row r="556" spans="1:12" x14ac:dyDescent="0.25">
      <c r="A556" s="30" t="s">
        <v>95</v>
      </c>
      <c r="B556" s="15" t="s">
        <v>1092</v>
      </c>
      <c r="C556" s="19" t="s">
        <v>46</v>
      </c>
      <c r="D556" s="20">
        <v>6350000000</v>
      </c>
      <c r="E556" s="21">
        <v>45689</v>
      </c>
      <c r="F556" s="18">
        <f>MONTH(Data!$E556)</f>
        <v>2</v>
      </c>
      <c r="G556" s="16">
        <f>YEAR(Data!$E556)</f>
        <v>2025</v>
      </c>
      <c r="H556" s="19" t="s">
        <v>35</v>
      </c>
      <c r="I556" s="15" t="str">
        <f t="shared" si="8"/>
        <v>Doanh nghiệp</v>
      </c>
      <c r="J556" s="15" t="s">
        <v>1285</v>
      </c>
      <c r="K556" s="19" t="s">
        <v>1265</v>
      </c>
      <c r="L556" s="32">
        <f>Data!$D556/10^6</f>
        <v>6350</v>
      </c>
    </row>
    <row r="557" spans="1:12" x14ac:dyDescent="0.25">
      <c r="A557" s="30" t="s">
        <v>30</v>
      </c>
      <c r="B557" s="15" t="s">
        <v>1054</v>
      </c>
      <c r="C557" s="19" t="s">
        <v>10</v>
      </c>
      <c r="D557" s="20">
        <v>8272727</v>
      </c>
      <c r="E557" s="21">
        <v>45689</v>
      </c>
      <c r="F557" s="18">
        <f>MONTH(Data!$E557)</f>
        <v>2</v>
      </c>
      <c r="G557" s="16">
        <f>YEAR(Data!$E557)</f>
        <v>2025</v>
      </c>
      <c r="H557" s="19" t="s">
        <v>32</v>
      </c>
      <c r="I557" s="15" t="str">
        <f t="shared" si="8"/>
        <v>Doanh nghiệp</v>
      </c>
      <c r="J557" s="15" t="s">
        <v>1284</v>
      </c>
      <c r="K557" s="19" t="s">
        <v>1263</v>
      </c>
      <c r="L557" s="32">
        <f>Data!$D557/10^6</f>
        <v>8.2727269999999997</v>
      </c>
    </row>
    <row r="558" spans="1:12" x14ac:dyDescent="0.25">
      <c r="A558" s="30" t="s">
        <v>51</v>
      </c>
      <c r="B558" s="15" t="s">
        <v>1120</v>
      </c>
      <c r="C558" s="19" t="s">
        <v>149</v>
      </c>
      <c r="D558" s="20">
        <v>7272727</v>
      </c>
      <c r="E558" s="21">
        <v>45689</v>
      </c>
      <c r="F558" s="18">
        <f>MONTH(Data!$E558)</f>
        <v>2</v>
      </c>
      <c r="G558" s="16">
        <f>YEAR(Data!$E558)</f>
        <v>2025</v>
      </c>
      <c r="H558" s="19" t="s">
        <v>42</v>
      </c>
      <c r="I558" s="15" t="str">
        <f t="shared" si="8"/>
        <v>Doanh nghiệp</v>
      </c>
      <c r="J558" s="15" t="s">
        <v>1285</v>
      </c>
      <c r="K558" s="19" t="s">
        <v>1265</v>
      </c>
      <c r="L558" s="32">
        <f>Data!$D558/10^6</f>
        <v>7.2727269999999997</v>
      </c>
    </row>
    <row r="559" spans="1:12" x14ac:dyDescent="0.25">
      <c r="A559" s="30" t="s">
        <v>51</v>
      </c>
      <c r="B559" s="15" t="s">
        <v>1122</v>
      </c>
      <c r="C559" s="19" t="s">
        <v>149</v>
      </c>
      <c r="D559" s="20">
        <v>7272727</v>
      </c>
      <c r="E559" s="21">
        <v>45689</v>
      </c>
      <c r="F559" s="18">
        <f>MONTH(Data!$E559)</f>
        <v>2</v>
      </c>
      <c r="G559" s="16">
        <f>YEAR(Data!$E559)</f>
        <v>2025</v>
      </c>
      <c r="H559" s="19" t="s">
        <v>42</v>
      </c>
      <c r="I559" s="15" t="str">
        <f t="shared" si="8"/>
        <v>Doanh nghiệp</v>
      </c>
      <c r="J559" s="15" t="s">
        <v>1284</v>
      </c>
      <c r="K559" s="19" t="s">
        <v>1265</v>
      </c>
      <c r="L559" s="32">
        <f>Data!$D559/10^6</f>
        <v>7.2727269999999997</v>
      </c>
    </row>
    <row r="560" spans="1:12" x14ac:dyDescent="0.25">
      <c r="A560" s="30" t="s">
        <v>51</v>
      </c>
      <c r="B560" s="15" t="s">
        <v>1123</v>
      </c>
      <c r="C560" s="19" t="s">
        <v>149</v>
      </c>
      <c r="D560" s="20">
        <v>11143636</v>
      </c>
      <c r="E560" s="21">
        <v>45689</v>
      </c>
      <c r="F560" s="18">
        <f>MONTH(Data!$E560)</f>
        <v>2</v>
      </c>
      <c r="G560" s="16">
        <f>YEAR(Data!$E560)</f>
        <v>2025</v>
      </c>
      <c r="H560" s="19" t="s">
        <v>42</v>
      </c>
      <c r="I560" s="15" t="str">
        <f t="shared" si="8"/>
        <v>Doanh nghiệp</v>
      </c>
      <c r="J560" s="15" t="s">
        <v>1285</v>
      </c>
      <c r="K560" s="19" t="s">
        <v>1265</v>
      </c>
      <c r="L560" s="32">
        <f>Data!$D560/10^6</f>
        <v>11.143636000000001</v>
      </c>
    </row>
    <row r="561" spans="1:12" x14ac:dyDescent="0.25">
      <c r="A561" s="30" t="s">
        <v>64</v>
      </c>
      <c r="B561" s="15" t="s">
        <v>1040</v>
      </c>
      <c r="C561" s="19" t="s">
        <v>46</v>
      </c>
      <c r="D561" s="20">
        <v>205294416</v>
      </c>
      <c r="E561" s="21">
        <v>45689</v>
      </c>
      <c r="F561" s="18">
        <f>MONTH(Data!$E561)</f>
        <v>2</v>
      </c>
      <c r="G561" s="16">
        <f>YEAR(Data!$E561)</f>
        <v>2025</v>
      </c>
      <c r="H561" s="19" t="s">
        <v>29</v>
      </c>
      <c r="I561" s="15" t="str">
        <f t="shared" si="8"/>
        <v>Doanh nghiệp</v>
      </c>
      <c r="J561" s="15" t="s">
        <v>1284</v>
      </c>
      <c r="K561" s="19" t="s">
        <v>1265</v>
      </c>
      <c r="L561" s="32">
        <f>Data!$D561/10^6</f>
        <v>205.29441600000001</v>
      </c>
    </row>
    <row r="562" spans="1:12" x14ac:dyDescent="0.25">
      <c r="A562" s="30" t="s">
        <v>92</v>
      </c>
      <c r="B562" s="15" t="s">
        <v>1054</v>
      </c>
      <c r="C562" s="19" t="s">
        <v>14</v>
      </c>
      <c r="D562" s="20">
        <v>52285227</v>
      </c>
      <c r="E562" s="21">
        <v>45689</v>
      </c>
      <c r="F562" s="18">
        <f>MONTH(Data!$E562)</f>
        <v>2</v>
      </c>
      <c r="G562" s="16">
        <f>YEAR(Data!$E562)</f>
        <v>2025</v>
      </c>
      <c r="H562" s="19" t="s">
        <v>29</v>
      </c>
      <c r="I562" s="15" t="str">
        <f t="shared" si="8"/>
        <v>Doanh nghiệp</v>
      </c>
      <c r="J562" s="15" t="s">
        <v>1285</v>
      </c>
      <c r="K562" s="19" t="s">
        <v>1275</v>
      </c>
      <c r="L562" s="32">
        <f>Data!$D562/10^6</f>
        <v>52.285226999999999</v>
      </c>
    </row>
    <row r="563" spans="1:12" x14ac:dyDescent="0.25">
      <c r="A563" s="30" t="s">
        <v>92</v>
      </c>
      <c r="B563" s="15" t="s">
        <v>1055</v>
      </c>
      <c r="C563" s="19" t="s">
        <v>14</v>
      </c>
      <c r="D563" s="20">
        <v>65232045</v>
      </c>
      <c r="E563" s="21">
        <v>45689</v>
      </c>
      <c r="F563" s="18">
        <f>MONTH(Data!$E563)</f>
        <v>2</v>
      </c>
      <c r="G563" s="16">
        <f>YEAR(Data!$E563)</f>
        <v>2025</v>
      </c>
      <c r="H563" s="19" t="s">
        <v>29</v>
      </c>
      <c r="I563" s="15" t="str">
        <f t="shared" si="8"/>
        <v>Doanh nghiệp</v>
      </c>
      <c r="J563" s="15" t="s">
        <v>1284</v>
      </c>
      <c r="K563" s="19" t="s">
        <v>1275</v>
      </c>
      <c r="L563" s="32">
        <f>Data!$D563/10^6</f>
        <v>65.232044999999999</v>
      </c>
    </row>
    <row r="564" spans="1:12" x14ac:dyDescent="0.25">
      <c r="A564" s="30" t="s">
        <v>17</v>
      </c>
      <c r="B564" s="15" t="s">
        <v>1083</v>
      </c>
      <c r="C564" s="19" t="s">
        <v>46</v>
      </c>
      <c r="D564" s="20">
        <v>470000000</v>
      </c>
      <c r="E564" s="21">
        <v>45689</v>
      </c>
      <c r="F564" s="18">
        <f>MONTH(Data!$E564)</f>
        <v>2</v>
      </c>
      <c r="G564" s="16">
        <f>YEAR(Data!$E564)</f>
        <v>2025</v>
      </c>
      <c r="H564" s="19" t="s">
        <v>11</v>
      </c>
      <c r="I564" s="15" t="str">
        <f t="shared" si="8"/>
        <v>Doanh nghiệp</v>
      </c>
      <c r="J564" s="15" t="s">
        <v>1285</v>
      </c>
      <c r="K564" s="19" t="s">
        <v>1265</v>
      </c>
      <c r="L564" s="32">
        <f>Data!$D564/10^6</f>
        <v>470</v>
      </c>
    </row>
    <row r="565" spans="1:12" x14ac:dyDescent="0.25">
      <c r="A565" s="30" t="s">
        <v>268</v>
      </c>
      <c r="B565" s="15" t="s">
        <v>1103</v>
      </c>
      <c r="C565" s="19" t="s">
        <v>46</v>
      </c>
      <c r="D565" s="20">
        <v>257245673</v>
      </c>
      <c r="E565" s="21">
        <v>45689</v>
      </c>
      <c r="F565" s="18">
        <f>MONTH(Data!$E565)</f>
        <v>2</v>
      </c>
      <c r="G565" s="16">
        <f>YEAR(Data!$E565)</f>
        <v>2025</v>
      </c>
      <c r="H565" s="19" t="s">
        <v>25</v>
      </c>
      <c r="I565" s="15" t="str">
        <f t="shared" si="8"/>
        <v>Doanh nghiệp</v>
      </c>
      <c r="J565" s="15" t="s">
        <v>1284</v>
      </c>
      <c r="K565" s="19" t="s">
        <v>1265</v>
      </c>
      <c r="L565" s="32">
        <f>Data!$D565/10^6</f>
        <v>257.24567300000001</v>
      </c>
    </row>
    <row r="566" spans="1:12" x14ac:dyDescent="0.25">
      <c r="A566" s="30" t="s">
        <v>30</v>
      </c>
      <c r="B566" s="15" t="s">
        <v>1058</v>
      </c>
      <c r="C566" s="19" t="s">
        <v>46</v>
      </c>
      <c r="D566" s="20">
        <v>88165986</v>
      </c>
      <c r="E566" s="21">
        <v>45689</v>
      </c>
      <c r="F566" s="18">
        <f>MONTH(Data!$E566)</f>
        <v>2</v>
      </c>
      <c r="G566" s="16">
        <f>YEAR(Data!$E566)</f>
        <v>2025</v>
      </c>
      <c r="H566" s="19" t="s">
        <v>32</v>
      </c>
      <c r="I566" s="15" t="str">
        <f t="shared" si="8"/>
        <v>Doanh nghiệp</v>
      </c>
      <c r="J566" s="15" t="s">
        <v>1285</v>
      </c>
      <c r="K566" s="19" t="s">
        <v>1265</v>
      </c>
      <c r="L566" s="32">
        <f>Data!$D566/10^6</f>
        <v>88.165986000000004</v>
      </c>
    </row>
    <row r="567" spans="1:12" x14ac:dyDescent="0.25">
      <c r="A567" s="30" t="s">
        <v>47</v>
      </c>
      <c r="B567" s="15" t="s">
        <v>1089</v>
      </c>
      <c r="C567" s="19" t="s">
        <v>10</v>
      </c>
      <c r="D567" s="20">
        <v>8720000</v>
      </c>
      <c r="E567" s="21">
        <v>45689</v>
      </c>
      <c r="F567" s="18">
        <f>MONTH(Data!$E567)</f>
        <v>2</v>
      </c>
      <c r="G567" s="16">
        <f>YEAR(Data!$E567)</f>
        <v>2025</v>
      </c>
      <c r="H567" s="19" t="s">
        <v>29</v>
      </c>
      <c r="I567" s="15" t="str">
        <f t="shared" si="8"/>
        <v>Doanh nghiệp</v>
      </c>
      <c r="J567" s="15" t="s">
        <v>1284</v>
      </c>
      <c r="K567" s="19" t="s">
        <v>1263</v>
      </c>
      <c r="L567" s="32">
        <f>Data!$D567/10^6</f>
        <v>8.7200000000000006</v>
      </c>
    </row>
    <row r="568" spans="1:12" x14ac:dyDescent="0.25">
      <c r="A568" s="30" t="s">
        <v>85</v>
      </c>
      <c r="B568" s="15" t="s">
        <v>1094</v>
      </c>
      <c r="C568" s="19" t="s">
        <v>46</v>
      </c>
      <c r="D568" s="20">
        <v>40480000</v>
      </c>
      <c r="E568" s="21">
        <v>45689</v>
      </c>
      <c r="F568" s="18">
        <f>MONTH(Data!$E568)</f>
        <v>2</v>
      </c>
      <c r="G568" s="16">
        <f>YEAR(Data!$E568)</f>
        <v>2025</v>
      </c>
      <c r="H568" s="19" t="s">
        <v>15</v>
      </c>
      <c r="I568" s="15" t="str">
        <f t="shared" si="8"/>
        <v>Doanh nghiệp</v>
      </c>
      <c r="J568" s="15" t="s">
        <v>1285</v>
      </c>
      <c r="K568" s="19" t="s">
        <v>1265</v>
      </c>
      <c r="L568" s="32">
        <f>Data!$D568/10^6</f>
        <v>40.479999999999997</v>
      </c>
    </row>
    <row r="569" spans="1:12" x14ac:dyDescent="0.25">
      <c r="A569" s="30" t="s">
        <v>116</v>
      </c>
      <c r="B569" s="15" t="s">
        <v>1102</v>
      </c>
      <c r="C569" s="19" t="s">
        <v>46</v>
      </c>
      <c r="D569" s="20">
        <v>86896364</v>
      </c>
      <c r="E569" s="21">
        <v>45689</v>
      </c>
      <c r="F569" s="18">
        <f>MONTH(Data!$E569)</f>
        <v>2</v>
      </c>
      <c r="G569" s="16">
        <f>YEAR(Data!$E569)</f>
        <v>2025</v>
      </c>
      <c r="H569" s="19" t="s">
        <v>15</v>
      </c>
      <c r="I569" s="15" t="str">
        <f t="shared" si="8"/>
        <v>Doanh nghiệp</v>
      </c>
      <c r="J569" s="15" t="s">
        <v>1284</v>
      </c>
      <c r="K569" s="19" t="s">
        <v>1265</v>
      </c>
      <c r="L569" s="32">
        <f>Data!$D569/10^6</f>
        <v>86.896364000000005</v>
      </c>
    </row>
    <row r="570" spans="1:12" x14ac:dyDescent="0.25">
      <c r="A570" s="30" t="s">
        <v>74</v>
      </c>
      <c r="B570" s="15" t="s">
        <v>1025</v>
      </c>
      <c r="C570" s="19" t="s">
        <v>14</v>
      </c>
      <c r="D570" s="20">
        <v>304545455</v>
      </c>
      <c r="E570" s="21">
        <v>45689</v>
      </c>
      <c r="F570" s="18">
        <f>MONTH(Data!$E570)</f>
        <v>2</v>
      </c>
      <c r="G570" s="16">
        <f>YEAR(Data!$E570)</f>
        <v>2025</v>
      </c>
      <c r="H570" s="19" t="s">
        <v>11</v>
      </c>
      <c r="I570" s="15" t="str">
        <f t="shared" si="8"/>
        <v>Doanh nghiệp</v>
      </c>
      <c r="J570" s="15" t="s">
        <v>1285</v>
      </c>
      <c r="K570" s="19" t="s">
        <v>1264</v>
      </c>
      <c r="L570" s="32">
        <f>Data!$D570/10^6</f>
        <v>304.545455</v>
      </c>
    </row>
    <row r="571" spans="1:12" x14ac:dyDescent="0.25">
      <c r="A571" s="30" t="s">
        <v>65</v>
      </c>
      <c r="B571" s="15" t="s">
        <v>1030</v>
      </c>
      <c r="C571" s="19" t="s">
        <v>10</v>
      </c>
      <c r="D571" s="20">
        <v>19363636</v>
      </c>
      <c r="E571" s="21">
        <v>45689</v>
      </c>
      <c r="F571" s="18">
        <f>MONTH(Data!$E571)</f>
        <v>2</v>
      </c>
      <c r="G571" s="16">
        <f>YEAR(Data!$E571)</f>
        <v>2025</v>
      </c>
      <c r="H571" s="19" t="s">
        <v>25</v>
      </c>
      <c r="I571" s="15" t="str">
        <f t="shared" si="8"/>
        <v>Doanh nghiệp</v>
      </c>
      <c r="J571" s="15" t="s">
        <v>1284</v>
      </c>
      <c r="K571" s="19" t="s">
        <v>1262</v>
      </c>
      <c r="L571" s="32">
        <f>Data!$D571/10^6</f>
        <v>19.363636</v>
      </c>
    </row>
    <row r="572" spans="1:12" x14ac:dyDescent="0.25">
      <c r="A572" s="30" t="s">
        <v>116</v>
      </c>
      <c r="B572" s="15" t="s">
        <v>1071</v>
      </c>
      <c r="C572" s="19" t="s">
        <v>10</v>
      </c>
      <c r="D572" s="20">
        <v>29790000</v>
      </c>
      <c r="E572" s="21">
        <v>45689</v>
      </c>
      <c r="F572" s="18">
        <f>MONTH(Data!$E572)</f>
        <v>2</v>
      </c>
      <c r="G572" s="16">
        <f>YEAR(Data!$E572)</f>
        <v>2025</v>
      </c>
      <c r="H572" s="19" t="s">
        <v>15</v>
      </c>
      <c r="I572" s="15" t="str">
        <f t="shared" si="8"/>
        <v>Doanh nghiệp</v>
      </c>
      <c r="J572" s="15" t="s">
        <v>1285</v>
      </c>
      <c r="K572" s="19" t="s">
        <v>1263</v>
      </c>
      <c r="L572" s="32">
        <f>Data!$D572/10^6</f>
        <v>29.79</v>
      </c>
    </row>
    <row r="573" spans="1:12" x14ac:dyDescent="0.25">
      <c r="A573" s="30" t="s">
        <v>191</v>
      </c>
      <c r="B573" s="15" t="s">
        <v>1102</v>
      </c>
      <c r="C573" s="19" t="s">
        <v>10</v>
      </c>
      <c r="D573" s="20">
        <v>24350818</v>
      </c>
      <c r="E573" s="21">
        <v>45689</v>
      </c>
      <c r="F573" s="18">
        <f>MONTH(Data!$E573)</f>
        <v>2</v>
      </c>
      <c r="G573" s="16">
        <f>YEAR(Data!$E573)</f>
        <v>2025</v>
      </c>
      <c r="H573" s="19" t="s">
        <v>35</v>
      </c>
      <c r="I573" s="15" t="str">
        <f t="shared" si="8"/>
        <v>Doanh nghiệp</v>
      </c>
      <c r="J573" s="15" t="s">
        <v>1284</v>
      </c>
      <c r="K573" s="19" t="s">
        <v>1263</v>
      </c>
      <c r="L573" s="32">
        <f>Data!$D573/10^6</f>
        <v>24.350818</v>
      </c>
    </row>
    <row r="574" spans="1:12" x14ac:dyDescent="0.25">
      <c r="A574" s="30" t="s">
        <v>109</v>
      </c>
      <c r="B574" s="15" t="s">
        <v>1115</v>
      </c>
      <c r="C574" s="19" t="s">
        <v>10</v>
      </c>
      <c r="D574" s="20">
        <v>59849091</v>
      </c>
      <c r="E574" s="21">
        <v>45689</v>
      </c>
      <c r="F574" s="18">
        <f>MONTH(Data!$E574)</f>
        <v>2</v>
      </c>
      <c r="G574" s="16">
        <f>YEAR(Data!$E574)</f>
        <v>2025</v>
      </c>
      <c r="H574" s="19" t="s">
        <v>22</v>
      </c>
      <c r="I574" s="15" t="str">
        <f t="shared" si="8"/>
        <v>Doanh nghiệp</v>
      </c>
      <c r="J574" s="15" t="s">
        <v>1285</v>
      </c>
      <c r="K574" s="19" t="s">
        <v>1262</v>
      </c>
      <c r="L574" s="32">
        <f>Data!$D574/10^6</f>
        <v>59.849091000000001</v>
      </c>
    </row>
    <row r="575" spans="1:12" x14ac:dyDescent="0.25">
      <c r="A575" s="30" t="s">
        <v>98</v>
      </c>
      <c r="B575" s="15" t="s">
        <v>1109</v>
      </c>
      <c r="C575" s="19" t="s">
        <v>46</v>
      </c>
      <c r="D575" s="20">
        <v>15661493372</v>
      </c>
      <c r="E575" s="21">
        <v>45689</v>
      </c>
      <c r="F575" s="18">
        <f>MONTH(Data!$E575)</f>
        <v>2</v>
      </c>
      <c r="G575" s="16">
        <f>YEAR(Data!$E575)</f>
        <v>2025</v>
      </c>
      <c r="H575" s="19" t="s">
        <v>11</v>
      </c>
      <c r="I575" s="15" t="str">
        <f t="shared" si="8"/>
        <v>Doanh nghiệp</v>
      </c>
      <c r="J575" s="15" t="s">
        <v>1284</v>
      </c>
      <c r="K575" s="19" t="s">
        <v>1265</v>
      </c>
      <c r="L575" s="32">
        <f>Data!$D575/10^6</f>
        <v>15661.493372000001</v>
      </c>
    </row>
    <row r="576" spans="1:12" x14ac:dyDescent="0.25">
      <c r="A576" s="30" t="s">
        <v>59</v>
      </c>
      <c r="B576" s="15" t="s">
        <v>1110</v>
      </c>
      <c r="C576" s="19" t="s">
        <v>46</v>
      </c>
      <c r="D576" s="20">
        <v>195134182</v>
      </c>
      <c r="E576" s="21">
        <v>45689</v>
      </c>
      <c r="F576" s="18">
        <f>MONTH(Data!$E576)</f>
        <v>2</v>
      </c>
      <c r="G576" s="16">
        <f>YEAR(Data!$E576)</f>
        <v>2025</v>
      </c>
      <c r="H576" s="19" t="s">
        <v>22</v>
      </c>
      <c r="I576" s="15" t="str">
        <f t="shared" si="8"/>
        <v>Doanh nghiệp</v>
      </c>
      <c r="J576" s="15" t="s">
        <v>1285</v>
      </c>
      <c r="K576" s="19" t="s">
        <v>1265</v>
      </c>
      <c r="L576" s="32">
        <f>Data!$D576/10^6</f>
        <v>195.13418200000001</v>
      </c>
    </row>
    <row r="577" spans="1:12" x14ac:dyDescent="0.25">
      <c r="A577" s="30" t="s">
        <v>23</v>
      </c>
      <c r="B577" s="15" t="s">
        <v>1118</v>
      </c>
      <c r="C577" s="19" t="s">
        <v>46</v>
      </c>
      <c r="D577" s="20">
        <v>263006625</v>
      </c>
      <c r="E577" s="21">
        <v>45689</v>
      </c>
      <c r="F577" s="18">
        <f>MONTH(Data!$E577)</f>
        <v>2</v>
      </c>
      <c r="G577" s="16">
        <f>YEAR(Data!$E577)</f>
        <v>2025</v>
      </c>
      <c r="H577" s="19" t="s">
        <v>25</v>
      </c>
      <c r="I577" s="15" t="str">
        <f t="shared" si="8"/>
        <v>Doanh nghiệp</v>
      </c>
      <c r="J577" s="15" t="s">
        <v>1284</v>
      </c>
      <c r="K577" s="19" t="s">
        <v>1265</v>
      </c>
      <c r="L577" s="32">
        <f>Data!$D577/10^6</f>
        <v>263.00662499999999</v>
      </c>
    </row>
    <row r="578" spans="1:12" x14ac:dyDescent="0.25">
      <c r="A578" s="30" t="s">
        <v>52</v>
      </c>
      <c r="B578" s="15" t="s">
        <v>1118</v>
      </c>
      <c r="C578" s="19" t="s">
        <v>10</v>
      </c>
      <c r="D578" s="20">
        <v>153450000</v>
      </c>
      <c r="E578" s="21">
        <v>45689</v>
      </c>
      <c r="F578" s="18">
        <f>MONTH(Data!$E578)</f>
        <v>2</v>
      </c>
      <c r="G578" s="16">
        <f>YEAR(Data!$E578)</f>
        <v>2025</v>
      </c>
      <c r="H578" s="19" t="s">
        <v>35</v>
      </c>
      <c r="I578" s="15" t="str">
        <f t="shared" si="8"/>
        <v>Doanh nghiệp</v>
      </c>
      <c r="J578" s="15" t="s">
        <v>1285</v>
      </c>
      <c r="K578" s="19" t="s">
        <v>1276</v>
      </c>
      <c r="L578" s="32">
        <f>Data!$D578/10^6</f>
        <v>153.44999999999999</v>
      </c>
    </row>
    <row r="579" spans="1:12" x14ac:dyDescent="0.25">
      <c r="A579" s="30" t="s">
        <v>23</v>
      </c>
      <c r="B579" s="15" t="s">
        <v>1118</v>
      </c>
      <c r="C579" s="19" t="s">
        <v>46</v>
      </c>
      <c r="D579" s="20">
        <v>1509442015</v>
      </c>
      <c r="E579" s="21">
        <v>45689</v>
      </c>
      <c r="F579" s="18">
        <f>MONTH(Data!$E579)</f>
        <v>2</v>
      </c>
      <c r="G579" s="16">
        <f>YEAR(Data!$E579)</f>
        <v>2025</v>
      </c>
      <c r="H579" s="19" t="s">
        <v>25</v>
      </c>
      <c r="I579" s="15" t="str">
        <f t="shared" ref="I579:I642" si="9">IF(ISNUMBER(SEARCH("Công ty",$B579)),"Doanh nghiệp",IF(ISNUMBER(SEARCH("Doanh nghiệp",$B579)),"Doanh nghiệp",IF(ISNUMBER(SEARCH("Tập đoàn",$B579)),"Doanh nghiệp",
IF(ISNUMBER(SEARCH("Bệnh viện",$B579)),"Bệnh viện",
IF(ISNUMBER(SEARCH("Ngân hàng",$B579)),"Ngân hàng",IF(ISNUMBER(SEARCH("trường",$B579)),"Trường học",IF(ISNUMBER(SEARCH("học viện",$B579)),"Trường học",
IF(ISNUMBER(SEARCH("Bộ",$B579)),"Sở ban ngành",IF(ISNUMBER(SEARCH("Đoàn",$B579)),"Sở ban ngành",IF(ISNUMBER(SEARCH("Phòng",$B579)),"Sở ban ngành",IF(ISNUMBER(SEARCH("UBND",$B579)),"Sở ban ngành",IF(ISNUMBER(SEARCH("ủy ban",$B579)),"Sở ban ngành",IF(ISNUMBER(SEARCH("công an",$B579)),"Sở ban ngành",IF(ISNUMBER(SEARCH("sở",$B579)),"Sở ban ngành",IF(ISNUMBER(SEARCH("thôn",$B579)),"Sở ban ngành",IF(ISNUMBER(SEARCH("xã",$B579)),"Sở ban ngành",IF(ISNUMBER(SEARCH("quân khu",$B579)),"Sở ban ngành",IF(ISNUMBER(SEARCH("cục",$B579)),"Sở ban ngành",IF(ISNUMBER(SEARCH("viện",$B579)),"Sở ban ngành",IF(ISNUMBER(SEARCH("quỹ",$B579)),"Sở ban ngành",IF(ISNUMBER(SEARCH("trung tâm",$B579)),"Sở ban ngành",IF(ISNUMBER(SEARCH("quân chủng",$B579)),"Sở ban ngành",IF(ISNUMBER(SEARCH("hội",$B579)),"Sở ban ngành",
"Khác")))))))))))))))))))))))</f>
        <v>Doanh nghiệp</v>
      </c>
      <c r="J579" s="15" t="s">
        <v>1284</v>
      </c>
      <c r="K579" s="19" t="s">
        <v>1265</v>
      </c>
      <c r="L579" s="32">
        <f>Data!$D579/10^6</f>
        <v>1509.4420150000001</v>
      </c>
    </row>
    <row r="580" spans="1:12" x14ac:dyDescent="0.25">
      <c r="A580" s="30" t="s">
        <v>64</v>
      </c>
      <c r="B580" s="15" t="s">
        <v>1123</v>
      </c>
      <c r="C580" s="19" t="s">
        <v>14</v>
      </c>
      <c r="D580" s="20">
        <v>818181818</v>
      </c>
      <c r="E580" s="21">
        <v>45689</v>
      </c>
      <c r="F580" s="18">
        <f>MONTH(Data!$E580)</f>
        <v>2</v>
      </c>
      <c r="G580" s="16">
        <f>YEAR(Data!$E580)</f>
        <v>2025</v>
      </c>
      <c r="H580" s="19" t="s">
        <v>29</v>
      </c>
      <c r="I580" s="15" t="str">
        <f t="shared" si="9"/>
        <v>Doanh nghiệp</v>
      </c>
      <c r="J580" s="15" t="s">
        <v>1285</v>
      </c>
      <c r="K580" s="19" t="s">
        <v>1273</v>
      </c>
      <c r="L580" s="32">
        <f>Data!$D580/10^6</f>
        <v>818.18181800000002</v>
      </c>
    </row>
    <row r="581" spans="1:12" x14ac:dyDescent="0.25">
      <c r="A581" s="30" t="s">
        <v>59</v>
      </c>
      <c r="B581" s="15" t="s">
        <v>1151</v>
      </c>
      <c r="C581" s="19" t="s">
        <v>46</v>
      </c>
      <c r="D581" s="20">
        <v>337019091</v>
      </c>
      <c r="E581" s="21">
        <v>45689</v>
      </c>
      <c r="F581" s="18">
        <f>MONTH(Data!$E581)</f>
        <v>2</v>
      </c>
      <c r="G581" s="16">
        <f>YEAR(Data!$E581)</f>
        <v>2025</v>
      </c>
      <c r="H581" s="19" t="s">
        <v>22</v>
      </c>
      <c r="I581" s="15" t="str">
        <f t="shared" si="9"/>
        <v>Doanh nghiệp</v>
      </c>
      <c r="J581" s="15" t="s">
        <v>1284</v>
      </c>
      <c r="K581" s="19" t="s">
        <v>1265</v>
      </c>
      <c r="L581" s="32">
        <f>Data!$D581/10^6</f>
        <v>337.019091</v>
      </c>
    </row>
    <row r="582" spans="1:12" x14ac:dyDescent="0.25">
      <c r="A582" s="30" t="s">
        <v>78</v>
      </c>
      <c r="B582" s="15" t="s">
        <v>1130</v>
      </c>
      <c r="C582" s="19" t="s">
        <v>46</v>
      </c>
      <c r="D582" s="20">
        <v>826813775</v>
      </c>
      <c r="E582" s="21">
        <v>45689</v>
      </c>
      <c r="F582" s="18">
        <f>MONTH(Data!$E582)</f>
        <v>2</v>
      </c>
      <c r="G582" s="16">
        <f>YEAR(Data!$E582)</f>
        <v>2025</v>
      </c>
      <c r="H582" s="19" t="s">
        <v>15</v>
      </c>
      <c r="I582" s="15" t="str">
        <f t="shared" si="9"/>
        <v>Doanh nghiệp</v>
      </c>
      <c r="J582" s="15" t="s">
        <v>1285</v>
      </c>
      <c r="K582" s="19" t="s">
        <v>1265</v>
      </c>
      <c r="L582" s="32">
        <f>Data!$D582/10^6</f>
        <v>826.81377499999996</v>
      </c>
    </row>
    <row r="583" spans="1:12" x14ac:dyDescent="0.25">
      <c r="A583" s="30" t="s">
        <v>23</v>
      </c>
      <c r="B583" s="15" t="s">
        <v>1139</v>
      </c>
      <c r="C583" s="19" t="s">
        <v>46</v>
      </c>
      <c r="D583" s="20">
        <v>99300000</v>
      </c>
      <c r="E583" s="21">
        <v>45689</v>
      </c>
      <c r="F583" s="18">
        <f>MONTH(Data!$E583)</f>
        <v>2</v>
      </c>
      <c r="G583" s="16">
        <f>YEAR(Data!$E583)</f>
        <v>2025</v>
      </c>
      <c r="H583" s="19" t="s">
        <v>25</v>
      </c>
      <c r="I583" s="15" t="str">
        <f t="shared" si="9"/>
        <v>Doanh nghiệp</v>
      </c>
      <c r="J583" s="15" t="s">
        <v>1284</v>
      </c>
      <c r="K583" s="19" t="s">
        <v>1265</v>
      </c>
      <c r="L583" s="32">
        <f>Data!$D583/10^6</f>
        <v>99.3</v>
      </c>
    </row>
    <row r="584" spans="1:12" x14ac:dyDescent="0.25">
      <c r="A584" s="30" t="s">
        <v>39</v>
      </c>
      <c r="B584" s="15" t="s">
        <v>1132</v>
      </c>
      <c r="C584" s="19" t="s">
        <v>14</v>
      </c>
      <c r="D584" s="20">
        <v>733807509</v>
      </c>
      <c r="E584" s="21">
        <v>45689</v>
      </c>
      <c r="F584" s="18">
        <f>MONTH(Data!$E584)</f>
        <v>2</v>
      </c>
      <c r="G584" s="16">
        <f>YEAR(Data!$E584)</f>
        <v>2025</v>
      </c>
      <c r="H584" s="19" t="s">
        <v>42</v>
      </c>
      <c r="I584" s="15" t="str">
        <f t="shared" si="9"/>
        <v>Doanh nghiệp</v>
      </c>
      <c r="J584" s="15" t="s">
        <v>1285</v>
      </c>
      <c r="K584" s="19" t="s">
        <v>1264</v>
      </c>
      <c r="L584" s="32">
        <f>Data!$D584/10^6</f>
        <v>733.80750899999998</v>
      </c>
    </row>
    <row r="585" spans="1:12" x14ac:dyDescent="0.25">
      <c r="A585" s="30" t="s">
        <v>146</v>
      </c>
      <c r="B585" s="15" t="s">
        <v>1133</v>
      </c>
      <c r="C585" s="19" t="s">
        <v>10</v>
      </c>
      <c r="D585" s="20">
        <v>218138655</v>
      </c>
      <c r="E585" s="21">
        <v>45689</v>
      </c>
      <c r="F585" s="18">
        <f>MONTH(Data!$E585)</f>
        <v>2</v>
      </c>
      <c r="G585" s="16">
        <f>YEAR(Data!$E585)</f>
        <v>2025</v>
      </c>
      <c r="H585" s="19" t="s">
        <v>32</v>
      </c>
      <c r="I585" s="15" t="str">
        <f t="shared" si="9"/>
        <v>Doanh nghiệp</v>
      </c>
      <c r="J585" s="15" t="s">
        <v>1284</v>
      </c>
      <c r="K585" s="19" t="s">
        <v>1263</v>
      </c>
      <c r="L585" s="32">
        <f>Data!$D585/10^6</f>
        <v>218.138655</v>
      </c>
    </row>
    <row r="586" spans="1:12" x14ac:dyDescent="0.25">
      <c r="A586" s="30" t="s">
        <v>55</v>
      </c>
      <c r="B586" s="15" t="s">
        <v>1140</v>
      </c>
      <c r="C586" s="19" t="s">
        <v>10</v>
      </c>
      <c r="D586" s="20">
        <v>148691818</v>
      </c>
      <c r="E586" s="21">
        <v>45689</v>
      </c>
      <c r="F586" s="18">
        <f>MONTH(Data!$E586)</f>
        <v>2</v>
      </c>
      <c r="G586" s="16">
        <f>YEAR(Data!$E586)</f>
        <v>2025</v>
      </c>
      <c r="H586" s="19" t="s">
        <v>15</v>
      </c>
      <c r="I586" s="15" t="str">
        <f t="shared" si="9"/>
        <v>Doanh nghiệp</v>
      </c>
      <c r="J586" s="15" t="s">
        <v>1285</v>
      </c>
      <c r="K586" s="19" t="s">
        <v>1267</v>
      </c>
      <c r="L586" s="32">
        <f>Data!$D586/10^6</f>
        <v>148.69181800000001</v>
      </c>
    </row>
    <row r="587" spans="1:12" x14ac:dyDescent="0.25">
      <c r="A587" s="30" t="s">
        <v>52</v>
      </c>
      <c r="B587" s="15" t="s">
        <v>1150</v>
      </c>
      <c r="C587" s="19" t="s">
        <v>149</v>
      </c>
      <c r="D587" s="20">
        <v>45099818</v>
      </c>
      <c r="E587" s="21">
        <v>45689</v>
      </c>
      <c r="F587" s="18">
        <f>MONTH(Data!$E587)</f>
        <v>2</v>
      </c>
      <c r="G587" s="16">
        <f>YEAR(Data!$E587)</f>
        <v>2025</v>
      </c>
      <c r="H587" s="19" t="s">
        <v>35</v>
      </c>
      <c r="I587" s="15" t="str">
        <f t="shared" si="9"/>
        <v>Doanh nghiệp</v>
      </c>
      <c r="J587" s="15" t="s">
        <v>1284</v>
      </c>
      <c r="K587" s="19" t="s">
        <v>1275</v>
      </c>
      <c r="L587" s="32">
        <f>Data!$D587/10^6</f>
        <v>45.099817999999999</v>
      </c>
    </row>
    <row r="588" spans="1:12" x14ac:dyDescent="0.25">
      <c r="A588" s="30" t="s">
        <v>52</v>
      </c>
      <c r="B588" s="15" t="s">
        <v>1151</v>
      </c>
      <c r="C588" s="19" t="s">
        <v>149</v>
      </c>
      <c r="D588" s="20">
        <v>45192109</v>
      </c>
      <c r="E588" s="21">
        <v>45689</v>
      </c>
      <c r="F588" s="18">
        <f>MONTH(Data!$E588)</f>
        <v>2</v>
      </c>
      <c r="G588" s="16">
        <f>YEAR(Data!$E588)</f>
        <v>2025</v>
      </c>
      <c r="H588" s="19" t="s">
        <v>35</v>
      </c>
      <c r="I588" s="15" t="str">
        <f t="shared" si="9"/>
        <v>Doanh nghiệp</v>
      </c>
      <c r="J588" s="15" t="s">
        <v>1285</v>
      </c>
      <c r="K588" s="19" t="s">
        <v>1275</v>
      </c>
      <c r="L588" s="32">
        <f>Data!$D588/10^6</f>
        <v>45.192109000000002</v>
      </c>
    </row>
    <row r="589" spans="1:12" x14ac:dyDescent="0.25">
      <c r="A589" s="30" t="s">
        <v>52</v>
      </c>
      <c r="B589" s="15" t="s">
        <v>1152</v>
      </c>
      <c r="C589" s="19" t="s">
        <v>149</v>
      </c>
      <c r="D589" s="20">
        <v>45249055</v>
      </c>
      <c r="E589" s="21">
        <v>45689</v>
      </c>
      <c r="F589" s="18">
        <f>MONTH(Data!$E589)</f>
        <v>2</v>
      </c>
      <c r="G589" s="16">
        <f>YEAR(Data!$E589)</f>
        <v>2025</v>
      </c>
      <c r="H589" s="19" t="s">
        <v>35</v>
      </c>
      <c r="I589" s="15" t="str">
        <f t="shared" si="9"/>
        <v>Doanh nghiệp</v>
      </c>
      <c r="J589" s="15" t="s">
        <v>1284</v>
      </c>
      <c r="K589" s="19" t="s">
        <v>1275</v>
      </c>
      <c r="L589" s="32">
        <f>Data!$D589/10^6</f>
        <v>45.249054999999998</v>
      </c>
    </row>
    <row r="590" spans="1:12" x14ac:dyDescent="0.25">
      <c r="A590" s="30" t="s">
        <v>23</v>
      </c>
      <c r="B590" s="15" t="s">
        <v>1139</v>
      </c>
      <c r="C590" s="19" t="s">
        <v>46</v>
      </c>
      <c r="D590" s="20">
        <v>15190000</v>
      </c>
      <c r="E590" s="21">
        <v>45689</v>
      </c>
      <c r="F590" s="18">
        <f>MONTH(Data!$E590)</f>
        <v>2</v>
      </c>
      <c r="G590" s="16">
        <f>YEAR(Data!$E590)</f>
        <v>2025</v>
      </c>
      <c r="H590" s="19" t="s">
        <v>25</v>
      </c>
      <c r="I590" s="15" t="str">
        <f t="shared" si="9"/>
        <v>Doanh nghiệp</v>
      </c>
      <c r="J590" s="15" t="s">
        <v>1285</v>
      </c>
      <c r="K590" s="19" t="s">
        <v>1271</v>
      </c>
      <c r="L590" s="32">
        <f>Data!$D590/10^6</f>
        <v>15.19</v>
      </c>
    </row>
    <row r="591" spans="1:12" x14ac:dyDescent="0.25">
      <c r="A591" s="30" t="s">
        <v>30</v>
      </c>
      <c r="B591" s="15" t="s">
        <v>1146</v>
      </c>
      <c r="C591" s="19" t="s">
        <v>41</v>
      </c>
      <c r="D591" s="20">
        <v>45445455</v>
      </c>
      <c r="E591" s="21">
        <v>45689</v>
      </c>
      <c r="F591" s="18">
        <f>MONTH(Data!$E591)</f>
        <v>2</v>
      </c>
      <c r="G591" s="16">
        <f>YEAR(Data!$E591)</f>
        <v>2025</v>
      </c>
      <c r="H591" s="19" t="s">
        <v>32</v>
      </c>
      <c r="I591" s="15" t="str">
        <f t="shared" si="9"/>
        <v>Doanh nghiệp</v>
      </c>
      <c r="J591" s="15" t="s">
        <v>1284</v>
      </c>
      <c r="K591" s="19" t="s">
        <v>1272</v>
      </c>
      <c r="L591" s="32">
        <f>Data!$D591/10^6</f>
        <v>45.445455000000003</v>
      </c>
    </row>
    <row r="592" spans="1:12" x14ac:dyDescent="0.25">
      <c r="A592" s="30" t="s">
        <v>255</v>
      </c>
      <c r="B592" s="15" t="s">
        <v>1168</v>
      </c>
      <c r="C592" s="19" t="s">
        <v>10</v>
      </c>
      <c r="D592" s="20">
        <v>1046419056</v>
      </c>
      <c r="E592" s="21">
        <v>45689</v>
      </c>
      <c r="F592" s="18">
        <f>MONTH(Data!$E592)</f>
        <v>2</v>
      </c>
      <c r="G592" s="16">
        <f>YEAR(Data!$E592)</f>
        <v>2025</v>
      </c>
      <c r="H592" s="19" t="s">
        <v>11</v>
      </c>
      <c r="I592" s="15" t="str">
        <f t="shared" si="9"/>
        <v>Doanh nghiệp</v>
      </c>
      <c r="J592" s="15" t="s">
        <v>1285</v>
      </c>
      <c r="K592" s="19" t="s">
        <v>1262</v>
      </c>
      <c r="L592" s="32">
        <f>Data!$D592/10^6</f>
        <v>1046.419056</v>
      </c>
    </row>
    <row r="593" spans="1:12" x14ac:dyDescent="0.25">
      <c r="A593" s="30" t="s">
        <v>30</v>
      </c>
      <c r="B593" s="15" t="s">
        <v>1233</v>
      </c>
      <c r="C593" s="19" t="s">
        <v>149</v>
      </c>
      <c r="D593" s="20">
        <v>17672727</v>
      </c>
      <c r="E593" s="21">
        <v>45689</v>
      </c>
      <c r="F593" s="18">
        <f>MONTH(Data!$E593)</f>
        <v>2</v>
      </c>
      <c r="G593" s="16">
        <f>YEAR(Data!$E593)</f>
        <v>2025</v>
      </c>
      <c r="H593" s="19" t="s">
        <v>32</v>
      </c>
      <c r="I593" s="15" t="str">
        <f t="shared" si="9"/>
        <v>Doanh nghiệp</v>
      </c>
      <c r="J593" s="15" t="s">
        <v>1284</v>
      </c>
      <c r="K593" s="19" t="s">
        <v>1275</v>
      </c>
      <c r="L593" s="32">
        <f>Data!$D593/10^6</f>
        <v>17.672726999999998</v>
      </c>
    </row>
    <row r="594" spans="1:12" x14ac:dyDescent="0.25">
      <c r="A594" s="30" t="s">
        <v>54</v>
      </c>
      <c r="B594" s="15" t="s">
        <v>1246</v>
      </c>
      <c r="C594" s="19" t="s">
        <v>10</v>
      </c>
      <c r="D594" s="20">
        <v>29441500</v>
      </c>
      <c r="E594" s="21">
        <v>45689</v>
      </c>
      <c r="F594" s="18">
        <f>MONTH(Data!$E594)</f>
        <v>2</v>
      </c>
      <c r="G594" s="16">
        <f>YEAR(Data!$E594)</f>
        <v>2025</v>
      </c>
      <c r="H594" s="19" t="s">
        <v>15</v>
      </c>
      <c r="I594" s="15" t="str">
        <f t="shared" si="9"/>
        <v>Doanh nghiệp</v>
      </c>
      <c r="J594" s="15" t="s">
        <v>1285</v>
      </c>
      <c r="K594" s="19" t="s">
        <v>1276</v>
      </c>
      <c r="L594" s="32">
        <f>Data!$D594/10^6</f>
        <v>29.441500000000001</v>
      </c>
    </row>
    <row r="595" spans="1:12" x14ac:dyDescent="0.25">
      <c r="A595" s="30" t="s">
        <v>8</v>
      </c>
      <c r="B595" s="15" t="s">
        <v>1248</v>
      </c>
      <c r="C595" s="19" t="s">
        <v>834</v>
      </c>
      <c r="D595" s="20">
        <v>2000000000</v>
      </c>
      <c r="E595" s="21">
        <v>45689</v>
      </c>
      <c r="F595" s="18">
        <f>MONTH(Data!$E595)</f>
        <v>2</v>
      </c>
      <c r="G595" s="16">
        <f>YEAR(Data!$E595)</f>
        <v>2025</v>
      </c>
      <c r="H595" s="19" t="s">
        <v>11</v>
      </c>
      <c r="I595" s="15" t="str">
        <f t="shared" si="9"/>
        <v>Doanh nghiệp</v>
      </c>
      <c r="J595" s="15" t="s">
        <v>1284</v>
      </c>
      <c r="K595" s="19" t="s">
        <v>1266</v>
      </c>
      <c r="L595" s="32">
        <f>Data!$D595/10^6</f>
        <v>2000</v>
      </c>
    </row>
    <row r="596" spans="1:12" x14ac:dyDescent="0.25">
      <c r="A596" s="30" t="s">
        <v>45</v>
      </c>
      <c r="B596" s="15" t="s">
        <v>1246</v>
      </c>
      <c r="C596" s="19" t="s">
        <v>10</v>
      </c>
      <c r="D596" s="20">
        <v>17494545</v>
      </c>
      <c r="E596" s="21">
        <v>45689</v>
      </c>
      <c r="F596" s="18">
        <f>MONTH(Data!$E596)</f>
        <v>2</v>
      </c>
      <c r="G596" s="16">
        <f>YEAR(Data!$E596)</f>
        <v>2025</v>
      </c>
      <c r="H596" s="19" t="s">
        <v>29</v>
      </c>
      <c r="I596" s="15" t="str">
        <f t="shared" si="9"/>
        <v>Doanh nghiệp</v>
      </c>
      <c r="J596" s="15" t="s">
        <v>1285</v>
      </c>
      <c r="K596" s="19" t="s">
        <v>1263</v>
      </c>
      <c r="L596" s="32">
        <f>Data!$D596/10^6</f>
        <v>17.494544999999999</v>
      </c>
    </row>
    <row r="597" spans="1:12" x14ac:dyDescent="0.25">
      <c r="A597" s="30" t="s">
        <v>52</v>
      </c>
      <c r="B597" s="15" t="s">
        <v>1248</v>
      </c>
      <c r="C597" s="19" t="s">
        <v>10</v>
      </c>
      <c r="D597" s="20">
        <v>2362581200</v>
      </c>
      <c r="E597" s="21">
        <v>45689</v>
      </c>
      <c r="F597" s="18">
        <f>MONTH(Data!$E597)</f>
        <v>2</v>
      </c>
      <c r="G597" s="16">
        <f>YEAR(Data!$E597)</f>
        <v>2025</v>
      </c>
      <c r="H597" s="19" t="s">
        <v>35</v>
      </c>
      <c r="I597" s="15" t="str">
        <f t="shared" si="9"/>
        <v>Doanh nghiệp</v>
      </c>
      <c r="J597" s="15" t="s">
        <v>1284</v>
      </c>
      <c r="K597" s="19" t="s">
        <v>1262</v>
      </c>
      <c r="L597" s="32">
        <f>Data!$D597/10^6</f>
        <v>2362.5812000000001</v>
      </c>
    </row>
    <row r="598" spans="1:12" x14ac:dyDescent="0.25">
      <c r="A598" s="30" t="s">
        <v>89</v>
      </c>
      <c r="B598" s="15" t="s">
        <v>1246</v>
      </c>
      <c r="C598" s="19" t="s">
        <v>10</v>
      </c>
      <c r="D598" s="20">
        <v>298079091</v>
      </c>
      <c r="E598" s="21">
        <v>45689</v>
      </c>
      <c r="F598" s="18">
        <f>MONTH(Data!$E598)</f>
        <v>2</v>
      </c>
      <c r="G598" s="16">
        <f>YEAR(Data!$E598)</f>
        <v>2025</v>
      </c>
      <c r="H598" s="19" t="s">
        <v>11</v>
      </c>
      <c r="I598" s="15" t="str">
        <f t="shared" si="9"/>
        <v>Doanh nghiệp</v>
      </c>
      <c r="J598" s="15" t="s">
        <v>1285</v>
      </c>
      <c r="K598" s="19" t="s">
        <v>1267</v>
      </c>
      <c r="L598" s="32">
        <f>Data!$D598/10^6</f>
        <v>298.07909100000001</v>
      </c>
    </row>
    <row r="599" spans="1:12" x14ac:dyDescent="0.25">
      <c r="A599" s="30" t="s">
        <v>8</v>
      </c>
      <c r="B599" s="15" t="s">
        <v>1248</v>
      </c>
      <c r="C599" s="19" t="s">
        <v>149</v>
      </c>
      <c r="D599" s="20">
        <v>1546033636</v>
      </c>
      <c r="E599" s="21">
        <v>45689</v>
      </c>
      <c r="F599" s="18">
        <f>MONTH(Data!$E599)</f>
        <v>2</v>
      </c>
      <c r="G599" s="16">
        <f>YEAR(Data!$E599)</f>
        <v>2025</v>
      </c>
      <c r="H599" s="19" t="s">
        <v>11</v>
      </c>
      <c r="I599" s="15" t="str">
        <f t="shared" si="9"/>
        <v>Doanh nghiệp</v>
      </c>
      <c r="J599" s="15" t="s">
        <v>1284</v>
      </c>
      <c r="K599" s="19" t="s">
        <v>1262</v>
      </c>
      <c r="L599" s="32">
        <f>Data!$D599/10^6</f>
        <v>1546.0336359999999</v>
      </c>
    </row>
    <row r="600" spans="1:12" x14ac:dyDescent="0.25">
      <c r="A600" s="30" t="s">
        <v>119</v>
      </c>
      <c r="B600" s="15" t="s">
        <v>1249</v>
      </c>
      <c r="C600" s="19" t="s">
        <v>41</v>
      </c>
      <c r="D600" s="20">
        <v>4360219091</v>
      </c>
      <c r="E600" s="21">
        <v>45689</v>
      </c>
      <c r="F600" s="18">
        <f>MONTH(Data!$E600)</f>
        <v>2</v>
      </c>
      <c r="G600" s="16">
        <f>YEAR(Data!$E600)</f>
        <v>2025</v>
      </c>
      <c r="H600" s="19" t="s">
        <v>35</v>
      </c>
      <c r="I600" s="15" t="str">
        <f t="shared" si="9"/>
        <v>Doanh nghiệp</v>
      </c>
      <c r="J600" s="15" t="s">
        <v>1285</v>
      </c>
      <c r="K600" s="19" t="s">
        <v>1280</v>
      </c>
      <c r="L600" s="32">
        <f>Data!$D600/10^6</f>
        <v>4360.2190909999999</v>
      </c>
    </row>
    <row r="601" spans="1:12" x14ac:dyDescent="0.25">
      <c r="A601" s="30" t="s">
        <v>128</v>
      </c>
      <c r="B601" s="15" t="s">
        <v>1249</v>
      </c>
      <c r="C601" s="19" t="s">
        <v>149</v>
      </c>
      <c r="D601" s="20">
        <v>214116063</v>
      </c>
      <c r="E601" s="21">
        <v>45689</v>
      </c>
      <c r="F601" s="18">
        <f>MONTH(Data!$E601)</f>
        <v>2</v>
      </c>
      <c r="G601" s="16">
        <f>YEAR(Data!$E601)</f>
        <v>2025</v>
      </c>
      <c r="H601" s="19" t="s">
        <v>42</v>
      </c>
      <c r="I601" s="15" t="str">
        <f t="shared" si="9"/>
        <v>Doanh nghiệp</v>
      </c>
      <c r="J601" s="15" t="s">
        <v>1284</v>
      </c>
      <c r="K601" s="19" t="s">
        <v>1262</v>
      </c>
      <c r="L601" s="32">
        <f>Data!$D601/10^6</f>
        <v>214.116063</v>
      </c>
    </row>
    <row r="602" spans="1:12" x14ac:dyDescent="0.25">
      <c r="A602" s="30" t="s">
        <v>128</v>
      </c>
      <c r="B602" s="15" t="s">
        <v>1246</v>
      </c>
      <c r="C602" s="19" t="s">
        <v>149</v>
      </c>
      <c r="D602" s="20">
        <v>373468518</v>
      </c>
      <c r="E602" s="21">
        <v>45689</v>
      </c>
      <c r="F602" s="18">
        <f>MONTH(Data!$E602)</f>
        <v>2</v>
      </c>
      <c r="G602" s="16">
        <f>YEAR(Data!$E602)</f>
        <v>2025</v>
      </c>
      <c r="H602" s="19" t="s">
        <v>42</v>
      </c>
      <c r="I602" s="15" t="str">
        <f t="shared" si="9"/>
        <v>Doanh nghiệp</v>
      </c>
      <c r="J602" s="15" t="s">
        <v>1285</v>
      </c>
      <c r="K602" s="19" t="s">
        <v>1262</v>
      </c>
      <c r="L602" s="32">
        <f>Data!$D602/10^6</f>
        <v>373.46851800000002</v>
      </c>
    </row>
    <row r="603" spans="1:12" x14ac:dyDescent="0.25">
      <c r="A603" s="30" t="s">
        <v>89</v>
      </c>
      <c r="B603" s="15" t="s">
        <v>1248</v>
      </c>
      <c r="C603" s="19" t="s">
        <v>46</v>
      </c>
      <c r="D603" s="20">
        <v>16225455</v>
      </c>
      <c r="E603" s="21">
        <v>45689</v>
      </c>
      <c r="F603" s="18">
        <f>MONTH(Data!$E603)</f>
        <v>2</v>
      </c>
      <c r="G603" s="16">
        <f>YEAR(Data!$E603)</f>
        <v>2025</v>
      </c>
      <c r="H603" s="19" t="s">
        <v>11</v>
      </c>
      <c r="I603" s="15" t="str">
        <f t="shared" si="9"/>
        <v>Doanh nghiệp</v>
      </c>
      <c r="J603" s="15" t="s">
        <v>1284</v>
      </c>
      <c r="K603" s="19" t="s">
        <v>1271</v>
      </c>
      <c r="L603" s="32">
        <f>Data!$D603/10^6</f>
        <v>16.225455</v>
      </c>
    </row>
    <row r="604" spans="1:12" x14ac:dyDescent="0.25">
      <c r="A604" s="30" t="s">
        <v>65</v>
      </c>
      <c r="B604" s="19" t="s">
        <v>826</v>
      </c>
      <c r="C604" s="19" t="s">
        <v>14</v>
      </c>
      <c r="D604" s="20">
        <v>1043636364</v>
      </c>
      <c r="E604" s="21">
        <v>45689</v>
      </c>
      <c r="F604" s="18">
        <f>MONTH(Data!$E604)</f>
        <v>2</v>
      </c>
      <c r="G604" s="16">
        <f>YEAR(Data!$E604)</f>
        <v>2025</v>
      </c>
      <c r="H604" s="19" t="s">
        <v>25</v>
      </c>
      <c r="I604" s="15" t="str">
        <f t="shared" si="9"/>
        <v>Sở ban ngành</v>
      </c>
      <c r="J604" s="15" t="s">
        <v>1285</v>
      </c>
      <c r="K604" s="19" t="s">
        <v>1274</v>
      </c>
      <c r="L604" s="32">
        <f>Data!$D604/10^6</f>
        <v>1043.636364</v>
      </c>
    </row>
    <row r="605" spans="1:12" x14ac:dyDescent="0.25">
      <c r="A605" s="30" t="s">
        <v>36</v>
      </c>
      <c r="B605" s="19" t="s">
        <v>471</v>
      </c>
      <c r="C605" s="19" t="s">
        <v>10</v>
      </c>
      <c r="D605" s="20">
        <v>45000000</v>
      </c>
      <c r="E605" s="21">
        <v>45689</v>
      </c>
      <c r="F605" s="18">
        <f>MONTH(Data!$E605)</f>
        <v>2</v>
      </c>
      <c r="G605" s="16">
        <f>YEAR(Data!$E605)</f>
        <v>2025</v>
      </c>
      <c r="H605" s="19" t="s">
        <v>15</v>
      </c>
      <c r="I605" s="15" t="str">
        <f t="shared" si="9"/>
        <v>Sở ban ngành</v>
      </c>
      <c r="J605" s="15" t="s">
        <v>1284</v>
      </c>
      <c r="K605" s="19" t="s">
        <v>1262</v>
      </c>
      <c r="L605" s="32">
        <f>Data!$D605/10^6</f>
        <v>45</v>
      </c>
    </row>
    <row r="606" spans="1:12" x14ac:dyDescent="0.25">
      <c r="A606" s="30" t="s">
        <v>36</v>
      </c>
      <c r="B606" s="19" t="s">
        <v>471</v>
      </c>
      <c r="C606" s="19" t="s">
        <v>10</v>
      </c>
      <c r="D606" s="20">
        <v>31060000</v>
      </c>
      <c r="E606" s="21">
        <v>45689</v>
      </c>
      <c r="F606" s="18">
        <f>MONTH(Data!$E606)</f>
        <v>2</v>
      </c>
      <c r="G606" s="16">
        <f>YEAR(Data!$E606)</f>
        <v>2025</v>
      </c>
      <c r="H606" s="19" t="s">
        <v>15</v>
      </c>
      <c r="I606" s="15" t="str">
        <f t="shared" si="9"/>
        <v>Sở ban ngành</v>
      </c>
      <c r="J606" s="15" t="s">
        <v>1285</v>
      </c>
      <c r="K606" s="19" t="s">
        <v>1276</v>
      </c>
      <c r="L606" s="32">
        <f>Data!$D606/10^6</f>
        <v>31.06</v>
      </c>
    </row>
    <row r="607" spans="1:12" x14ac:dyDescent="0.25">
      <c r="A607" s="30" t="s">
        <v>255</v>
      </c>
      <c r="B607" s="15" t="s">
        <v>1060</v>
      </c>
      <c r="C607" s="19" t="s">
        <v>834</v>
      </c>
      <c r="D607" s="20">
        <v>1061457289</v>
      </c>
      <c r="E607" s="21">
        <v>45689</v>
      </c>
      <c r="F607" s="18">
        <f>MONTH(Data!$E607)</f>
        <v>2</v>
      </c>
      <c r="G607" s="16">
        <f>YEAR(Data!$E607)</f>
        <v>2025</v>
      </c>
      <c r="H607" s="19" t="s">
        <v>11</v>
      </c>
      <c r="I607" s="15" t="str">
        <f t="shared" si="9"/>
        <v>Doanh nghiệp</v>
      </c>
      <c r="J607" s="15" t="s">
        <v>1284</v>
      </c>
      <c r="K607" s="19" t="s">
        <v>1266</v>
      </c>
      <c r="L607" s="32">
        <f>Data!$D607/10^6</f>
        <v>1061.4572889999999</v>
      </c>
    </row>
    <row r="608" spans="1:12" x14ac:dyDescent="0.25">
      <c r="A608" s="30" t="s">
        <v>87</v>
      </c>
      <c r="B608" s="15" t="s">
        <v>1117</v>
      </c>
      <c r="C608" s="19" t="s">
        <v>46</v>
      </c>
      <c r="D608" s="20">
        <v>107954545</v>
      </c>
      <c r="E608" s="21">
        <v>45689</v>
      </c>
      <c r="F608" s="18">
        <f>MONTH(Data!$E608)</f>
        <v>2</v>
      </c>
      <c r="G608" s="16">
        <f>YEAR(Data!$E608)</f>
        <v>2025</v>
      </c>
      <c r="H608" s="19" t="s">
        <v>29</v>
      </c>
      <c r="I608" s="15" t="str">
        <f t="shared" si="9"/>
        <v>Doanh nghiệp</v>
      </c>
      <c r="J608" s="15" t="s">
        <v>1285</v>
      </c>
      <c r="K608" s="19" t="s">
        <v>1271</v>
      </c>
      <c r="L608" s="32">
        <f>Data!$D608/10^6</f>
        <v>107.954545</v>
      </c>
    </row>
    <row r="609" spans="1:12" x14ac:dyDescent="0.25">
      <c r="A609" s="30" t="s">
        <v>87</v>
      </c>
      <c r="B609" s="15" t="s">
        <v>1118</v>
      </c>
      <c r="C609" s="19" t="s">
        <v>46</v>
      </c>
      <c r="D609" s="20">
        <v>131818182</v>
      </c>
      <c r="E609" s="21">
        <v>45689</v>
      </c>
      <c r="F609" s="18">
        <f>MONTH(Data!$E609)</f>
        <v>2</v>
      </c>
      <c r="G609" s="16">
        <f>YEAR(Data!$E609)</f>
        <v>2025</v>
      </c>
      <c r="H609" s="19" t="s">
        <v>29</v>
      </c>
      <c r="I609" s="15" t="str">
        <f t="shared" si="9"/>
        <v>Doanh nghiệp</v>
      </c>
      <c r="J609" s="15" t="s">
        <v>1284</v>
      </c>
      <c r="K609" s="19" t="s">
        <v>1271</v>
      </c>
      <c r="L609" s="32">
        <f>Data!$D609/10^6</f>
        <v>131.81818200000001</v>
      </c>
    </row>
    <row r="610" spans="1:12" x14ac:dyDescent="0.25">
      <c r="A610" s="30" t="s">
        <v>87</v>
      </c>
      <c r="B610" s="15" t="s">
        <v>1119</v>
      </c>
      <c r="C610" s="19" t="s">
        <v>46</v>
      </c>
      <c r="D610" s="20">
        <v>68952727</v>
      </c>
      <c r="E610" s="21">
        <v>45689</v>
      </c>
      <c r="F610" s="18">
        <f>MONTH(Data!$E610)</f>
        <v>2</v>
      </c>
      <c r="G610" s="16">
        <f>YEAR(Data!$E610)</f>
        <v>2025</v>
      </c>
      <c r="H610" s="19" t="s">
        <v>29</v>
      </c>
      <c r="I610" s="15" t="str">
        <f t="shared" si="9"/>
        <v>Doanh nghiệp</v>
      </c>
      <c r="J610" s="15" t="s">
        <v>1285</v>
      </c>
      <c r="K610" s="19" t="s">
        <v>1271</v>
      </c>
      <c r="L610" s="32">
        <f>Data!$D610/10^6</f>
        <v>68.952726999999996</v>
      </c>
    </row>
    <row r="611" spans="1:12" x14ac:dyDescent="0.25">
      <c r="A611" s="30" t="s">
        <v>85</v>
      </c>
      <c r="B611" s="19" t="s">
        <v>835</v>
      </c>
      <c r="C611" s="19" t="s">
        <v>10</v>
      </c>
      <c r="D611" s="20">
        <v>44995000</v>
      </c>
      <c r="E611" s="21">
        <v>45689</v>
      </c>
      <c r="F611" s="18">
        <f>MONTH(Data!$E611)</f>
        <v>2</v>
      </c>
      <c r="G611" s="16">
        <f>YEAR(Data!$E611)</f>
        <v>2025</v>
      </c>
      <c r="H611" s="19" t="s">
        <v>15</v>
      </c>
      <c r="I611" s="15" t="str">
        <f t="shared" si="9"/>
        <v>Sở ban ngành</v>
      </c>
      <c r="J611" s="15" t="s">
        <v>1284</v>
      </c>
      <c r="K611" s="19" t="s">
        <v>1263</v>
      </c>
      <c r="L611" s="32">
        <f>Data!$D611/10^6</f>
        <v>44.994999999999997</v>
      </c>
    </row>
    <row r="612" spans="1:12" x14ac:dyDescent="0.25">
      <c r="A612" s="30" t="s">
        <v>77</v>
      </c>
      <c r="B612" s="19" t="s">
        <v>1252</v>
      </c>
      <c r="C612" s="19" t="s">
        <v>10</v>
      </c>
      <c r="D612" s="20">
        <v>484600909</v>
      </c>
      <c r="E612" s="21">
        <v>45689</v>
      </c>
      <c r="F612" s="18">
        <f>MONTH(Data!$E612)</f>
        <v>2</v>
      </c>
      <c r="G612" s="16">
        <f>YEAR(Data!$E612)</f>
        <v>2025</v>
      </c>
      <c r="H612" s="19" t="s">
        <v>35</v>
      </c>
      <c r="I612" s="15" t="str">
        <f t="shared" si="9"/>
        <v>Sở ban ngành</v>
      </c>
      <c r="J612" s="15" t="s">
        <v>1285</v>
      </c>
      <c r="K612" s="19" t="s">
        <v>1263</v>
      </c>
      <c r="L612" s="32">
        <f>Data!$D612/10^6</f>
        <v>484.600909</v>
      </c>
    </row>
    <row r="613" spans="1:12" x14ac:dyDescent="0.25">
      <c r="A613" s="30" t="s">
        <v>255</v>
      </c>
      <c r="B613" s="19" t="s">
        <v>824</v>
      </c>
      <c r="C613" s="19" t="s">
        <v>14</v>
      </c>
      <c r="D613" s="20">
        <v>1714723636</v>
      </c>
      <c r="E613" s="21">
        <v>45689</v>
      </c>
      <c r="F613" s="18">
        <f>MONTH(Data!$E613)</f>
        <v>2</v>
      </c>
      <c r="G613" s="16">
        <f>YEAR(Data!$E613)</f>
        <v>2025</v>
      </c>
      <c r="H613" s="19" t="s">
        <v>11</v>
      </c>
      <c r="I613" s="15" t="str">
        <f t="shared" si="9"/>
        <v>Sở ban ngành</v>
      </c>
      <c r="J613" s="15" t="s">
        <v>1284</v>
      </c>
      <c r="K613" s="19" t="s">
        <v>1273</v>
      </c>
      <c r="L613" s="32">
        <f>Data!$D613/10^6</f>
        <v>1714.7236359999999</v>
      </c>
    </row>
    <row r="614" spans="1:12" x14ac:dyDescent="0.25">
      <c r="A614" s="30" t="s">
        <v>146</v>
      </c>
      <c r="B614" s="19" t="s">
        <v>356</v>
      </c>
      <c r="C614" s="19" t="s">
        <v>10</v>
      </c>
      <c r="D614" s="20">
        <v>87609091</v>
      </c>
      <c r="E614" s="21">
        <v>45689</v>
      </c>
      <c r="F614" s="18">
        <f>MONTH(Data!$E614)</f>
        <v>2</v>
      </c>
      <c r="G614" s="16">
        <f>YEAR(Data!$E614)</f>
        <v>2025</v>
      </c>
      <c r="H614" s="19" t="s">
        <v>32</v>
      </c>
      <c r="I614" s="15" t="str">
        <f t="shared" si="9"/>
        <v>Sở ban ngành</v>
      </c>
      <c r="J614" s="15" t="s">
        <v>1285</v>
      </c>
      <c r="K614" s="19" t="s">
        <v>1267</v>
      </c>
      <c r="L614" s="32">
        <f>Data!$D614/10^6</f>
        <v>87.609091000000006</v>
      </c>
    </row>
    <row r="615" spans="1:12" x14ac:dyDescent="0.25">
      <c r="A615" s="30" t="s">
        <v>146</v>
      </c>
      <c r="B615" s="19" t="s">
        <v>356</v>
      </c>
      <c r="C615" s="19" t="s">
        <v>10</v>
      </c>
      <c r="D615" s="20">
        <v>90468182</v>
      </c>
      <c r="E615" s="21">
        <v>45689</v>
      </c>
      <c r="F615" s="18">
        <f>MONTH(Data!$E615)</f>
        <v>2</v>
      </c>
      <c r="G615" s="16">
        <f>YEAR(Data!$E615)</f>
        <v>2025</v>
      </c>
      <c r="H615" s="19" t="s">
        <v>32</v>
      </c>
      <c r="I615" s="15" t="str">
        <f t="shared" si="9"/>
        <v>Sở ban ngành</v>
      </c>
      <c r="J615" s="15" t="s">
        <v>1284</v>
      </c>
      <c r="K615" s="19" t="s">
        <v>1263</v>
      </c>
      <c r="L615" s="32">
        <f>Data!$D615/10^6</f>
        <v>90.468181999999999</v>
      </c>
    </row>
    <row r="616" spans="1:12" x14ac:dyDescent="0.25">
      <c r="A616" s="30" t="s">
        <v>146</v>
      </c>
      <c r="B616" s="19" t="s">
        <v>356</v>
      </c>
      <c r="C616" s="19" t="s">
        <v>10</v>
      </c>
      <c r="D616" s="20">
        <v>90122727</v>
      </c>
      <c r="E616" s="21">
        <v>45689</v>
      </c>
      <c r="F616" s="18">
        <f>MONTH(Data!$E616)</f>
        <v>2</v>
      </c>
      <c r="G616" s="16">
        <f>YEAR(Data!$E616)</f>
        <v>2025</v>
      </c>
      <c r="H616" s="19" t="s">
        <v>32</v>
      </c>
      <c r="I616" s="15" t="str">
        <f t="shared" si="9"/>
        <v>Sở ban ngành</v>
      </c>
      <c r="J616" s="15" t="s">
        <v>1285</v>
      </c>
      <c r="K616" s="19" t="s">
        <v>1263</v>
      </c>
      <c r="L616" s="32">
        <f>Data!$D616/10^6</f>
        <v>90.122726999999998</v>
      </c>
    </row>
    <row r="617" spans="1:12" x14ac:dyDescent="0.25">
      <c r="A617" s="30" t="s">
        <v>62</v>
      </c>
      <c r="B617" s="19" t="s">
        <v>82</v>
      </c>
      <c r="C617" s="19" t="s">
        <v>10</v>
      </c>
      <c r="D617" s="20">
        <v>36192727</v>
      </c>
      <c r="E617" s="21">
        <v>45689</v>
      </c>
      <c r="F617" s="18">
        <f>MONTH(Data!$E617)</f>
        <v>2</v>
      </c>
      <c r="G617" s="16">
        <f>YEAR(Data!$E617)</f>
        <v>2025</v>
      </c>
      <c r="H617" s="19" t="s">
        <v>15</v>
      </c>
      <c r="I617" s="15" t="str">
        <f t="shared" si="9"/>
        <v>Sở ban ngành</v>
      </c>
      <c r="J617" s="15" t="s">
        <v>1284</v>
      </c>
      <c r="K617" s="19" t="s">
        <v>1263</v>
      </c>
      <c r="L617" s="32">
        <f>Data!$D617/10^6</f>
        <v>36.192726999999998</v>
      </c>
    </row>
    <row r="618" spans="1:12" x14ac:dyDescent="0.25">
      <c r="A618" s="30" t="s">
        <v>48</v>
      </c>
      <c r="B618" s="19" t="s">
        <v>823</v>
      </c>
      <c r="C618" s="19" t="s">
        <v>10</v>
      </c>
      <c r="D618" s="20">
        <v>35516727</v>
      </c>
      <c r="E618" s="21">
        <v>45689</v>
      </c>
      <c r="F618" s="18">
        <f>MONTH(Data!$E618)</f>
        <v>2</v>
      </c>
      <c r="G618" s="16">
        <f>YEAR(Data!$E618)</f>
        <v>2025</v>
      </c>
      <c r="H618" s="19" t="s">
        <v>25</v>
      </c>
      <c r="I618" s="15" t="str">
        <f t="shared" si="9"/>
        <v>Sở ban ngành</v>
      </c>
      <c r="J618" s="15" t="s">
        <v>1285</v>
      </c>
      <c r="K618" s="19" t="s">
        <v>1262</v>
      </c>
      <c r="L618" s="32">
        <f>Data!$D618/10^6</f>
        <v>35.516727000000003</v>
      </c>
    </row>
    <row r="619" spans="1:12" x14ac:dyDescent="0.25">
      <c r="A619" s="30" t="s">
        <v>160</v>
      </c>
      <c r="B619" s="19" t="s">
        <v>831</v>
      </c>
      <c r="C619" s="19" t="s">
        <v>46</v>
      </c>
      <c r="D619" s="20">
        <v>236121582</v>
      </c>
      <c r="E619" s="21">
        <v>45689</v>
      </c>
      <c r="F619" s="18">
        <f>MONTH(Data!$E619)</f>
        <v>2</v>
      </c>
      <c r="G619" s="16">
        <f>YEAR(Data!$E619)</f>
        <v>2025</v>
      </c>
      <c r="H619" s="19" t="s">
        <v>35</v>
      </c>
      <c r="I619" s="15" t="str">
        <f t="shared" si="9"/>
        <v>Sở ban ngành</v>
      </c>
      <c r="J619" s="15" t="s">
        <v>1284</v>
      </c>
      <c r="K619" s="19" t="s">
        <v>1265</v>
      </c>
      <c r="L619" s="32">
        <f>Data!$D619/10^6</f>
        <v>236.12158199999999</v>
      </c>
    </row>
    <row r="620" spans="1:12" x14ac:dyDescent="0.25">
      <c r="A620" s="30" t="s">
        <v>37</v>
      </c>
      <c r="B620" s="19" t="s">
        <v>851</v>
      </c>
      <c r="C620" s="19" t="s">
        <v>10</v>
      </c>
      <c r="D620" s="20">
        <v>6806364</v>
      </c>
      <c r="E620" s="21">
        <v>45689</v>
      </c>
      <c r="F620" s="18">
        <f>MONTH(Data!$E620)</f>
        <v>2</v>
      </c>
      <c r="G620" s="16">
        <f>YEAR(Data!$E620)</f>
        <v>2025</v>
      </c>
      <c r="H620" s="19" t="s">
        <v>11</v>
      </c>
      <c r="I620" s="15" t="str">
        <f t="shared" si="9"/>
        <v>Sở ban ngành</v>
      </c>
      <c r="J620" s="15" t="s">
        <v>1285</v>
      </c>
      <c r="K620" s="19" t="s">
        <v>1267</v>
      </c>
      <c r="L620" s="32">
        <f>Data!$D620/10^6</f>
        <v>6.8063640000000003</v>
      </c>
    </row>
    <row r="621" spans="1:12" x14ac:dyDescent="0.25">
      <c r="A621" s="30" t="s">
        <v>17</v>
      </c>
      <c r="B621" s="19" t="s">
        <v>286</v>
      </c>
      <c r="C621" s="19" t="s">
        <v>10</v>
      </c>
      <c r="D621" s="20">
        <v>33100000</v>
      </c>
      <c r="E621" s="21">
        <v>45689</v>
      </c>
      <c r="F621" s="18">
        <f>MONTH(Data!$E621)</f>
        <v>2</v>
      </c>
      <c r="G621" s="16">
        <f>YEAR(Data!$E621)</f>
        <v>2025</v>
      </c>
      <c r="H621" s="19" t="s">
        <v>11</v>
      </c>
      <c r="I621" s="15" t="str">
        <f t="shared" si="9"/>
        <v>Sở ban ngành</v>
      </c>
      <c r="J621" s="15" t="s">
        <v>1284</v>
      </c>
      <c r="K621" s="19" t="s">
        <v>1262</v>
      </c>
      <c r="L621" s="32">
        <f>Data!$D621/10^6</f>
        <v>33.1</v>
      </c>
    </row>
    <row r="622" spans="1:12" x14ac:dyDescent="0.25">
      <c r="A622" s="30" t="s">
        <v>37</v>
      </c>
      <c r="B622" s="19" t="s">
        <v>849</v>
      </c>
      <c r="C622" s="19" t="s">
        <v>41</v>
      </c>
      <c r="D622" s="20">
        <v>42980909</v>
      </c>
      <c r="E622" s="21">
        <v>45689</v>
      </c>
      <c r="F622" s="18">
        <f>MONTH(Data!$E622)</f>
        <v>2</v>
      </c>
      <c r="G622" s="16">
        <f>YEAR(Data!$E622)</f>
        <v>2025</v>
      </c>
      <c r="H622" s="19" t="s">
        <v>11</v>
      </c>
      <c r="I622" s="15" t="str">
        <f t="shared" si="9"/>
        <v>Sở ban ngành</v>
      </c>
      <c r="J622" s="15" t="s">
        <v>1285</v>
      </c>
      <c r="K622" s="19" t="s">
        <v>1263</v>
      </c>
      <c r="L622" s="32">
        <f>Data!$D622/10^6</f>
        <v>42.980908999999997</v>
      </c>
    </row>
    <row r="623" spans="1:12" x14ac:dyDescent="0.25">
      <c r="A623" s="30" t="s">
        <v>30</v>
      </c>
      <c r="B623" s="19" t="s">
        <v>856</v>
      </c>
      <c r="C623" s="19" t="s">
        <v>41</v>
      </c>
      <c r="D623" s="20">
        <v>45445455</v>
      </c>
      <c r="E623" s="21">
        <v>45689</v>
      </c>
      <c r="F623" s="18">
        <f>MONTH(Data!$E623)</f>
        <v>2</v>
      </c>
      <c r="G623" s="16">
        <f>YEAR(Data!$E623)</f>
        <v>2025</v>
      </c>
      <c r="H623" s="19" t="s">
        <v>32</v>
      </c>
      <c r="I623" s="15" t="str">
        <f t="shared" si="9"/>
        <v>Sở ban ngành</v>
      </c>
      <c r="J623" s="15" t="s">
        <v>1284</v>
      </c>
      <c r="K623" s="19" t="s">
        <v>1272</v>
      </c>
      <c r="L623" s="32">
        <f>Data!$D623/10^6</f>
        <v>45.445455000000003</v>
      </c>
    </row>
    <row r="624" spans="1:12" x14ac:dyDescent="0.25">
      <c r="A624" s="30" t="s">
        <v>30</v>
      </c>
      <c r="B624" s="19" t="s">
        <v>822</v>
      </c>
      <c r="C624" s="19" t="s">
        <v>10</v>
      </c>
      <c r="D624" s="20">
        <v>90818182</v>
      </c>
      <c r="E624" s="21">
        <v>45689</v>
      </c>
      <c r="F624" s="18">
        <f>MONTH(Data!$E624)</f>
        <v>2</v>
      </c>
      <c r="G624" s="16">
        <f>YEAR(Data!$E624)</f>
        <v>2025</v>
      </c>
      <c r="H624" s="19" t="s">
        <v>32</v>
      </c>
      <c r="I624" s="15" t="str">
        <f t="shared" si="9"/>
        <v>Sở ban ngành</v>
      </c>
      <c r="J624" s="15" t="s">
        <v>1285</v>
      </c>
      <c r="K624" s="19" t="s">
        <v>1267</v>
      </c>
      <c r="L624" s="32">
        <f>Data!$D624/10^6</f>
        <v>90.818181999999993</v>
      </c>
    </row>
    <row r="625" spans="1:12" x14ac:dyDescent="0.25">
      <c r="A625" s="30" t="s">
        <v>30</v>
      </c>
      <c r="B625" s="19" t="s">
        <v>853</v>
      </c>
      <c r="C625" s="19" t="s">
        <v>41</v>
      </c>
      <c r="D625" s="20">
        <v>45445455</v>
      </c>
      <c r="E625" s="21">
        <v>45689</v>
      </c>
      <c r="F625" s="18">
        <f>MONTH(Data!$E625)</f>
        <v>2</v>
      </c>
      <c r="G625" s="16">
        <f>YEAR(Data!$E625)</f>
        <v>2025</v>
      </c>
      <c r="H625" s="19" t="s">
        <v>32</v>
      </c>
      <c r="I625" s="15" t="str">
        <f t="shared" si="9"/>
        <v>Sở ban ngành</v>
      </c>
      <c r="J625" s="15" t="s">
        <v>1284</v>
      </c>
      <c r="K625" s="19" t="s">
        <v>1272</v>
      </c>
      <c r="L625" s="32">
        <f>Data!$D625/10^6</f>
        <v>45.445455000000003</v>
      </c>
    </row>
    <row r="626" spans="1:12" x14ac:dyDescent="0.25">
      <c r="A626" s="30" t="s">
        <v>30</v>
      </c>
      <c r="B626" s="19" t="s">
        <v>858</v>
      </c>
      <c r="C626" s="19" t="s">
        <v>41</v>
      </c>
      <c r="D626" s="20">
        <v>45445455</v>
      </c>
      <c r="E626" s="21">
        <v>45689</v>
      </c>
      <c r="F626" s="18">
        <f>MONTH(Data!$E626)</f>
        <v>2</v>
      </c>
      <c r="G626" s="16">
        <f>YEAR(Data!$E626)</f>
        <v>2025</v>
      </c>
      <c r="H626" s="19" t="s">
        <v>32</v>
      </c>
      <c r="I626" s="15" t="str">
        <f t="shared" si="9"/>
        <v>Sở ban ngành</v>
      </c>
      <c r="J626" s="15" t="s">
        <v>1285</v>
      </c>
      <c r="K626" s="19" t="s">
        <v>1272</v>
      </c>
      <c r="L626" s="32">
        <f>Data!$D626/10^6</f>
        <v>45.445455000000003</v>
      </c>
    </row>
    <row r="627" spans="1:12" x14ac:dyDescent="0.25">
      <c r="A627" s="30" t="s">
        <v>30</v>
      </c>
      <c r="B627" s="19" t="s">
        <v>857</v>
      </c>
      <c r="C627" s="19" t="s">
        <v>41</v>
      </c>
      <c r="D627" s="20">
        <v>45445455</v>
      </c>
      <c r="E627" s="21">
        <v>45689</v>
      </c>
      <c r="F627" s="18">
        <f>MONTH(Data!$E627)</f>
        <v>2</v>
      </c>
      <c r="G627" s="16">
        <f>YEAR(Data!$E627)</f>
        <v>2025</v>
      </c>
      <c r="H627" s="19" t="s">
        <v>32</v>
      </c>
      <c r="I627" s="15" t="str">
        <f t="shared" si="9"/>
        <v>Sở ban ngành</v>
      </c>
      <c r="J627" s="15" t="s">
        <v>1284</v>
      </c>
      <c r="K627" s="19" t="s">
        <v>1272</v>
      </c>
      <c r="L627" s="32">
        <f>Data!$D627/10^6</f>
        <v>45.445455000000003</v>
      </c>
    </row>
    <row r="628" spans="1:12" x14ac:dyDescent="0.25">
      <c r="A628" s="30" t="s">
        <v>30</v>
      </c>
      <c r="B628" s="19" t="s">
        <v>857</v>
      </c>
      <c r="C628" s="19" t="s">
        <v>41</v>
      </c>
      <c r="D628" s="20">
        <v>45445455</v>
      </c>
      <c r="E628" s="21">
        <v>45689</v>
      </c>
      <c r="F628" s="18">
        <f>MONTH(Data!$E628)</f>
        <v>2</v>
      </c>
      <c r="G628" s="16">
        <f>YEAR(Data!$E628)</f>
        <v>2025</v>
      </c>
      <c r="H628" s="19" t="s">
        <v>32</v>
      </c>
      <c r="I628" s="15" t="str">
        <f t="shared" si="9"/>
        <v>Sở ban ngành</v>
      </c>
      <c r="J628" s="15" t="s">
        <v>1285</v>
      </c>
      <c r="K628" s="19" t="s">
        <v>1272</v>
      </c>
      <c r="L628" s="32">
        <f>Data!$D628/10^6</f>
        <v>45.445455000000003</v>
      </c>
    </row>
    <row r="629" spans="1:12" x14ac:dyDescent="0.25">
      <c r="A629" s="30" t="s">
        <v>30</v>
      </c>
      <c r="B629" s="19" t="s">
        <v>854</v>
      </c>
      <c r="C629" s="19" t="s">
        <v>41</v>
      </c>
      <c r="D629" s="20">
        <v>45445455</v>
      </c>
      <c r="E629" s="21">
        <v>45689</v>
      </c>
      <c r="F629" s="18">
        <f>MONTH(Data!$E629)</f>
        <v>2</v>
      </c>
      <c r="G629" s="16">
        <f>YEAR(Data!$E629)</f>
        <v>2025</v>
      </c>
      <c r="H629" s="19" t="s">
        <v>32</v>
      </c>
      <c r="I629" s="15" t="str">
        <f t="shared" si="9"/>
        <v>Sở ban ngành</v>
      </c>
      <c r="J629" s="15" t="s">
        <v>1284</v>
      </c>
      <c r="K629" s="19" t="s">
        <v>1272</v>
      </c>
      <c r="L629" s="32">
        <f>Data!$D629/10^6</f>
        <v>45.445455000000003</v>
      </c>
    </row>
    <row r="630" spans="1:12" x14ac:dyDescent="0.25">
      <c r="A630" s="30" t="s">
        <v>37</v>
      </c>
      <c r="B630" s="19" t="s">
        <v>837</v>
      </c>
      <c r="C630" s="19" t="s">
        <v>41</v>
      </c>
      <c r="D630" s="20">
        <v>38700000</v>
      </c>
      <c r="E630" s="21">
        <v>45689</v>
      </c>
      <c r="F630" s="18">
        <f>MONTH(Data!$E630)</f>
        <v>2</v>
      </c>
      <c r="G630" s="16">
        <f>YEAR(Data!$E630)</f>
        <v>2025</v>
      </c>
      <c r="H630" s="19" t="s">
        <v>11</v>
      </c>
      <c r="I630" s="15" t="str">
        <f t="shared" si="9"/>
        <v>Sở ban ngành</v>
      </c>
      <c r="J630" s="15" t="s">
        <v>1285</v>
      </c>
      <c r="K630" s="19" t="s">
        <v>1269</v>
      </c>
      <c r="L630" s="32">
        <f>Data!$D630/10^6</f>
        <v>38.700000000000003</v>
      </c>
    </row>
    <row r="631" spans="1:12" x14ac:dyDescent="0.25">
      <c r="A631" s="30" t="s">
        <v>28</v>
      </c>
      <c r="B631" s="19" t="s">
        <v>382</v>
      </c>
      <c r="C631" s="19" t="s">
        <v>41</v>
      </c>
      <c r="D631" s="20">
        <v>247520653</v>
      </c>
      <c r="E631" s="21">
        <v>45689</v>
      </c>
      <c r="F631" s="18">
        <f>MONTH(Data!$E631)</f>
        <v>2</v>
      </c>
      <c r="G631" s="16">
        <f>YEAR(Data!$E631)</f>
        <v>2025</v>
      </c>
      <c r="H631" s="19" t="s">
        <v>29</v>
      </c>
      <c r="I631" s="15" t="str">
        <f t="shared" si="9"/>
        <v>Sở ban ngành</v>
      </c>
      <c r="J631" s="15" t="s">
        <v>1284</v>
      </c>
      <c r="K631" s="19" t="s">
        <v>1275</v>
      </c>
      <c r="L631" s="32">
        <f>Data!$D631/10^6</f>
        <v>247.52065300000001</v>
      </c>
    </row>
    <row r="632" spans="1:12" x14ac:dyDescent="0.25">
      <c r="A632" s="30" t="s">
        <v>37</v>
      </c>
      <c r="B632" s="19" t="s">
        <v>845</v>
      </c>
      <c r="C632" s="19" t="s">
        <v>41</v>
      </c>
      <c r="D632" s="20">
        <v>41863636</v>
      </c>
      <c r="E632" s="21">
        <v>45689</v>
      </c>
      <c r="F632" s="18">
        <f>MONTH(Data!$E632)</f>
        <v>2</v>
      </c>
      <c r="G632" s="16">
        <f>YEAR(Data!$E632)</f>
        <v>2025</v>
      </c>
      <c r="H632" s="19" t="s">
        <v>11</v>
      </c>
      <c r="I632" s="15" t="str">
        <f t="shared" si="9"/>
        <v>Sở ban ngành</v>
      </c>
      <c r="J632" s="15" t="s">
        <v>1285</v>
      </c>
      <c r="K632" s="19" t="s">
        <v>1269</v>
      </c>
      <c r="L632" s="32">
        <f>Data!$D632/10^6</f>
        <v>41.863636</v>
      </c>
    </row>
    <row r="633" spans="1:12" x14ac:dyDescent="0.25">
      <c r="A633" s="30" t="s">
        <v>30</v>
      </c>
      <c r="B633" s="19" t="s">
        <v>855</v>
      </c>
      <c r="C633" s="19" t="s">
        <v>41</v>
      </c>
      <c r="D633" s="20">
        <v>45445455</v>
      </c>
      <c r="E633" s="21">
        <v>45689</v>
      </c>
      <c r="F633" s="18">
        <f>MONTH(Data!$E633)</f>
        <v>2</v>
      </c>
      <c r="G633" s="16">
        <f>YEAR(Data!$E633)</f>
        <v>2025</v>
      </c>
      <c r="H633" s="19" t="s">
        <v>32</v>
      </c>
      <c r="I633" s="15" t="str">
        <f t="shared" si="9"/>
        <v>Sở ban ngành</v>
      </c>
      <c r="J633" s="15" t="s">
        <v>1284</v>
      </c>
      <c r="K633" s="19" t="s">
        <v>1272</v>
      </c>
      <c r="L633" s="32">
        <f>Data!$D633/10^6</f>
        <v>45.445455000000003</v>
      </c>
    </row>
    <row r="634" spans="1:12" x14ac:dyDescent="0.25">
      <c r="A634" s="30" t="s">
        <v>37</v>
      </c>
      <c r="B634" s="19" t="s">
        <v>282</v>
      </c>
      <c r="C634" s="19" t="s">
        <v>46</v>
      </c>
      <c r="D634" s="20">
        <v>40909091</v>
      </c>
      <c r="E634" s="21">
        <v>45689</v>
      </c>
      <c r="F634" s="18">
        <f>MONTH(Data!$E634)</f>
        <v>2</v>
      </c>
      <c r="G634" s="16">
        <f>YEAR(Data!$E634)</f>
        <v>2025</v>
      </c>
      <c r="H634" s="19" t="s">
        <v>11</v>
      </c>
      <c r="I634" s="15" t="str">
        <f t="shared" si="9"/>
        <v>Sở ban ngành</v>
      </c>
      <c r="J634" s="15" t="s">
        <v>1285</v>
      </c>
      <c r="K634" s="19" t="s">
        <v>1271</v>
      </c>
      <c r="L634" s="32">
        <f>Data!$D634/10^6</f>
        <v>40.909090999999997</v>
      </c>
    </row>
    <row r="635" spans="1:12" x14ac:dyDescent="0.25">
      <c r="A635" s="30" t="s">
        <v>37</v>
      </c>
      <c r="B635" s="19" t="s">
        <v>282</v>
      </c>
      <c r="C635" s="19" t="s">
        <v>46</v>
      </c>
      <c r="D635" s="20">
        <v>22727273</v>
      </c>
      <c r="E635" s="21">
        <v>45689</v>
      </c>
      <c r="F635" s="18">
        <f>MONTH(Data!$E635)</f>
        <v>2</v>
      </c>
      <c r="G635" s="16">
        <f>YEAR(Data!$E635)</f>
        <v>2025</v>
      </c>
      <c r="H635" s="19" t="s">
        <v>11</v>
      </c>
      <c r="I635" s="15" t="str">
        <f t="shared" si="9"/>
        <v>Sở ban ngành</v>
      </c>
      <c r="J635" s="15" t="s">
        <v>1284</v>
      </c>
      <c r="K635" s="19" t="s">
        <v>1271</v>
      </c>
      <c r="L635" s="32">
        <f>Data!$D635/10^6</f>
        <v>22.727273</v>
      </c>
    </row>
    <row r="636" spans="1:12" x14ac:dyDescent="0.25">
      <c r="A636" s="30" t="s">
        <v>73</v>
      </c>
      <c r="B636" s="19" t="s">
        <v>825</v>
      </c>
      <c r="C636" s="19" t="s">
        <v>41</v>
      </c>
      <c r="D636" s="20">
        <v>71545455</v>
      </c>
      <c r="E636" s="21">
        <v>45689</v>
      </c>
      <c r="F636" s="18">
        <f>MONTH(Data!$E636)</f>
        <v>2</v>
      </c>
      <c r="G636" s="16">
        <f>YEAR(Data!$E636)</f>
        <v>2025</v>
      </c>
      <c r="H636" s="19" t="s">
        <v>32</v>
      </c>
      <c r="I636" s="15" t="str">
        <f t="shared" si="9"/>
        <v>Sở ban ngành</v>
      </c>
      <c r="J636" s="15" t="s">
        <v>1285</v>
      </c>
      <c r="K636" s="19" t="s">
        <v>1269</v>
      </c>
      <c r="L636" s="32">
        <f>Data!$D636/10^6</f>
        <v>71.545455000000004</v>
      </c>
    </row>
    <row r="637" spans="1:12" x14ac:dyDescent="0.25">
      <c r="A637" s="30" t="s">
        <v>37</v>
      </c>
      <c r="B637" s="19" t="s">
        <v>860</v>
      </c>
      <c r="C637" s="19" t="s">
        <v>41</v>
      </c>
      <c r="D637" s="20">
        <v>40763636</v>
      </c>
      <c r="E637" s="21">
        <v>45689</v>
      </c>
      <c r="F637" s="18">
        <f>MONTH(Data!$E637)</f>
        <v>2</v>
      </c>
      <c r="G637" s="16">
        <f>YEAR(Data!$E637)</f>
        <v>2025</v>
      </c>
      <c r="H637" s="19" t="s">
        <v>11</v>
      </c>
      <c r="I637" s="15" t="str">
        <f t="shared" si="9"/>
        <v>Sở ban ngành</v>
      </c>
      <c r="J637" s="15" t="s">
        <v>1284</v>
      </c>
      <c r="K637" s="19" t="s">
        <v>1269</v>
      </c>
      <c r="L637" s="32">
        <f>Data!$D637/10^6</f>
        <v>40.763635999999998</v>
      </c>
    </row>
    <row r="638" spans="1:12" x14ac:dyDescent="0.25">
      <c r="A638" s="30" t="s">
        <v>37</v>
      </c>
      <c r="B638" s="19" t="s">
        <v>850</v>
      </c>
      <c r="C638" s="19" t="s">
        <v>41</v>
      </c>
      <c r="D638" s="20">
        <v>41988182</v>
      </c>
      <c r="E638" s="21">
        <v>45689</v>
      </c>
      <c r="F638" s="18">
        <f>MONTH(Data!$E638)</f>
        <v>2</v>
      </c>
      <c r="G638" s="16">
        <f>YEAR(Data!$E638)</f>
        <v>2025</v>
      </c>
      <c r="H638" s="19" t="s">
        <v>11</v>
      </c>
      <c r="I638" s="15" t="str">
        <f t="shared" si="9"/>
        <v>Sở ban ngành</v>
      </c>
      <c r="J638" s="15" t="s">
        <v>1285</v>
      </c>
      <c r="K638" s="19" t="s">
        <v>1269</v>
      </c>
      <c r="L638" s="32">
        <f>Data!$D638/10^6</f>
        <v>41.988182000000002</v>
      </c>
    </row>
    <row r="639" spans="1:12" x14ac:dyDescent="0.25">
      <c r="A639" s="30" t="s">
        <v>37</v>
      </c>
      <c r="B639" s="19" t="s">
        <v>844</v>
      </c>
      <c r="C639" s="19" t="s">
        <v>41</v>
      </c>
      <c r="D639" s="20">
        <v>41863636</v>
      </c>
      <c r="E639" s="21">
        <v>45689</v>
      </c>
      <c r="F639" s="18">
        <f>MONTH(Data!$E639)</f>
        <v>2</v>
      </c>
      <c r="G639" s="16">
        <f>YEAR(Data!$E639)</f>
        <v>2025</v>
      </c>
      <c r="H639" s="19" t="s">
        <v>11</v>
      </c>
      <c r="I639" s="15" t="str">
        <f t="shared" si="9"/>
        <v>Sở ban ngành</v>
      </c>
      <c r="J639" s="15" t="s">
        <v>1284</v>
      </c>
      <c r="K639" s="19" t="s">
        <v>1269</v>
      </c>
      <c r="L639" s="32">
        <f>Data!$D639/10^6</f>
        <v>41.863636</v>
      </c>
    </row>
    <row r="640" spans="1:12" x14ac:dyDescent="0.25">
      <c r="A640" s="30" t="s">
        <v>37</v>
      </c>
      <c r="B640" s="19" t="s">
        <v>840</v>
      </c>
      <c r="C640" s="19" t="s">
        <v>10</v>
      </c>
      <c r="D640" s="20">
        <v>13256364</v>
      </c>
      <c r="E640" s="21">
        <v>45689</v>
      </c>
      <c r="F640" s="18">
        <f>MONTH(Data!$E640)</f>
        <v>2</v>
      </c>
      <c r="G640" s="16">
        <f>YEAR(Data!$E640)</f>
        <v>2025</v>
      </c>
      <c r="H640" s="19" t="s">
        <v>11</v>
      </c>
      <c r="I640" s="15" t="str">
        <f t="shared" si="9"/>
        <v>Sở ban ngành</v>
      </c>
      <c r="J640" s="15" t="s">
        <v>1285</v>
      </c>
      <c r="K640" s="19" t="s">
        <v>1263</v>
      </c>
      <c r="L640" s="32">
        <f>Data!$D640/10^6</f>
        <v>13.256364</v>
      </c>
    </row>
    <row r="641" spans="1:12" x14ac:dyDescent="0.25">
      <c r="A641" s="30" t="s">
        <v>37</v>
      </c>
      <c r="B641" s="19" t="s">
        <v>846</v>
      </c>
      <c r="C641" s="19" t="s">
        <v>10</v>
      </c>
      <c r="D641" s="20">
        <v>13256364</v>
      </c>
      <c r="E641" s="21">
        <v>45689</v>
      </c>
      <c r="F641" s="18">
        <f>MONTH(Data!$E641)</f>
        <v>2</v>
      </c>
      <c r="G641" s="16">
        <f>YEAR(Data!$E641)</f>
        <v>2025</v>
      </c>
      <c r="H641" s="19" t="s">
        <v>11</v>
      </c>
      <c r="I641" s="15" t="str">
        <f t="shared" si="9"/>
        <v>Sở ban ngành</v>
      </c>
      <c r="J641" s="15" t="s">
        <v>1284</v>
      </c>
      <c r="K641" s="19" t="s">
        <v>1263</v>
      </c>
      <c r="L641" s="32">
        <f>Data!$D641/10^6</f>
        <v>13.256364</v>
      </c>
    </row>
    <row r="642" spans="1:12" x14ac:dyDescent="0.25">
      <c r="A642" s="30" t="s">
        <v>37</v>
      </c>
      <c r="B642" s="19" t="s">
        <v>841</v>
      </c>
      <c r="C642" s="19" t="s">
        <v>10</v>
      </c>
      <c r="D642" s="20">
        <v>12388182</v>
      </c>
      <c r="E642" s="21">
        <v>45689</v>
      </c>
      <c r="F642" s="18">
        <f>MONTH(Data!$E642)</f>
        <v>2</v>
      </c>
      <c r="G642" s="16">
        <f>YEAR(Data!$E642)</f>
        <v>2025</v>
      </c>
      <c r="H642" s="19" t="s">
        <v>11</v>
      </c>
      <c r="I642" s="15" t="str">
        <f t="shared" si="9"/>
        <v>Sở ban ngành</v>
      </c>
      <c r="J642" s="15" t="s">
        <v>1285</v>
      </c>
      <c r="K642" s="19" t="s">
        <v>1267</v>
      </c>
      <c r="L642" s="32">
        <f>Data!$D642/10^6</f>
        <v>12.388182</v>
      </c>
    </row>
    <row r="643" spans="1:12" x14ac:dyDescent="0.25">
      <c r="A643" s="30" t="s">
        <v>37</v>
      </c>
      <c r="B643" s="19" t="s">
        <v>861</v>
      </c>
      <c r="C643" s="19" t="s">
        <v>10</v>
      </c>
      <c r="D643" s="20">
        <v>13380909</v>
      </c>
      <c r="E643" s="21">
        <v>45689</v>
      </c>
      <c r="F643" s="18">
        <f>MONTH(Data!$E643)</f>
        <v>2</v>
      </c>
      <c r="G643" s="16">
        <f>YEAR(Data!$E643)</f>
        <v>2025</v>
      </c>
      <c r="H643" s="19" t="s">
        <v>11</v>
      </c>
      <c r="I643" s="15" t="str">
        <f t="shared" ref="I643:I706" si="10">IF(ISNUMBER(SEARCH("Công ty",$B643)),"Doanh nghiệp",IF(ISNUMBER(SEARCH("Doanh nghiệp",$B643)),"Doanh nghiệp",IF(ISNUMBER(SEARCH("Tập đoàn",$B643)),"Doanh nghiệp",
IF(ISNUMBER(SEARCH("Bệnh viện",$B643)),"Bệnh viện",
IF(ISNUMBER(SEARCH("Ngân hàng",$B643)),"Ngân hàng",IF(ISNUMBER(SEARCH("trường",$B643)),"Trường học",IF(ISNUMBER(SEARCH("học viện",$B643)),"Trường học",
IF(ISNUMBER(SEARCH("Bộ",$B643)),"Sở ban ngành",IF(ISNUMBER(SEARCH("Đoàn",$B643)),"Sở ban ngành",IF(ISNUMBER(SEARCH("Phòng",$B643)),"Sở ban ngành",IF(ISNUMBER(SEARCH("UBND",$B643)),"Sở ban ngành",IF(ISNUMBER(SEARCH("ủy ban",$B643)),"Sở ban ngành",IF(ISNUMBER(SEARCH("công an",$B643)),"Sở ban ngành",IF(ISNUMBER(SEARCH("sở",$B643)),"Sở ban ngành",IF(ISNUMBER(SEARCH("thôn",$B643)),"Sở ban ngành",IF(ISNUMBER(SEARCH("xã",$B643)),"Sở ban ngành",IF(ISNUMBER(SEARCH("quân khu",$B643)),"Sở ban ngành",IF(ISNUMBER(SEARCH("cục",$B643)),"Sở ban ngành",IF(ISNUMBER(SEARCH("viện",$B643)),"Sở ban ngành",IF(ISNUMBER(SEARCH("quỹ",$B643)),"Sở ban ngành",IF(ISNUMBER(SEARCH("trung tâm",$B643)),"Sở ban ngành",IF(ISNUMBER(SEARCH("quân chủng",$B643)),"Sở ban ngành",IF(ISNUMBER(SEARCH("hội",$B643)),"Sở ban ngành",
"Khác")))))))))))))))))))))))</f>
        <v>Sở ban ngành</v>
      </c>
      <c r="J643" s="15" t="s">
        <v>1284</v>
      </c>
      <c r="K643" s="19" t="s">
        <v>1263</v>
      </c>
      <c r="L643" s="32">
        <f>Data!$D643/10^6</f>
        <v>13.380909000000001</v>
      </c>
    </row>
    <row r="644" spans="1:12" x14ac:dyDescent="0.25">
      <c r="A644" s="30" t="s">
        <v>30</v>
      </c>
      <c r="B644" s="19" t="s">
        <v>821</v>
      </c>
      <c r="C644" s="19" t="s">
        <v>10</v>
      </c>
      <c r="D644" s="20">
        <v>90818182</v>
      </c>
      <c r="E644" s="21">
        <v>45689</v>
      </c>
      <c r="F644" s="18">
        <f>MONTH(Data!$E644)</f>
        <v>2</v>
      </c>
      <c r="G644" s="16">
        <f>YEAR(Data!$E644)</f>
        <v>2025</v>
      </c>
      <c r="H644" s="19" t="s">
        <v>32</v>
      </c>
      <c r="I644" s="15" t="str">
        <f t="shared" si="10"/>
        <v>Sở ban ngành</v>
      </c>
      <c r="J644" s="15" t="s">
        <v>1285</v>
      </c>
      <c r="K644" s="19" t="s">
        <v>1267</v>
      </c>
      <c r="L644" s="32">
        <f>Data!$D644/10^6</f>
        <v>90.818181999999993</v>
      </c>
    </row>
    <row r="645" spans="1:12" x14ac:dyDescent="0.25">
      <c r="A645" s="30" t="s">
        <v>17</v>
      </c>
      <c r="B645" s="19" t="s">
        <v>828</v>
      </c>
      <c r="C645" s="19" t="s">
        <v>41</v>
      </c>
      <c r="D645" s="20">
        <v>324654545</v>
      </c>
      <c r="E645" s="21">
        <v>45689</v>
      </c>
      <c r="F645" s="18">
        <f>MONTH(Data!$E645)</f>
        <v>2</v>
      </c>
      <c r="G645" s="16">
        <f>YEAR(Data!$E645)</f>
        <v>2025</v>
      </c>
      <c r="H645" s="19" t="s">
        <v>11</v>
      </c>
      <c r="I645" s="15" t="str">
        <f t="shared" si="10"/>
        <v>Sở ban ngành</v>
      </c>
      <c r="J645" s="15" t="s">
        <v>1284</v>
      </c>
      <c r="K645" s="19" t="s">
        <v>1269</v>
      </c>
      <c r="L645" s="32">
        <f>Data!$D645/10^6</f>
        <v>324.65454499999998</v>
      </c>
    </row>
    <row r="646" spans="1:12" x14ac:dyDescent="0.25">
      <c r="A646" s="30" t="s">
        <v>37</v>
      </c>
      <c r="B646" s="19" t="s">
        <v>848</v>
      </c>
      <c r="C646" s="19" t="s">
        <v>41</v>
      </c>
      <c r="D646" s="20">
        <v>40888182</v>
      </c>
      <c r="E646" s="21">
        <v>45689</v>
      </c>
      <c r="F646" s="18">
        <f>MONTH(Data!$E646)</f>
        <v>2</v>
      </c>
      <c r="G646" s="16">
        <f>YEAR(Data!$E646)</f>
        <v>2025</v>
      </c>
      <c r="H646" s="19" t="s">
        <v>11</v>
      </c>
      <c r="I646" s="15" t="str">
        <f t="shared" si="10"/>
        <v>Sở ban ngành</v>
      </c>
      <c r="J646" s="15" t="s">
        <v>1285</v>
      </c>
      <c r="K646" s="19" t="s">
        <v>1269</v>
      </c>
      <c r="L646" s="32">
        <f>Data!$D646/10^6</f>
        <v>40.888182</v>
      </c>
    </row>
    <row r="647" spans="1:12" x14ac:dyDescent="0.25">
      <c r="A647" s="30" t="s">
        <v>37</v>
      </c>
      <c r="B647" s="19" t="s">
        <v>859</v>
      </c>
      <c r="C647" s="19" t="s">
        <v>41</v>
      </c>
      <c r="D647" s="20">
        <v>41988182</v>
      </c>
      <c r="E647" s="21">
        <v>45689</v>
      </c>
      <c r="F647" s="18">
        <f>MONTH(Data!$E647)</f>
        <v>2</v>
      </c>
      <c r="G647" s="16">
        <f>YEAR(Data!$E647)</f>
        <v>2025</v>
      </c>
      <c r="H647" s="19" t="s">
        <v>11</v>
      </c>
      <c r="I647" s="15" t="str">
        <f t="shared" si="10"/>
        <v>Sở ban ngành</v>
      </c>
      <c r="J647" s="15" t="s">
        <v>1284</v>
      </c>
      <c r="K647" s="19" t="s">
        <v>1269</v>
      </c>
      <c r="L647" s="32">
        <f>Data!$D647/10^6</f>
        <v>41.988182000000002</v>
      </c>
    </row>
    <row r="648" spans="1:12" x14ac:dyDescent="0.25">
      <c r="A648" s="30" t="s">
        <v>37</v>
      </c>
      <c r="B648" s="19" t="s">
        <v>847</v>
      </c>
      <c r="C648" s="19" t="s">
        <v>41</v>
      </c>
      <c r="D648" s="20">
        <v>40888182</v>
      </c>
      <c r="E648" s="21">
        <v>45689</v>
      </c>
      <c r="F648" s="18">
        <f>MONTH(Data!$E648)</f>
        <v>2</v>
      </c>
      <c r="G648" s="16">
        <f>YEAR(Data!$E648)</f>
        <v>2025</v>
      </c>
      <c r="H648" s="19" t="s">
        <v>11</v>
      </c>
      <c r="I648" s="15" t="str">
        <f t="shared" si="10"/>
        <v>Sở ban ngành</v>
      </c>
      <c r="J648" s="15" t="s">
        <v>1285</v>
      </c>
      <c r="K648" s="19" t="s">
        <v>1269</v>
      </c>
      <c r="L648" s="32">
        <f>Data!$D648/10^6</f>
        <v>40.888182</v>
      </c>
    </row>
    <row r="649" spans="1:12" x14ac:dyDescent="0.25">
      <c r="A649" s="30" t="s">
        <v>72</v>
      </c>
      <c r="B649" s="19" t="s">
        <v>212</v>
      </c>
      <c r="C649" s="19" t="s">
        <v>149</v>
      </c>
      <c r="D649" s="20">
        <v>23890909</v>
      </c>
      <c r="E649" s="21">
        <v>45689</v>
      </c>
      <c r="F649" s="18">
        <f>MONTH(Data!$E649)</f>
        <v>2</v>
      </c>
      <c r="G649" s="16">
        <f>YEAR(Data!$E649)</f>
        <v>2025</v>
      </c>
      <c r="H649" s="19" t="s">
        <v>22</v>
      </c>
      <c r="I649" s="15" t="str">
        <f t="shared" si="10"/>
        <v>Sở ban ngành</v>
      </c>
      <c r="J649" s="15" t="s">
        <v>1284</v>
      </c>
      <c r="K649" s="19" t="s">
        <v>1262</v>
      </c>
      <c r="L649" s="32">
        <f>Data!$D649/10^6</f>
        <v>23.890909000000001</v>
      </c>
    </row>
    <row r="650" spans="1:12" x14ac:dyDescent="0.25">
      <c r="A650" s="30" t="s">
        <v>95</v>
      </c>
      <c r="B650" s="19" t="s">
        <v>829</v>
      </c>
      <c r="C650" s="19" t="s">
        <v>41</v>
      </c>
      <c r="D650" s="20">
        <v>205000000</v>
      </c>
      <c r="E650" s="21">
        <v>45689</v>
      </c>
      <c r="F650" s="18">
        <f>MONTH(Data!$E650)</f>
        <v>2</v>
      </c>
      <c r="G650" s="16">
        <f>YEAR(Data!$E650)</f>
        <v>2025</v>
      </c>
      <c r="H650" s="19" t="s">
        <v>35</v>
      </c>
      <c r="I650" s="15" t="str">
        <f t="shared" si="10"/>
        <v>Sở ban ngành</v>
      </c>
      <c r="J650" s="15" t="s">
        <v>1285</v>
      </c>
      <c r="K650" s="19" t="s">
        <v>1269</v>
      </c>
      <c r="L650" s="32">
        <f>Data!$D650/10^6</f>
        <v>205</v>
      </c>
    </row>
    <row r="651" spans="1:12" x14ac:dyDescent="0.25">
      <c r="A651" s="30" t="s">
        <v>30</v>
      </c>
      <c r="B651" s="19" t="s">
        <v>852</v>
      </c>
      <c r="C651" s="19" t="s">
        <v>41</v>
      </c>
      <c r="D651" s="20">
        <v>45445455</v>
      </c>
      <c r="E651" s="21">
        <v>45689</v>
      </c>
      <c r="F651" s="18">
        <f>MONTH(Data!$E651)</f>
        <v>2</v>
      </c>
      <c r="G651" s="16">
        <f>YEAR(Data!$E651)</f>
        <v>2025</v>
      </c>
      <c r="H651" s="19" t="s">
        <v>32</v>
      </c>
      <c r="I651" s="15" t="str">
        <f t="shared" si="10"/>
        <v>Sở ban ngành</v>
      </c>
      <c r="J651" s="15" t="s">
        <v>1284</v>
      </c>
      <c r="K651" s="19" t="s">
        <v>1272</v>
      </c>
      <c r="L651" s="32">
        <f>Data!$D651/10^6</f>
        <v>45.445455000000003</v>
      </c>
    </row>
    <row r="652" spans="1:12" x14ac:dyDescent="0.25">
      <c r="A652" s="30" t="s">
        <v>37</v>
      </c>
      <c r="B652" s="19" t="s">
        <v>843</v>
      </c>
      <c r="C652" s="19" t="s">
        <v>10</v>
      </c>
      <c r="D652" s="20">
        <v>6806364</v>
      </c>
      <c r="E652" s="21">
        <v>45689</v>
      </c>
      <c r="F652" s="18">
        <f>MONTH(Data!$E652)</f>
        <v>2</v>
      </c>
      <c r="G652" s="16">
        <f>YEAR(Data!$E652)</f>
        <v>2025</v>
      </c>
      <c r="H652" s="19" t="s">
        <v>11</v>
      </c>
      <c r="I652" s="15" t="str">
        <f t="shared" si="10"/>
        <v>Sở ban ngành</v>
      </c>
      <c r="J652" s="15" t="s">
        <v>1285</v>
      </c>
      <c r="K652" s="19" t="s">
        <v>1267</v>
      </c>
      <c r="L652" s="32">
        <f>Data!$D652/10^6</f>
        <v>6.8063640000000003</v>
      </c>
    </row>
    <row r="653" spans="1:12" x14ac:dyDescent="0.25">
      <c r="A653" s="30" t="s">
        <v>56</v>
      </c>
      <c r="B653" s="19" t="s">
        <v>839</v>
      </c>
      <c r="C653" s="19" t="s">
        <v>14</v>
      </c>
      <c r="D653" s="20">
        <v>315681818</v>
      </c>
      <c r="E653" s="21">
        <v>45689</v>
      </c>
      <c r="F653" s="18">
        <f>MONTH(Data!$E653)</f>
        <v>2</v>
      </c>
      <c r="G653" s="16">
        <f>YEAR(Data!$E653)</f>
        <v>2025</v>
      </c>
      <c r="H653" s="19" t="s">
        <v>25</v>
      </c>
      <c r="I653" s="15" t="str">
        <f t="shared" si="10"/>
        <v>Sở ban ngành</v>
      </c>
      <c r="J653" s="15" t="s">
        <v>1284</v>
      </c>
      <c r="K653" s="19" t="s">
        <v>1266</v>
      </c>
      <c r="L653" s="32">
        <f>Data!$D653/10^6</f>
        <v>315.68181800000002</v>
      </c>
    </row>
    <row r="654" spans="1:12" x14ac:dyDescent="0.25">
      <c r="A654" s="30" t="s">
        <v>37</v>
      </c>
      <c r="B654" s="19" t="s">
        <v>842</v>
      </c>
      <c r="C654" s="19" t="s">
        <v>41</v>
      </c>
      <c r="D654" s="20">
        <v>41756364</v>
      </c>
      <c r="E654" s="21">
        <v>45689</v>
      </c>
      <c r="F654" s="18">
        <f>MONTH(Data!$E654)</f>
        <v>2</v>
      </c>
      <c r="G654" s="16">
        <f>YEAR(Data!$E654)</f>
        <v>2025</v>
      </c>
      <c r="H654" s="19" t="s">
        <v>11</v>
      </c>
      <c r="I654" s="15" t="str">
        <f t="shared" si="10"/>
        <v>Trường học</v>
      </c>
      <c r="J654" s="15" t="s">
        <v>1285</v>
      </c>
      <c r="K654" s="19" t="s">
        <v>1263</v>
      </c>
      <c r="L654" s="32">
        <f>Data!$D654/10^6</f>
        <v>41.756363999999998</v>
      </c>
    </row>
    <row r="655" spans="1:12" x14ac:dyDescent="0.25">
      <c r="A655" s="30" t="s">
        <v>65</v>
      </c>
      <c r="B655" s="19" t="s">
        <v>833</v>
      </c>
      <c r="C655" s="19" t="s">
        <v>41</v>
      </c>
      <c r="D655" s="20">
        <v>25480000</v>
      </c>
      <c r="E655" s="21">
        <v>45689</v>
      </c>
      <c r="F655" s="18">
        <f>MONTH(Data!$E655)</f>
        <v>2</v>
      </c>
      <c r="G655" s="16">
        <f>YEAR(Data!$E655)</f>
        <v>2025</v>
      </c>
      <c r="H655" s="19" t="s">
        <v>25</v>
      </c>
      <c r="I655" s="15" t="str">
        <f t="shared" si="10"/>
        <v>Trường học</v>
      </c>
      <c r="J655" s="15" t="s">
        <v>1284</v>
      </c>
      <c r="K655" s="19" t="s">
        <v>1269</v>
      </c>
      <c r="L655" s="32">
        <f>Data!$D655/10^6</f>
        <v>25.48</v>
      </c>
    </row>
    <row r="656" spans="1:12" x14ac:dyDescent="0.25">
      <c r="A656" s="30" t="s">
        <v>85</v>
      </c>
      <c r="B656" s="19" t="s">
        <v>600</v>
      </c>
      <c r="C656" s="19" t="s">
        <v>10</v>
      </c>
      <c r="D656" s="20">
        <v>8700175</v>
      </c>
      <c r="E656" s="21">
        <v>45689</v>
      </c>
      <c r="F656" s="18">
        <f>MONTH(Data!$E656)</f>
        <v>2</v>
      </c>
      <c r="G656" s="16">
        <f>YEAR(Data!$E656)</f>
        <v>2025</v>
      </c>
      <c r="H656" s="19" t="s">
        <v>15</v>
      </c>
      <c r="I656" s="15" t="str">
        <f t="shared" si="10"/>
        <v>Trường học</v>
      </c>
      <c r="J656" s="15" t="s">
        <v>1285</v>
      </c>
      <c r="K656" s="19" t="s">
        <v>1263</v>
      </c>
      <c r="L656" s="32">
        <f>Data!$D656/10^6</f>
        <v>8.7001749999999998</v>
      </c>
    </row>
    <row r="657" spans="1:12" x14ac:dyDescent="0.25">
      <c r="A657" s="30" t="s">
        <v>56</v>
      </c>
      <c r="B657" s="19" t="s">
        <v>832</v>
      </c>
      <c r="C657" s="19" t="s">
        <v>10</v>
      </c>
      <c r="D657" s="20">
        <v>44846364</v>
      </c>
      <c r="E657" s="21">
        <v>45689</v>
      </c>
      <c r="F657" s="18">
        <f>MONTH(Data!$E657)</f>
        <v>2</v>
      </c>
      <c r="G657" s="16">
        <f>YEAR(Data!$E657)</f>
        <v>2025</v>
      </c>
      <c r="H657" s="19" t="s">
        <v>25</v>
      </c>
      <c r="I657" s="15" t="str">
        <f t="shared" si="10"/>
        <v>Trường học</v>
      </c>
      <c r="J657" s="15" t="s">
        <v>1284</v>
      </c>
      <c r="K657" s="19" t="s">
        <v>1263</v>
      </c>
      <c r="L657" s="32">
        <f>Data!$D657/10^6</f>
        <v>44.846364000000001</v>
      </c>
    </row>
    <row r="658" spans="1:12" x14ac:dyDescent="0.25">
      <c r="A658" s="30" t="s">
        <v>13</v>
      </c>
      <c r="B658" s="19" t="s">
        <v>838</v>
      </c>
      <c r="C658" s="19" t="s">
        <v>10</v>
      </c>
      <c r="D658" s="20">
        <v>36682727</v>
      </c>
      <c r="E658" s="21">
        <v>45689</v>
      </c>
      <c r="F658" s="18">
        <f>MONTH(Data!$E658)</f>
        <v>2</v>
      </c>
      <c r="G658" s="16">
        <f>YEAR(Data!$E658)</f>
        <v>2025</v>
      </c>
      <c r="H658" s="19" t="s">
        <v>15</v>
      </c>
      <c r="I658" s="15" t="str">
        <f t="shared" si="10"/>
        <v>Trường học</v>
      </c>
      <c r="J658" s="15" t="s">
        <v>1285</v>
      </c>
      <c r="K658" s="19" t="s">
        <v>1262</v>
      </c>
      <c r="L658" s="32">
        <f>Data!$D658/10^6</f>
        <v>36.682727</v>
      </c>
    </row>
    <row r="659" spans="1:12" x14ac:dyDescent="0.25">
      <c r="A659" s="30" t="s">
        <v>160</v>
      </c>
      <c r="B659" s="19" t="s">
        <v>827</v>
      </c>
      <c r="C659" s="19" t="s">
        <v>10</v>
      </c>
      <c r="D659" s="20">
        <v>30154545</v>
      </c>
      <c r="E659" s="21">
        <v>45689</v>
      </c>
      <c r="F659" s="18">
        <f>MONTH(Data!$E659)</f>
        <v>2</v>
      </c>
      <c r="G659" s="16">
        <f>YEAR(Data!$E659)</f>
        <v>2025</v>
      </c>
      <c r="H659" s="19" t="s">
        <v>35</v>
      </c>
      <c r="I659" s="15" t="str">
        <f t="shared" si="10"/>
        <v>Trường học</v>
      </c>
      <c r="J659" s="15" t="s">
        <v>1284</v>
      </c>
      <c r="K659" s="19" t="s">
        <v>1267</v>
      </c>
      <c r="L659" s="32">
        <f>Data!$D659/10^6</f>
        <v>30.154544999999999</v>
      </c>
    </row>
    <row r="660" spans="1:12" x14ac:dyDescent="0.25">
      <c r="A660" s="29" t="s">
        <v>21</v>
      </c>
      <c r="B660" s="15" t="s">
        <v>247</v>
      </c>
      <c r="C660" s="15" t="s">
        <v>149</v>
      </c>
      <c r="D660" s="16">
        <v>8190909</v>
      </c>
      <c r="E660" s="17">
        <v>45352</v>
      </c>
      <c r="F660" s="18">
        <f>MONTH(Data!$E660)</f>
        <v>3</v>
      </c>
      <c r="G660" s="16">
        <f>YEAR(Data!$E660)</f>
        <v>2024</v>
      </c>
      <c r="H660" s="15" t="s">
        <v>22</v>
      </c>
      <c r="I660" s="15" t="str">
        <f t="shared" si="10"/>
        <v>Bệnh viện</v>
      </c>
      <c r="J660" s="15" t="s">
        <v>1285</v>
      </c>
      <c r="K660" s="15" t="s">
        <v>1275</v>
      </c>
      <c r="L660" s="32">
        <f>Data!$D660/10^6</f>
        <v>8.1909089999999996</v>
      </c>
    </row>
    <row r="661" spans="1:12" x14ac:dyDescent="0.25">
      <c r="A661" s="29" t="s">
        <v>51</v>
      </c>
      <c r="B661" s="15" t="s">
        <v>1119</v>
      </c>
      <c r="C661" s="15" t="s">
        <v>149</v>
      </c>
      <c r="D661" s="16">
        <v>38087405</v>
      </c>
      <c r="E661" s="17">
        <v>45352</v>
      </c>
      <c r="F661" s="18">
        <f>MONTH(Data!$E661)</f>
        <v>3</v>
      </c>
      <c r="G661" s="16">
        <f>YEAR(Data!$E661)</f>
        <v>2024</v>
      </c>
      <c r="H661" s="15" t="s">
        <v>42</v>
      </c>
      <c r="I661" s="15" t="str">
        <f t="shared" si="10"/>
        <v>Doanh nghiệp</v>
      </c>
      <c r="J661" s="15" t="s">
        <v>1284</v>
      </c>
      <c r="K661" s="15" t="s">
        <v>1265</v>
      </c>
      <c r="L661" s="32">
        <f>Data!$D661/10^6</f>
        <v>38.087404999999997</v>
      </c>
    </row>
    <row r="662" spans="1:12" x14ac:dyDescent="0.25">
      <c r="A662" s="29" t="s">
        <v>51</v>
      </c>
      <c r="B662" s="15" t="s">
        <v>1120</v>
      </c>
      <c r="C662" s="15" t="s">
        <v>149</v>
      </c>
      <c r="D662" s="16">
        <v>38087405</v>
      </c>
      <c r="E662" s="17">
        <v>45352</v>
      </c>
      <c r="F662" s="18">
        <f>MONTH(Data!$E662)</f>
        <v>3</v>
      </c>
      <c r="G662" s="16">
        <f>YEAR(Data!$E662)</f>
        <v>2024</v>
      </c>
      <c r="H662" s="15" t="s">
        <v>42</v>
      </c>
      <c r="I662" s="15" t="str">
        <f t="shared" si="10"/>
        <v>Doanh nghiệp</v>
      </c>
      <c r="J662" s="15" t="s">
        <v>1285</v>
      </c>
      <c r="K662" s="15" t="s">
        <v>1271</v>
      </c>
      <c r="L662" s="32">
        <f>Data!$D662/10^6</f>
        <v>38.087404999999997</v>
      </c>
    </row>
    <row r="663" spans="1:12" x14ac:dyDescent="0.25">
      <c r="A663" s="29" t="s">
        <v>209</v>
      </c>
      <c r="B663" s="15" t="s">
        <v>1040</v>
      </c>
      <c r="C663" s="15" t="s">
        <v>46</v>
      </c>
      <c r="D663" s="16">
        <v>212207430</v>
      </c>
      <c r="E663" s="17">
        <v>45352</v>
      </c>
      <c r="F663" s="18">
        <f>MONTH(Data!$E663)</f>
        <v>3</v>
      </c>
      <c r="G663" s="16">
        <f>YEAR(Data!$E663)</f>
        <v>2024</v>
      </c>
      <c r="H663" s="15" t="s">
        <v>32</v>
      </c>
      <c r="I663" s="15" t="str">
        <f t="shared" si="10"/>
        <v>Doanh nghiệp</v>
      </c>
      <c r="J663" s="15" t="s">
        <v>1284</v>
      </c>
      <c r="K663" s="15" t="s">
        <v>1265</v>
      </c>
      <c r="L663" s="32">
        <f>Data!$D663/10^6</f>
        <v>212.20742999999999</v>
      </c>
    </row>
    <row r="664" spans="1:12" x14ac:dyDescent="0.25">
      <c r="A664" s="29" t="s">
        <v>17</v>
      </c>
      <c r="B664" s="15" t="s">
        <v>1064</v>
      </c>
      <c r="C664" s="15" t="s">
        <v>10</v>
      </c>
      <c r="D664" s="16">
        <v>222824000</v>
      </c>
      <c r="E664" s="17">
        <v>45352</v>
      </c>
      <c r="F664" s="18">
        <f>MONTH(Data!$E664)</f>
        <v>3</v>
      </c>
      <c r="G664" s="16">
        <f>YEAR(Data!$E664)</f>
        <v>2024</v>
      </c>
      <c r="H664" s="15" t="s">
        <v>11</v>
      </c>
      <c r="I664" s="15" t="str">
        <f t="shared" si="10"/>
        <v>Doanh nghiệp</v>
      </c>
      <c r="J664" s="15" t="s">
        <v>1285</v>
      </c>
      <c r="K664" s="15" t="s">
        <v>1263</v>
      </c>
      <c r="L664" s="32">
        <f>Data!$D664/10^6</f>
        <v>222.82400000000001</v>
      </c>
    </row>
    <row r="665" spans="1:12" x14ac:dyDescent="0.25">
      <c r="A665" s="29" t="s">
        <v>17</v>
      </c>
      <c r="B665" s="15" t="s">
        <v>1065</v>
      </c>
      <c r="C665" s="15" t="s">
        <v>10</v>
      </c>
      <c r="D665" s="16">
        <v>163074000</v>
      </c>
      <c r="E665" s="17">
        <v>45352</v>
      </c>
      <c r="F665" s="18">
        <f>MONTH(Data!$E665)</f>
        <v>3</v>
      </c>
      <c r="G665" s="16">
        <f>YEAR(Data!$E665)</f>
        <v>2024</v>
      </c>
      <c r="H665" s="15" t="s">
        <v>11</v>
      </c>
      <c r="I665" s="15" t="str">
        <f t="shared" si="10"/>
        <v>Doanh nghiệp</v>
      </c>
      <c r="J665" s="15" t="s">
        <v>1284</v>
      </c>
      <c r="K665" s="15" t="s">
        <v>1263</v>
      </c>
      <c r="L665" s="32">
        <f>Data!$D665/10^6</f>
        <v>163.07400000000001</v>
      </c>
    </row>
    <row r="666" spans="1:12" x14ac:dyDescent="0.25">
      <c r="A666" s="29" t="s">
        <v>107</v>
      </c>
      <c r="B666" s="15" t="s">
        <v>1067</v>
      </c>
      <c r="C666" s="15" t="s">
        <v>149</v>
      </c>
      <c r="D666" s="16">
        <v>25727564</v>
      </c>
      <c r="E666" s="17">
        <v>45352</v>
      </c>
      <c r="F666" s="18">
        <f>MONTH(Data!$E666)</f>
        <v>3</v>
      </c>
      <c r="G666" s="16">
        <f>YEAR(Data!$E666)</f>
        <v>2024</v>
      </c>
      <c r="H666" s="15" t="s">
        <v>42</v>
      </c>
      <c r="I666" s="15" t="str">
        <f t="shared" si="10"/>
        <v>Doanh nghiệp</v>
      </c>
      <c r="J666" s="15" t="s">
        <v>1285</v>
      </c>
      <c r="K666" s="15" t="s">
        <v>1265</v>
      </c>
      <c r="L666" s="32">
        <f>Data!$D666/10^6</f>
        <v>25.727564000000001</v>
      </c>
    </row>
    <row r="667" spans="1:12" x14ac:dyDescent="0.25">
      <c r="A667" s="29" t="s">
        <v>127</v>
      </c>
      <c r="B667" s="15" t="s">
        <v>1089</v>
      </c>
      <c r="C667" s="15" t="s">
        <v>10</v>
      </c>
      <c r="D667" s="16">
        <v>16555636</v>
      </c>
      <c r="E667" s="17">
        <v>45352</v>
      </c>
      <c r="F667" s="18">
        <f>MONTH(Data!$E667)</f>
        <v>3</v>
      </c>
      <c r="G667" s="16">
        <f>YEAR(Data!$E667)</f>
        <v>2024</v>
      </c>
      <c r="H667" s="15" t="s">
        <v>32</v>
      </c>
      <c r="I667" s="15" t="str">
        <f t="shared" si="10"/>
        <v>Doanh nghiệp</v>
      </c>
      <c r="J667" s="15" t="s">
        <v>1284</v>
      </c>
      <c r="K667" s="15" t="s">
        <v>1263</v>
      </c>
      <c r="L667" s="32">
        <f>Data!$D667/10^6</f>
        <v>16.555636</v>
      </c>
    </row>
    <row r="668" spans="1:12" x14ac:dyDescent="0.25">
      <c r="A668" s="29" t="s">
        <v>102</v>
      </c>
      <c r="B668" s="15" t="s">
        <v>1028</v>
      </c>
      <c r="C668" s="15" t="s">
        <v>149</v>
      </c>
      <c r="D668" s="16">
        <v>44476364</v>
      </c>
      <c r="E668" s="17">
        <v>45352</v>
      </c>
      <c r="F668" s="18">
        <f>MONTH(Data!$E668)</f>
        <v>3</v>
      </c>
      <c r="G668" s="16">
        <f>YEAR(Data!$E668)</f>
        <v>2024</v>
      </c>
      <c r="H668" s="15" t="s">
        <v>22</v>
      </c>
      <c r="I668" s="15" t="str">
        <f t="shared" si="10"/>
        <v>Doanh nghiệp</v>
      </c>
      <c r="J668" s="15" t="s">
        <v>1285</v>
      </c>
      <c r="K668" s="15" t="s">
        <v>1263</v>
      </c>
      <c r="L668" s="32">
        <f>Data!$D668/10^6</f>
        <v>44.476363999999997</v>
      </c>
    </row>
    <row r="669" spans="1:12" x14ac:dyDescent="0.25">
      <c r="A669" s="29" t="s">
        <v>51</v>
      </c>
      <c r="B669" s="15" t="s">
        <v>1052</v>
      </c>
      <c r="C669" s="15" t="s">
        <v>149</v>
      </c>
      <c r="D669" s="16">
        <v>38087405</v>
      </c>
      <c r="E669" s="17">
        <v>45352</v>
      </c>
      <c r="F669" s="18">
        <f>MONTH(Data!$E669)</f>
        <v>3</v>
      </c>
      <c r="G669" s="16">
        <f>YEAR(Data!$E669)</f>
        <v>2024</v>
      </c>
      <c r="H669" s="15" t="s">
        <v>42</v>
      </c>
      <c r="I669" s="15" t="str">
        <f t="shared" si="10"/>
        <v>Doanh nghiệp</v>
      </c>
      <c r="J669" s="15" t="s">
        <v>1284</v>
      </c>
      <c r="K669" s="15" t="s">
        <v>1265</v>
      </c>
      <c r="L669" s="32">
        <f>Data!$D669/10^6</f>
        <v>38.087404999999997</v>
      </c>
    </row>
    <row r="670" spans="1:12" x14ac:dyDescent="0.25">
      <c r="A670" s="29" t="s">
        <v>51</v>
      </c>
      <c r="B670" s="15" t="s">
        <v>1053</v>
      </c>
      <c r="C670" s="15" t="s">
        <v>149</v>
      </c>
      <c r="D670" s="16">
        <v>38087405</v>
      </c>
      <c r="E670" s="17">
        <v>45352</v>
      </c>
      <c r="F670" s="18">
        <f>MONTH(Data!$E670)</f>
        <v>3</v>
      </c>
      <c r="G670" s="16">
        <f>YEAR(Data!$E670)</f>
        <v>2024</v>
      </c>
      <c r="H670" s="15" t="s">
        <v>42</v>
      </c>
      <c r="I670" s="15" t="str">
        <f t="shared" si="10"/>
        <v>Doanh nghiệp</v>
      </c>
      <c r="J670" s="15" t="s">
        <v>1285</v>
      </c>
      <c r="K670" s="15" t="s">
        <v>1265</v>
      </c>
      <c r="L670" s="32">
        <f>Data!$D670/10^6</f>
        <v>38.087404999999997</v>
      </c>
    </row>
    <row r="671" spans="1:12" x14ac:dyDescent="0.25">
      <c r="A671" s="29" t="s">
        <v>74</v>
      </c>
      <c r="B671" s="15" t="s">
        <v>1096</v>
      </c>
      <c r="C671" s="15" t="s">
        <v>149</v>
      </c>
      <c r="D671" s="16">
        <v>40319139</v>
      </c>
      <c r="E671" s="17">
        <v>45352</v>
      </c>
      <c r="F671" s="18">
        <f>MONTH(Data!$E671)</f>
        <v>3</v>
      </c>
      <c r="G671" s="16">
        <f>YEAR(Data!$E671)</f>
        <v>2024</v>
      </c>
      <c r="H671" s="15" t="s">
        <v>11</v>
      </c>
      <c r="I671" s="15" t="str">
        <f t="shared" si="10"/>
        <v>Doanh nghiệp</v>
      </c>
      <c r="J671" s="15" t="s">
        <v>1284</v>
      </c>
      <c r="K671" s="15" t="s">
        <v>1266</v>
      </c>
      <c r="L671" s="32">
        <f>Data!$D671/10^6</f>
        <v>40.319139</v>
      </c>
    </row>
    <row r="672" spans="1:12" x14ac:dyDescent="0.25">
      <c r="A672" s="29" t="s">
        <v>45</v>
      </c>
      <c r="B672" s="15" t="s">
        <v>1052</v>
      </c>
      <c r="C672" s="15" t="s">
        <v>10</v>
      </c>
      <c r="D672" s="16">
        <v>53990000</v>
      </c>
      <c r="E672" s="17">
        <v>45352</v>
      </c>
      <c r="F672" s="18">
        <f>MONTH(Data!$E672)</f>
        <v>3</v>
      </c>
      <c r="G672" s="16">
        <f>YEAR(Data!$E672)</f>
        <v>2024</v>
      </c>
      <c r="H672" s="15" t="s">
        <v>29</v>
      </c>
      <c r="I672" s="15" t="str">
        <f t="shared" si="10"/>
        <v>Doanh nghiệp</v>
      </c>
      <c r="J672" s="15" t="s">
        <v>1285</v>
      </c>
      <c r="K672" s="15" t="s">
        <v>1263</v>
      </c>
      <c r="L672" s="32">
        <f>Data!$D672/10^6</f>
        <v>53.99</v>
      </c>
    </row>
    <row r="673" spans="1:12" x14ac:dyDescent="0.25">
      <c r="A673" s="29" t="s">
        <v>21</v>
      </c>
      <c r="B673" s="15" t="s">
        <v>1066</v>
      </c>
      <c r="C673" s="15" t="s">
        <v>46</v>
      </c>
      <c r="D673" s="16">
        <v>5469545455</v>
      </c>
      <c r="E673" s="17">
        <v>45352</v>
      </c>
      <c r="F673" s="18">
        <f>MONTH(Data!$E673)</f>
        <v>3</v>
      </c>
      <c r="G673" s="16">
        <f>YEAR(Data!$E673)</f>
        <v>2024</v>
      </c>
      <c r="H673" s="15" t="s">
        <v>22</v>
      </c>
      <c r="I673" s="15" t="str">
        <f t="shared" si="10"/>
        <v>Doanh nghiệp</v>
      </c>
      <c r="J673" s="15" t="s">
        <v>1284</v>
      </c>
      <c r="K673" s="15" t="s">
        <v>1265</v>
      </c>
      <c r="L673" s="32">
        <f>Data!$D673/10^6</f>
        <v>5469.5454550000004</v>
      </c>
    </row>
    <row r="674" spans="1:12" x14ac:dyDescent="0.25">
      <c r="A674" s="29" t="s">
        <v>52</v>
      </c>
      <c r="B674" s="15" t="s">
        <v>1077</v>
      </c>
      <c r="C674" s="15" t="s">
        <v>14</v>
      </c>
      <c r="D674" s="16">
        <v>121890000</v>
      </c>
      <c r="E674" s="17">
        <v>45352</v>
      </c>
      <c r="F674" s="18">
        <f>MONTH(Data!$E674)</f>
        <v>3</v>
      </c>
      <c r="G674" s="16">
        <f>YEAR(Data!$E674)</f>
        <v>2024</v>
      </c>
      <c r="H674" s="15" t="s">
        <v>35</v>
      </c>
      <c r="I674" s="15" t="str">
        <f t="shared" si="10"/>
        <v>Doanh nghiệp</v>
      </c>
      <c r="J674" s="15" t="s">
        <v>1285</v>
      </c>
      <c r="K674" s="15" t="s">
        <v>1275</v>
      </c>
      <c r="L674" s="32">
        <f>Data!$D674/10^6</f>
        <v>121.89</v>
      </c>
    </row>
    <row r="675" spans="1:12" x14ac:dyDescent="0.25">
      <c r="A675" s="29" t="s">
        <v>50</v>
      </c>
      <c r="B675" s="15" t="s">
        <v>1088</v>
      </c>
      <c r="C675" s="15" t="s">
        <v>10</v>
      </c>
      <c r="D675" s="16">
        <v>410909091</v>
      </c>
      <c r="E675" s="17">
        <v>45352</v>
      </c>
      <c r="F675" s="18">
        <f>MONTH(Data!$E675)</f>
        <v>3</v>
      </c>
      <c r="G675" s="16">
        <f>YEAR(Data!$E675)</f>
        <v>2024</v>
      </c>
      <c r="H675" s="15" t="s">
        <v>35</v>
      </c>
      <c r="I675" s="15" t="str">
        <f t="shared" si="10"/>
        <v>Doanh nghiệp</v>
      </c>
      <c r="J675" s="15" t="s">
        <v>1284</v>
      </c>
      <c r="K675" s="15" t="s">
        <v>1263</v>
      </c>
      <c r="L675" s="32">
        <f>Data!$D675/10^6</f>
        <v>410.90909099999999</v>
      </c>
    </row>
    <row r="676" spans="1:12" x14ac:dyDescent="0.25">
      <c r="A676" s="29" t="s">
        <v>30</v>
      </c>
      <c r="B676" s="15" t="s">
        <v>1109</v>
      </c>
      <c r="C676" s="15" t="s">
        <v>10</v>
      </c>
      <c r="D676" s="16">
        <v>103166301</v>
      </c>
      <c r="E676" s="17">
        <v>45352</v>
      </c>
      <c r="F676" s="18">
        <f>MONTH(Data!$E676)</f>
        <v>3</v>
      </c>
      <c r="G676" s="16">
        <f>YEAR(Data!$E676)</f>
        <v>2024</v>
      </c>
      <c r="H676" s="15" t="s">
        <v>32</v>
      </c>
      <c r="I676" s="15" t="str">
        <f t="shared" si="10"/>
        <v>Doanh nghiệp</v>
      </c>
      <c r="J676" s="15" t="s">
        <v>1285</v>
      </c>
      <c r="K676" s="15" t="s">
        <v>1263</v>
      </c>
      <c r="L676" s="32">
        <f>Data!$D676/10^6</f>
        <v>103.166301</v>
      </c>
    </row>
    <row r="677" spans="1:12" x14ac:dyDescent="0.25">
      <c r="A677" s="29" t="s">
        <v>52</v>
      </c>
      <c r="B677" s="15" t="s">
        <v>1110</v>
      </c>
      <c r="C677" s="15" t="s">
        <v>46</v>
      </c>
      <c r="D677" s="16">
        <v>166363636</v>
      </c>
      <c r="E677" s="17">
        <v>45352</v>
      </c>
      <c r="F677" s="18">
        <f>MONTH(Data!$E677)</f>
        <v>3</v>
      </c>
      <c r="G677" s="16">
        <f>YEAR(Data!$E677)</f>
        <v>2024</v>
      </c>
      <c r="H677" s="15" t="s">
        <v>35</v>
      </c>
      <c r="I677" s="15" t="str">
        <f t="shared" si="10"/>
        <v>Doanh nghiệp</v>
      </c>
      <c r="J677" s="15" t="s">
        <v>1284</v>
      </c>
      <c r="K677" s="15" t="s">
        <v>1265</v>
      </c>
      <c r="L677" s="32">
        <f>Data!$D677/10^6</f>
        <v>166.36363600000001</v>
      </c>
    </row>
    <row r="678" spans="1:12" x14ac:dyDescent="0.25">
      <c r="A678" s="29" t="s">
        <v>77</v>
      </c>
      <c r="B678" s="15" t="s">
        <v>1116</v>
      </c>
      <c r="C678" s="15" t="s">
        <v>10</v>
      </c>
      <c r="D678" s="16">
        <v>11425636</v>
      </c>
      <c r="E678" s="17">
        <v>45352</v>
      </c>
      <c r="F678" s="18">
        <f>MONTH(Data!$E678)</f>
        <v>3</v>
      </c>
      <c r="G678" s="16">
        <f>YEAR(Data!$E678)</f>
        <v>2024</v>
      </c>
      <c r="H678" s="15" t="s">
        <v>35</v>
      </c>
      <c r="I678" s="15" t="str">
        <f t="shared" si="10"/>
        <v>Doanh nghiệp</v>
      </c>
      <c r="J678" s="15" t="s">
        <v>1285</v>
      </c>
      <c r="K678" s="15" t="s">
        <v>1262</v>
      </c>
      <c r="L678" s="32">
        <f>Data!$D678/10^6</f>
        <v>11.425636000000001</v>
      </c>
    </row>
    <row r="679" spans="1:12" x14ac:dyDescent="0.25">
      <c r="A679" s="29" t="s">
        <v>33</v>
      </c>
      <c r="B679" s="15" t="s">
        <v>1047</v>
      </c>
      <c r="C679" s="15" t="s">
        <v>10</v>
      </c>
      <c r="D679" s="16">
        <v>30520000</v>
      </c>
      <c r="E679" s="17">
        <v>45352</v>
      </c>
      <c r="F679" s="18">
        <f>MONTH(Data!$E679)</f>
        <v>3</v>
      </c>
      <c r="G679" s="16">
        <f>YEAR(Data!$E679)</f>
        <v>2024</v>
      </c>
      <c r="H679" s="15" t="s">
        <v>35</v>
      </c>
      <c r="I679" s="15" t="str">
        <f t="shared" si="10"/>
        <v>Doanh nghiệp</v>
      </c>
      <c r="J679" s="15" t="s">
        <v>1284</v>
      </c>
      <c r="K679" s="15" t="s">
        <v>1263</v>
      </c>
      <c r="L679" s="32">
        <f>Data!$D679/10^6</f>
        <v>30.52</v>
      </c>
    </row>
    <row r="680" spans="1:12" x14ac:dyDescent="0.25">
      <c r="A680" s="29" t="s">
        <v>78</v>
      </c>
      <c r="B680" s="15" t="s">
        <v>1049</v>
      </c>
      <c r="C680" s="15" t="s">
        <v>10</v>
      </c>
      <c r="D680" s="16">
        <v>37228182</v>
      </c>
      <c r="E680" s="17">
        <v>45352</v>
      </c>
      <c r="F680" s="18">
        <f>MONTH(Data!$E680)</f>
        <v>3</v>
      </c>
      <c r="G680" s="16">
        <f>YEAR(Data!$E680)</f>
        <v>2024</v>
      </c>
      <c r="H680" s="15" t="s">
        <v>15</v>
      </c>
      <c r="I680" s="15" t="str">
        <f t="shared" si="10"/>
        <v>Doanh nghiệp</v>
      </c>
      <c r="J680" s="15" t="s">
        <v>1285</v>
      </c>
      <c r="K680" s="15" t="s">
        <v>1263</v>
      </c>
      <c r="L680" s="32">
        <f>Data!$D680/10^6</f>
        <v>37.228181999999997</v>
      </c>
    </row>
    <row r="681" spans="1:12" x14ac:dyDescent="0.25">
      <c r="A681" s="29" t="s">
        <v>45</v>
      </c>
      <c r="B681" s="15" t="s">
        <v>1086</v>
      </c>
      <c r="C681" s="15" t="s">
        <v>10</v>
      </c>
      <c r="D681" s="16">
        <v>32848182</v>
      </c>
      <c r="E681" s="17">
        <v>45352</v>
      </c>
      <c r="F681" s="18">
        <f>MONTH(Data!$E681)</f>
        <v>3</v>
      </c>
      <c r="G681" s="16">
        <f>YEAR(Data!$E681)</f>
        <v>2024</v>
      </c>
      <c r="H681" s="15" t="s">
        <v>29</v>
      </c>
      <c r="I681" s="15" t="str">
        <f t="shared" si="10"/>
        <v>Doanh nghiệp</v>
      </c>
      <c r="J681" s="15" t="s">
        <v>1284</v>
      </c>
      <c r="K681" s="15" t="s">
        <v>1263</v>
      </c>
      <c r="L681" s="32">
        <f>Data!$D681/10^6</f>
        <v>32.848182000000001</v>
      </c>
    </row>
    <row r="682" spans="1:12" x14ac:dyDescent="0.25">
      <c r="A682" s="29" t="s">
        <v>85</v>
      </c>
      <c r="B682" s="15" t="s">
        <v>1031</v>
      </c>
      <c r="C682" s="15" t="s">
        <v>46</v>
      </c>
      <c r="D682" s="16">
        <v>136950000</v>
      </c>
      <c r="E682" s="17">
        <v>45352</v>
      </c>
      <c r="F682" s="18">
        <f>MONTH(Data!$E682)</f>
        <v>3</v>
      </c>
      <c r="G682" s="16">
        <f>YEAR(Data!$E682)</f>
        <v>2024</v>
      </c>
      <c r="H682" s="15" t="s">
        <v>15</v>
      </c>
      <c r="I682" s="15" t="str">
        <f t="shared" si="10"/>
        <v>Doanh nghiệp</v>
      </c>
      <c r="J682" s="15" t="s">
        <v>1285</v>
      </c>
      <c r="K682" s="15" t="s">
        <v>1271</v>
      </c>
      <c r="L682" s="32">
        <f>Data!$D682/10^6</f>
        <v>136.94999999999999</v>
      </c>
    </row>
    <row r="683" spans="1:12" x14ac:dyDescent="0.25">
      <c r="A683" s="29" t="s">
        <v>30</v>
      </c>
      <c r="B683" s="15" t="s">
        <v>1033</v>
      </c>
      <c r="C683" s="15" t="s">
        <v>10</v>
      </c>
      <c r="D683" s="16">
        <v>38753874</v>
      </c>
      <c r="E683" s="17">
        <v>45352</v>
      </c>
      <c r="F683" s="18">
        <f>MONTH(Data!$E683)</f>
        <v>3</v>
      </c>
      <c r="G683" s="16">
        <f>YEAR(Data!$E683)</f>
        <v>2024</v>
      </c>
      <c r="H683" s="15" t="s">
        <v>32</v>
      </c>
      <c r="I683" s="15" t="str">
        <f t="shared" si="10"/>
        <v>Doanh nghiệp</v>
      </c>
      <c r="J683" s="15" t="s">
        <v>1284</v>
      </c>
      <c r="K683" s="15" t="s">
        <v>1263</v>
      </c>
      <c r="L683" s="32">
        <f>Data!$D683/10^6</f>
        <v>38.753874000000003</v>
      </c>
    </row>
    <row r="684" spans="1:12" x14ac:dyDescent="0.25">
      <c r="A684" s="29" t="s">
        <v>30</v>
      </c>
      <c r="B684" s="15" t="s">
        <v>1034</v>
      </c>
      <c r="C684" s="15" t="s">
        <v>10</v>
      </c>
      <c r="D684" s="16">
        <v>122725117</v>
      </c>
      <c r="E684" s="17">
        <v>45352</v>
      </c>
      <c r="F684" s="18">
        <f>MONTH(Data!$E684)</f>
        <v>3</v>
      </c>
      <c r="G684" s="16">
        <f>YEAR(Data!$E684)</f>
        <v>2024</v>
      </c>
      <c r="H684" s="15" t="s">
        <v>32</v>
      </c>
      <c r="I684" s="15" t="str">
        <f t="shared" si="10"/>
        <v>Doanh nghiệp</v>
      </c>
      <c r="J684" s="15" t="s">
        <v>1285</v>
      </c>
      <c r="K684" s="15" t="s">
        <v>1263</v>
      </c>
      <c r="L684" s="32">
        <f>Data!$D684/10^6</f>
        <v>122.725117</v>
      </c>
    </row>
    <row r="685" spans="1:12" x14ac:dyDescent="0.25">
      <c r="A685" s="29" t="s">
        <v>30</v>
      </c>
      <c r="B685" s="15" t="s">
        <v>1035</v>
      </c>
      <c r="C685" s="15" t="s">
        <v>10</v>
      </c>
      <c r="D685" s="16">
        <v>106071282</v>
      </c>
      <c r="E685" s="17">
        <v>45352</v>
      </c>
      <c r="F685" s="18">
        <f>MONTH(Data!$E685)</f>
        <v>3</v>
      </c>
      <c r="G685" s="16">
        <f>YEAR(Data!$E685)</f>
        <v>2024</v>
      </c>
      <c r="H685" s="15" t="s">
        <v>32</v>
      </c>
      <c r="I685" s="15" t="str">
        <f t="shared" si="10"/>
        <v>Doanh nghiệp</v>
      </c>
      <c r="J685" s="15" t="s">
        <v>1284</v>
      </c>
      <c r="K685" s="15" t="s">
        <v>1263</v>
      </c>
      <c r="L685" s="32">
        <f>Data!$D685/10^6</f>
        <v>106.071282</v>
      </c>
    </row>
    <row r="686" spans="1:12" x14ac:dyDescent="0.25">
      <c r="A686" s="29" t="s">
        <v>68</v>
      </c>
      <c r="B686" s="15" t="s">
        <v>1043</v>
      </c>
      <c r="C686" s="15" t="s">
        <v>10</v>
      </c>
      <c r="D686" s="16">
        <v>31640000</v>
      </c>
      <c r="E686" s="17">
        <v>45352</v>
      </c>
      <c r="F686" s="18">
        <f>MONTH(Data!$E686)</f>
        <v>3</v>
      </c>
      <c r="G686" s="16">
        <f>YEAR(Data!$E686)</f>
        <v>2024</v>
      </c>
      <c r="H686" s="15" t="s">
        <v>22</v>
      </c>
      <c r="I686" s="15" t="str">
        <f t="shared" si="10"/>
        <v>Doanh nghiệp</v>
      </c>
      <c r="J686" s="15" t="s">
        <v>1285</v>
      </c>
      <c r="K686" s="15" t="s">
        <v>1263</v>
      </c>
      <c r="L686" s="32">
        <f>Data!$D686/10^6</f>
        <v>31.64</v>
      </c>
    </row>
    <row r="687" spans="1:12" x14ac:dyDescent="0.25">
      <c r="A687" s="29" t="s">
        <v>51</v>
      </c>
      <c r="B687" s="15" t="s">
        <v>1076</v>
      </c>
      <c r="C687" s="15" t="s">
        <v>149</v>
      </c>
      <c r="D687" s="16">
        <v>38087405</v>
      </c>
      <c r="E687" s="17">
        <v>45352</v>
      </c>
      <c r="F687" s="18">
        <f>MONTH(Data!$E687)</f>
        <v>3</v>
      </c>
      <c r="G687" s="16">
        <f>YEAR(Data!$E687)</f>
        <v>2024</v>
      </c>
      <c r="H687" s="15" t="s">
        <v>42</v>
      </c>
      <c r="I687" s="15" t="str">
        <f t="shared" si="10"/>
        <v>Doanh nghiệp</v>
      </c>
      <c r="J687" s="15" t="s">
        <v>1284</v>
      </c>
      <c r="K687" s="15" t="s">
        <v>1265</v>
      </c>
      <c r="L687" s="32">
        <f>Data!$D687/10^6</f>
        <v>38.087404999999997</v>
      </c>
    </row>
    <row r="688" spans="1:12" x14ac:dyDescent="0.25">
      <c r="A688" s="29" t="s">
        <v>51</v>
      </c>
      <c r="B688" s="15" t="s">
        <v>1077</v>
      </c>
      <c r="C688" s="15" t="s">
        <v>149</v>
      </c>
      <c r="D688" s="16">
        <v>38087405</v>
      </c>
      <c r="E688" s="17">
        <v>45352</v>
      </c>
      <c r="F688" s="18">
        <f>MONTH(Data!$E688)</f>
        <v>3</v>
      </c>
      <c r="G688" s="16">
        <f>YEAR(Data!$E688)</f>
        <v>2024</v>
      </c>
      <c r="H688" s="15" t="s">
        <v>42</v>
      </c>
      <c r="I688" s="15" t="str">
        <f t="shared" si="10"/>
        <v>Doanh nghiệp</v>
      </c>
      <c r="J688" s="15" t="s">
        <v>1285</v>
      </c>
      <c r="K688" s="15" t="s">
        <v>1265</v>
      </c>
      <c r="L688" s="32">
        <f>Data!$D688/10^6</f>
        <v>38.087404999999997</v>
      </c>
    </row>
    <row r="689" spans="1:12" x14ac:dyDescent="0.25">
      <c r="A689" s="29" t="s">
        <v>71</v>
      </c>
      <c r="B689" s="15" t="s">
        <v>1090</v>
      </c>
      <c r="C689" s="15" t="s">
        <v>10</v>
      </c>
      <c r="D689" s="16">
        <v>71610000</v>
      </c>
      <c r="E689" s="17">
        <v>45352</v>
      </c>
      <c r="F689" s="18">
        <f>MONTH(Data!$E689)</f>
        <v>3</v>
      </c>
      <c r="G689" s="16">
        <f>YEAR(Data!$E689)</f>
        <v>2024</v>
      </c>
      <c r="H689" s="15" t="s">
        <v>11</v>
      </c>
      <c r="I689" s="15" t="str">
        <f t="shared" si="10"/>
        <v>Doanh nghiệp</v>
      </c>
      <c r="J689" s="15" t="s">
        <v>1284</v>
      </c>
      <c r="K689" s="15" t="s">
        <v>1263</v>
      </c>
      <c r="L689" s="32">
        <f>Data!$D689/10^6</f>
        <v>71.61</v>
      </c>
    </row>
    <row r="690" spans="1:12" x14ac:dyDescent="0.25">
      <c r="A690" s="29" t="s">
        <v>30</v>
      </c>
      <c r="B690" s="15" t="s">
        <v>1097</v>
      </c>
      <c r="C690" s="15" t="s">
        <v>14</v>
      </c>
      <c r="D690" s="16">
        <v>482618182</v>
      </c>
      <c r="E690" s="17">
        <v>45352</v>
      </c>
      <c r="F690" s="18">
        <f>MONTH(Data!$E690)</f>
        <v>3</v>
      </c>
      <c r="G690" s="16">
        <f>YEAR(Data!$E690)</f>
        <v>2024</v>
      </c>
      <c r="H690" s="15" t="s">
        <v>32</v>
      </c>
      <c r="I690" s="15" t="str">
        <f t="shared" si="10"/>
        <v>Doanh nghiệp</v>
      </c>
      <c r="J690" s="15" t="s">
        <v>1285</v>
      </c>
      <c r="K690" s="15" t="s">
        <v>1274</v>
      </c>
      <c r="L690" s="32">
        <f>Data!$D690/10^6</f>
        <v>482.61818199999999</v>
      </c>
    </row>
    <row r="691" spans="1:12" x14ac:dyDescent="0.25">
      <c r="A691" s="29" t="s">
        <v>73</v>
      </c>
      <c r="B691" s="15" t="s">
        <v>1111</v>
      </c>
      <c r="C691" s="15" t="s">
        <v>149</v>
      </c>
      <c r="D691" s="16">
        <v>15231818</v>
      </c>
      <c r="E691" s="17">
        <v>45352</v>
      </c>
      <c r="F691" s="18">
        <f>MONTH(Data!$E691)</f>
        <v>3</v>
      </c>
      <c r="G691" s="16">
        <f>YEAR(Data!$E691)</f>
        <v>2024</v>
      </c>
      <c r="H691" s="15" t="s">
        <v>32</v>
      </c>
      <c r="I691" s="15" t="str">
        <f t="shared" si="10"/>
        <v>Doanh nghiệp</v>
      </c>
      <c r="J691" s="15" t="s">
        <v>1284</v>
      </c>
      <c r="K691" s="15" t="s">
        <v>1263</v>
      </c>
      <c r="L691" s="32">
        <f>Data!$D691/10^6</f>
        <v>15.231818000000001</v>
      </c>
    </row>
    <row r="692" spans="1:12" x14ac:dyDescent="0.25">
      <c r="A692" s="29" t="s">
        <v>92</v>
      </c>
      <c r="B692" s="15" t="s">
        <v>1115</v>
      </c>
      <c r="C692" s="15" t="s">
        <v>14</v>
      </c>
      <c r="D692" s="16">
        <v>48665527</v>
      </c>
      <c r="E692" s="17">
        <v>45352</v>
      </c>
      <c r="F692" s="18">
        <f>MONTH(Data!$E692)</f>
        <v>3</v>
      </c>
      <c r="G692" s="16">
        <f>YEAR(Data!$E692)</f>
        <v>2024</v>
      </c>
      <c r="H692" s="15" t="s">
        <v>29</v>
      </c>
      <c r="I692" s="15" t="str">
        <f t="shared" si="10"/>
        <v>Doanh nghiệp</v>
      </c>
      <c r="J692" s="15" t="s">
        <v>1285</v>
      </c>
      <c r="K692" s="15" t="s">
        <v>1275</v>
      </c>
      <c r="L692" s="32">
        <f>Data!$D692/10^6</f>
        <v>48.665526999999997</v>
      </c>
    </row>
    <row r="693" spans="1:12" x14ac:dyDescent="0.25">
      <c r="A693" s="29" t="s">
        <v>127</v>
      </c>
      <c r="B693" s="15" t="s">
        <v>1027</v>
      </c>
      <c r="C693" s="15" t="s">
        <v>14</v>
      </c>
      <c r="D693" s="16">
        <v>24994545</v>
      </c>
      <c r="E693" s="17">
        <v>45352</v>
      </c>
      <c r="F693" s="18">
        <f>MONTH(Data!$E693)</f>
        <v>3</v>
      </c>
      <c r="G693" s="16">
        <f>YEAR(Data!$E693)</f>
        <v>2024</v>
      </c>
      <c r="H693" s="15" t="s">
        <v>32</v>
      </c>
      <c r="I693" s="15" t="str">
        <f t="shared" si="10"/>
        <v>Doanh nghiệp</v>
      </c>
      <c r="J693" s="15" t="s">
        <v>1284</v>
      </c>
      <c r="K693" s="15" t="s">
        <v>1264</v>
      </c>
      <c r="L693" s="32">
        <f>Data!$D693/10^6</f>
        <v>24.994544999999999</v>
      </c>
    </row>
    <row r="694" spans="1:12" x14ac:dyDescent="0.25">
      <c r="A694" s="29" t="s">
        <v>51</v>
      </c>
      <c r="B694" s="15" t="s">
        <v>1088</v>
      </c>
      <c r="C694" s="15" t="s">
        <v>10</v>
      </c>
      <c r="D694" s="16">
        <v>77093363</v>
      </c>
      <c r="E694" s="17">
        <v>45352</v>
      </c>
      <c r="F694" s="18">
        <f>MONTH(Data!$E694)</f>
        <v>3</v>
      </c>
      <c r="G694" s="16">
        <f>YEAR(Data!$E694)</f>
        <v>2024</v>
      </c>
      <c r="H694" s="15" t="s">
        <v>42</v>
      </c>
      <c r="I694" s="15" t="str">
        <f t="shared" si="10"/>
        <v>Doanh nghiệp</v>
      </c>
      <c r="J694" s="15" t="s">
        <v>1285</v>
      </c>
      <c r="K694" s="15" t="s">
        <v>1263</v>
      </c>
      <c r="L694" s="32">
        <f>Data!$D694/10^6</f>
        <v>77.093362999999997</v>
      </c>
    </row>
    <row r="695" spans="1:12" x14ac:dyDescent="0.25">
      <c r="A695" s="29" t="s">
        <v>23</v>
      </c>
      <c r="B695" s="15" t="s">
        <v>1116</v>
      </c>
      <c r="C695" s="15" t="s">
        <v>46</v>
      </c>
      <c r="D695" s="16">
        <v>106096364</v>
      </c>
      <c r="E695" s="17">
        <v>45352</v>
      </c>
      <c r="F695" s="18">
        <f>MONTH(Data!$E695)</f>
        <v>3</v>
      </c>
      <c r="G695" s="16">
        <f>YEAR(Data!$E695)</f>
        <v>2024</v>
      </c>
      <c r="H695" s="15" t="s">
        <v>25</v>
      </c>
      <c r="I695" s="15" t="str">
        <f t="shared" si="10"/>
        <v>Doanh nghiệp</v>
      </c>
      <c r="J695" s="15" t="s">
        <v>1284</v>
      </c>
      <c r="K695" s="15" t="s">
        <v>1271</v>
      </c>
      <c r="L695" s="32">
        <f>Data!$D695/10^6</f>
        <v>106.09636399999999</v>
      </c>
    </row>
    <row r="696" spans="1:12" x14ac:dyDescent="0.25">
      <c r="A696" s="29" t="s">
        <v>78</v>
      </c>
      <c r="B696" s="15" t="s">
        <v>1028</v>
      </c>
      <c r="C696" s="15" t="s">
        <v>46</v>
      </c>
      <c r="D696" s="16">
        <v>76818182</v>
      </c>
      <c r="E696" s="17">
        <v>45352</v>
      </c>
      <c r="F696" s="18">
        <f>MONTH(Data!$E696)</f>
        <v>3</v>
      </c>
      <c r="G696" s="16">
        <f>YEAR(Data!$E696)</f>
        <v>2024</v>
      </c>
      <c r="H696" s="15" t="s">
        <v>15</v>
      </c>
      <c r="I696" s="15" t="str">
        <f t="shared" si="10"/>
        <v>Doanh nghiệp</v>
      </c>
      <c r="J696" s="15" t="s">
        <v>1285</v>
      </c>
      <c r="K696" s="15" t="s">
        <v>1271</v>
      </c>
      <c r="L696" s="32">
        <f>Data!$D696/10^6</f>
        <v>76.818181999999993</v>
      </c>
    </row>
    <row r="697" spans="1:12" x14ac:dyDescent="0.25">
      <c r="A697" s="29" t="s">
        <v>78</v>
      </c>
      <c r="B697" s="15" t="s">
        <v>1067</v>
      </c>
      <c r="C697" s="15" t="s">
        <v>14</v>
      </c>
      <c r="D697" s="16">
        <v>19818182</v>
      </c>
      <c r="E697" s="17">
        <v>45352</v>
      </c>
      <c r="F697" s="18">
        <f>MONTH(Data!$E697)</f>
        <v>3</v>
      </c>
      <c r="G697" s="16">
        <f>YEAR(Data!$E697)</f>
        <v>2024</v>
      </c>
      <c r="H697" s="15" t="s">
        <v>15</v>
      </c>
      <c r="I697" s="15" t="str">
        <f t="shared" si="10"/>
        <v>Doanh nghiệp</v>
      </c>
      <c r="J697" s="15" t="s">
        <v>1284</v>
      </c>
      <c r="K697" s="15" t="s">
        <v>1264</v>
      </c>
      <c r="L697" s="32">
        <f>Data!$D697/10^6</f>
        <v>19.818182</v>
      </c>
    </row>
    <row r="698" spans="1:12" x14ac:dyDescent="0.25">
      <c r="A698" s="29" t="s">
        <v>128</v>
      </c>
      <c r="B698" s="15" t="s">
        <v>1074</v>
      </c>
      <c r="C698" s="15" t="s">
        <v>10</v>
      </c>
      <c r="D698" s="16">
        <v>928168691</v>
      </c>
      <c r="E698" s="17">
        <v>45352</v>
      </c>
      <c r="F698" s="18">
        <f>MONTH(Data!$E698)</f>
        <v>3</v>
      </c>
      <c r="G698" s="16">
        <f>YEAR(Data!$E698)</f>
        <v>2024</v>
      </c>
      <c r="H698" s="15" t="s">
        <v>42</v>
      </c>
      <c r="I698" s="15" t="str">
        <f t="shared" si="10"/>
        <v>Doanh nghiệp</v>
      </c>
      <c r="J698" s="15" t="s">
        <v>1285</v>
      </c>
      <c r="K698" s="15" t="s">
        <v>1263</v>
      </c>
      <c r="L698" s="32">
        <f>Data!$D698/10^6</f>
        <v>928.16869099999997</v>
      </c>
    </row>
    <row r="699" spans="1:12" x14ac:dyDescent="0.25">
      <c r="A699" s="29" t="s">
        <v>62</v>
      </c>
      <c r="B699" s="15" t="s">
        <v>1079</v>
      </c>
      <c r="C699" s="15" t="s">
        <v>10</v>
      </c>
      <c r="D699" s="16">
        <v>51632727</v>
      </c>
      <c r="E699" s="17">
        <v>45352</v>
      </c>
      <c r="F699" s="18">
        <f>MONTH(Data!$E699)</f>
        <v>3</v>
      </c>
      <c r="G699" s="16">
        <f>YEAR(Data!$E699)</f>
        <v>2024</v>
      </c>
      <c r="H699" s="15" t="s">
        <v>15</v>
      </c>
      <c r="I699" s="15" t="str">
        <f t="shared" si="10"/>
        <v>Doanh nghiệp</v>
      </c>
      <c r="J699" s="15" t="s">
        <v>1284</v>
      </c>
      <c r="K699" s="15" t="s">
        <v>1263</v>
      </c>
      <c r="L699" s="32">
        <f>Data!$D699/10^6</f>
        <v>51.632727000000003</v>
      </c>
    </row>
    <row r="700" spans="1:12" x14ac:dyDescent="0.25">
      <c r="A700" s="29" t="s">
        <v>62</v>
      </c>
      <c r="B700" s="15" t="s">
        <v>1107</v>
      </c>
      <c r="C700" s="15" t="s">
        <v>14</v>
      </c>
      <c r="D700" s="16">
        <v>38636364</v>
      </c>
      <c r="E700" s="17">
        <v>45352</v>
      </c>
      <c r="F700" s="18">
        <f>MONTH(Data!$E700)</f>
        <v>3</v>
      </c>
      <c r="G700" s="16">
        <f>YEAR(Data!$E700)</f>
        <v>2024</v>
      </c>
      <c r="H700" s="15" t="s">
        <v>15</v>
      </c>
      <c r="I700" s="15" t="str">
        <f t="shared" si="10"/>
        <v>Doanh nghiệp</v>
      </c>
      <c r="J700" s="15" t="s">
        <v>1285</v>
      </c>
      <c r="K700" s="15" t="s">
        <v>1264</v>
      </c>
      <c r="L700" s="32">
        <f>Data!$D700/10^6</f>
        <v>38.636364</v>
      </c>
    </row>
    <row r="701" spans="1:12" x14ac:dyDescent="0.25">
      <c r="A701" s="29" t="s">
        <v>51</v>
      </c>
      <c r="B701" s="15" t="s">
        <v>1026</v>
      </c>
      <c r="C701" s="15" t="s">
        <v>149</v>
      </c>
      <c r="D701" s="16">
        <v>38087405</v>
      </c>
      <c r="E701" s="17">
        <v>45352</v>
      </c>
      <c r="F701" s="18">
        <f>MONTH(Data!$E701)</f>
        <v>3</v>
      </c>
      <c r="G701" s="16">
        <f>YEAR(Data!$E701)</f>
        <v>2024</v>
      </c>
      <c r="H701" s="15" t="s">
        <v>42</v>
      </c>
      <c r="I701" s="15" t="str">
        <f t="shared" si="10"/>
        <v>Doanh nghiệp</v>
      </c>
      <c r="J701" s="15" t="s">
        <v>1284</v>
      </c>
      <c r="K701" s="15" t="s">
        <v>1271</v>
      </c>
      <c r="L701" s="32">
        <f>Data!$D701/10^6</f>
        <v>38.087404999999997</v>
      </c>
    </row>
    <row r="702" spans="1:12" x14ac:dyDescent="0.25">
      <c r="A702" s="29" t="s">
        <v>77</v>
      </c>
      <c r="B702" s="15" t="s">
        <v>1031</v>
      </c>
      <c r="C702" s="15" t="s">
        <v>10</v>
      </c>
      <c r="D702" s="16">
        <v>43698244</v>
      </c>
      <c r="E702" s="17">
        <v>45352</v>
      </c>
      <c r="F702" s="18">
        <f>MONTH(Data!$E702)</f>
        <v>3</v>
      </c>
      <c r="G702" s="16">
        <f>YEAR(Data!$E702)</f>
        <v>2024</v>
      </c>
      <c r="H702" s="15" t="s">
        <v>35</v>
      </c>
      <c r="I702" s="15" t="str">
        <f t="shared" si="10"/>
        <v>Doanh nghiệp</v>
      </c>
      <c r="J702" s="15" t="s">
        <v>1285</v>
      </c>
      <c r="K702" s="15" t="s">
        <v>1263</v>
      </c>
      <c r="L702" s="32">
        <f>Data!$D702/10^6</f>
        <v>43.698244000000003</v>
      </c>
    </row>
    <row r="703" spans="1:12" x14ac:dyDescent="0.25">
      <c r="A703" s="29" t="s">
        <v>85</v>
      </c>
      <c r="B703" s="15" t="s">
        <v>1035</v>
      </c>
      <c r="C703" s="15" t="s">
        <v>14</v>
      </c>
      <c r="D703" s="16">
        <v>156186935</v>
      </c>
      <c r="E703" s="17">
        <v>45352</v>
      </c>
      <c r="F703" s="18">
        <f>MONTH(Data!$E703)</f>
        <v>3</v>
      </c>
      <c r="G703" s="16">
        <f>YEAR(Data!$E703)</f>
        <v>2024</v>
      </c>
      <c r="H703" s="15" t="s">
        <v>15</v>
      </c>
      <c r="I703" s="15" t="str">
        <f t="shared" si="10"/>
        <v>Doanh nghiệp</v>
      </c>
      <c r="J703" s="15" t="s">
        <v>1284</v>
      </c>
      <c r="K703" s="15" t="s">
        <v>1272</v>
      </c>
      <c r="L703" s="32">
        <f>Data!$D703/10^6</f>
        <v>156.18693500000001</v>
      </c>
    </row>
    <row r="704" spans="1:12" x14ac:dyDescent="0.25">
      <c r="A704" s="29" t="s">
        <v>85</v>
      </c>
      <c r="B704" s="15" t="s">
        <v>1036</v>
      </c>
      <c r="C704" s="15" t="s">
        <v>14</v>
      </c>
      <c r="D704" s="16">
        <v>455214965</v>
      </c>
      <c r="E704" s="17">
        <v>45352</v>
      </c>
      <c r="F704" s="18">
        <f>MONTH(Data!$E704)</f>
        <v>3</v>
      </c>
      <c r="G704" s="16">
        <f>YEAR(Data!$E704)</f>
        <v>2024</v>
      </c>
      <c r="H704" s="15" t="s">
        <v>15</v>
      </c>
      <c r="I704" s="15" t="str">
        <f t="shared" si="10"/>
        <v>Doanh nghiệp</v>
      </c>
      <c r="J704" s="15" t="s">
        <v>1285</v>
      </c>
      <c r="K704" s="15" t="s">
        <v>1264</v>
      </c>
      <c r="L704" s="32">
        <f>Data!$D704/10^6</f>
        <v>455.21496500000001</v>
      </c>
    </row>
    <row r="705" spans="1:12" x14ac:dyDescent="0.25">
      <c r="A705" s="29" t="s">
        <v>85</v>
      </c>
      <c r="B705" s="15" t="s">
        <v>1037</v>
      </c>
      <c r="C705" s="15" t="s">
        <v>149</v>
      </c>
      <c r="D705" s="16">
        <v>15909091</v>
      </c>
      <c r="E705" s="17">
        <v>45352</v>
      </c>
      <c r="F705" s="18">
        <f>MONTH(Data!$E705)</f>
        <v>3</v>
      </c>
      <c r="G705" s="16">
        <f>YEAR(Data!$E705)</f>
        <v>2024</v>
      </c>
      <c r="H705" s="15" t="s">
        <v>15</v>
      </c>
      <c r="I705" s="15" t="str">
        <f t="shared" si="10"/>
        <v>Doanh nghiệp</v>
      </c>
      <c r="J705" s="15" t="s">
        <v>1284</v>
      </c>
      <c r="K705" s="15" t="s">
        <v>1264</v>
      </c>
      <c r="L705" s="32">
        <f>Data!$D705/10^6</f>
        <v>15.909091</v>
      </c>
    </row>
    <row r="706" spans="1:12" x14ac:dyDescent="0.25">
      <c r="A706" s="29" t="s">
        <v>87</v>
      </c>
      <c r="B706" s="15" t="s">
        <v>1087</v>
      </c>
      <c r="C706" s="15" t="s">
        <v>14</v>
      </c>
      <c r="D706" s="16">
        <v>49990909</v>
      </c>
      <c r="E706" s="17">
        <v>45352</v>
      </c>
      <c r="F706" s="18">
        <f>MONTH(Data!$E706)</f>
        <v>3</v>
      </c>
      <c r="G706" s="16">
        <f>YEAR(Data!$E706)</f>
        <v>2024</v>
      </c>
      <c r="H706" s="15" t="s">
        <v>29</v>
      </c>
      <c r="I706" s="15" t="str">
        <f t="shared" si="10"/>
        <v>Doanh nghiệp</v>
      </c>
      <c r="J706" s="15" t="s">
        <v>1285</v>
      </c>
      <c r="K706" s="15" t="s">
        <v>1275</v>
      </c>
      <c r="L706" s="32">
        <f>Data!$D706/10^6</f>
        <v>49.990909000000002</v>
      </c>
    </row>
    <row r="707" spans="1:12" x14ac:dyDescent="0.25">
      <c r="A707" s="29" t="s">
        <v>78</v>
      </c>
      <c r="B707" s="15" t="s">
        <v>1105</v>
      </c>
      <c r="C707" s="15" t="s">
        <v>14</v>
      </c>
      <c r="D707" s="16">
        <v>11114182</v>
      </c>
      <c r="E707" s="17">
        <v>45352</v>
      </c>
      <c r="F707" s="18">
        <f>MONTH(Data!$E707)</f>
        <v>3</v>
      </c>
      <c r="G707" s="16">
        <f>YEAR(Data!$E707)</f>
        <v>2024</v>
      </c>
      <c r="H707" s="15" t="s">
        <v>15</v>
      </c>
      <c r="I707" s="15" t="str">
        <f t="shared" ref="I707:I770" si="11">IF(ISNUMBER(SEARCH("Công ty",$B707)),"Doanh nghiệp",IF(ISNUMBER(SEARCH("Doanh nghiệp",$B707)),"Doanh nghiệp",IF(ISNUMBER(SEARCH("Tập đoàn",$B707)),"Doanh nghiệp",
IF(ISNUMBER(SEARCH("Bệnh viện",$B707)),"Bệnh viện",
IF(ISNUMBER(SEARCH("Ngân hàng",$B707)),"Ngân hàng",IF(ISNUMBER(SEARCH("trường",$B707)),"Trường học",IF(ISNUMBER(SEARCH("học viện",$B707)),"Trường học",
IF(ISNUMBER(SEARCH("Bộ",$B707)),"Sở ban ngành",IF(ISNUMBER(SEARCH("Đoàn",$B707)),"Sở ban ngành",IF(ISNUMBER(SEARCH("Phòng",$B707)),"Sở ban ngành",IF(ISNUMBER(SEARCH("UBND",$B707)),"Sở ban ngành",IF(ISNUMBER(SEARCH("ủy ban",$B707)),"Sở ban ngành",IF(ISNUMBER(SEARCH("công an",$B707)),"Sở ban ngành",IF(ISNUMBER(SEARCH("sở",$B707)),"Sở ban ngành",IF(ISNUMBER(SEARCH("thôn",$B707)),"Sở ban ngành",IF(ISNUMBER(SEARCH("xã",$B707)),"Sở ban ngành",IF(ISNUMBER(SEARCH("quân khu",$B707)),"Sở ban ngành",IF(ISNUMBER(SEARCH("cục",$B707)),"Sở ban ngành",IF(ISNUMBER(SEARCH("viện",$B707)),"Sở ban ngành",IF(ISNUMBER(SEARCH("quỹ",$B707)),"Sở ban ngành",IF(ISNUMBER(SEARCH("trung tâm",$B707)),"Sở ban ngành",IF(ISNUMBER(SEARCH("quân chủng",$B707)),"Sở ban ngành",IF(ISNUMBER(SEARCH("hội",$B707)),"Sở ban ngành",
"Khác")))))))))))))))))))))))</f>
        <v>Doanh nghiệp</v>
      </c>
      <c r="J707" s="15" t="s">
        <v>1284</v>
      </c>
      <c r="K707" s="15" t="s">
        <v>1277</v>
      </c>
      <c r="L707" s="32">
        <f>Data!$D707/10^6</f>
        <v>11.114182</v>
      </c>
    </row>
    <row r="708" spans="1:12" x14ac:dyDescent="0.25">
      <c r="A708" s="29" t="s">
        <v>51</v>
      </c>
      <c r="B708" s="15" t="s">
        <v>1107</v>
      </c>
      <c r="C708" s="15" t="s">
        <v>10</v>
      </c>
      <c r="D708" s="16">
        <v>238372727</v>
      </c>
      <c r="E708" s="17">
        <v>45352</v>
      </c>
      <c r="F708" s="18">
        <f>MONTH(Data!$E708)</f>
        <v>3</v>
      </c>
      <c r="G708" s="16">
        <f>YEAR(Data!$E708)</f>
        <v>2024</v>
      </c>
      <c r="H708" s="15" t="s">
        <v>42</v>
      </c>
      <c r="I708" s="15" t="str">
        <f t="shared" si="11"/>
        <v>Doanh nghiệp</v>
      </c>
      <c r="J708" s="15" t="s">
        <v>1285</v>
      </c>
      <c r="K708" s="15" t="s">
        <v>1263</v>
      </c>
      <c r="L708" s="32">
        <f>Data!$D708/10^6</f>
        <v>238.372727</v>
      </c>
    </row>
    <row r="709" spans="1:12" x14ac:dyDescent="0.25">
      <c r="A709" s="29" t="s">
        <v>39</v>
      </c>
      <c r="B709" s="15" t="s">
        <v>1032</v>
      </c>
      <c r="C709" s="15" t="s">
        <v>46</v>
      </c>
      <c r="D709" s="16">
        <v>46148250</v>
      </c>
      <c r="E709" s="17">
        <v>45352</v>
      </c>
      <c r="F709" s="18">
        <f>MONTH(Data!$E709)</f>
        <v>3</v>
      </c>
      <c r="G709" s="16">
        <f>YEAR(Data!$E709)</f>
        <v>2024</v>
      </c>
      <c r="H709" s="15" t="s">
        <v>42</v>
      </c>
      <c r="I709" s="15" t="str">
        <f t="shared" si="11"/>
        <v>Doanh nghiệp</v>
      </c>
      <c r="J709" s="15" t="s">
        <v>1284</v>
      </c>
      <c r="K709" s="15" t="s">
        <v>1265</v>
      </c>
      <c r="L709" s="32">
        <f>Data!$D709/10^6</f>
        <v>46.148249999999997</v>
      </c>
    </row>
    <row r="710" spans="1:12" x14ac:dyDescent="0.25">
      <c r="A710" s="29" t="s">
        <v>100</v>
      </c>
      <c r="B710" s="15" t="s">
        <v>1052</v>
      </c>
      <c r="C710" s="15" t="s">
        <v>149</v>
      </c>
      <c r="D710" s="16">
        <v>219035782</v>
      </c>
      <c r="E710" s="17">
        <v>45352</v>
      </c>
      <c r="F710" s="18">
        <f>MONTH(Data!$E710)</f>
        <v>3</v>
      </c>
      <c r="G710" s="16">
        <f>YEAR(Data!$E710)</f>
        <v>2024</v>
      </c>
      <c r="H710" s="15" t="s">
        <v>42</v>
      </c>
      <c r="I710" s="15" t="str">
        <f t="shared" si="11"/>
        <v>Doanh nghiệp</v>
      </c>
      <c r="J710" s="15" t="s">
        <v>1285</v>
      </c>
      <c r="K710" s="15" t="s">
        <v>1262</v>
      </c>
      <c r="L710" s="32">
        <f>Data!$D710/10^6</f>
        <v>219.03578200000001</v>
      </c>
    </row>
    <row r="711" spans="1:12" x14ac:dyDescent="0.25">
      <c r="A711" s="29" t="s">
        <v>37</v>
      </c>
      <c r="B711" s="15" t="s">
        <v>1063</v>
      </c>
      <c r="C711" s="15" t="s">
        <v>10</v>
      </c>
      <c r="D711" s="16">
        <v>18090909</v>
      </c>
      <c r="E711" s="17">
        <v>45352</v>
      </c>
      <c r="F711" s="18">
        <f>MONTH(Data!$E711)</f>
        <v>3</v>
      </c>
      <c r="G711" s="16">
        <f>YEAR(Data!$E711)</f>
        <v>2024</v>
      </c>
      <c r="H711" s="15" t="s">
        <v>11</v>
      </c>
      <c r="I711" s="15" t="str">
        <f t="shared" si="11"/>
        <v>Doanh nghiệp</v>
      </c>
      <c r="J711" s="15" t="s">
        <v>1284</v>
      </c>
      <c r="K711" s="15" t="s">
        <v>1263</v>
      </c>
      <c r="L711" s="32">
        <f>Data!$D711/10^6</f>
        <v>18.090909</v>
      </c>
    </row>
    <row r="712" spans="1:12" x14ac:dyDescent="0.25">
      <c r="A712" s="29" t="s">
        <v>59</v>
      </c>
      <c r="B712" s="15" t="s">
        <v>1081</v>
      </c>
      <c r="C712" s="15" t="s">
        <v>46</v>
      </c>
      <c r="D712" s="16">
        <v>1739784958</v>
      </c>
      <c r="E712" s="17">
        <v>45352</v>
      </c>
      <c r="F712" s="18">
        <f>MONTH(Data!$E712)</f>
        <v>3</v>
      </c>
      <c r="G712" s="16">
        <f>YEAR(Data!$E712)</f>
        <v>2024</v>
      </c>
      <c r="H712" s="15" t="s">
        <v>22</v>
      </c>
      <c r="I712" s="15" t="str">
        <f t="shared" si="11"/>
        <v>Doanh nghiệp</v>
      </c>
      <c r="J712" s="15" t="s">
        <v>1285</v>
      </c>
      <c r="K712" s="15" t="s">
        <v>1265</v>
      </c>
      <c r="L712" s="32">
        <f>Data!$D712/10^6</f>
        <v>1739.784958</v>
      </c>
    </row>
    <row r="713" spans="1:12" x14ac:dyDescent="0.25">
      <c r="A713" s="29" t="s">
        <v>73</v>
      </c>
      <c r="B713" s="15" t="s">
        <v>1084</v>
      </c>
      <c r="C713" s="15" t="s">
        <v>14</v>
      </c>
      <c r="D713" s="16">
        <v>18213223</v>
      </c>
      <c r="E713" s="17">
        <v>45352</v>
      </c>
      <c r="F713" s="18">
        <f>MONTH(Data!$E713)</f>
        <v>3</v>
      </c>
      <c r="G713" s="16">
        <f>YEAR(Data!$E713)</f>
        <v>2024</v>
      </c>
      <c r="H713" s="15" t="s">
        <v>32</v>
      </c>
      <c r="I713" s="15" t="str">
        <f t="shared" si="11"/>
        <v>Doanh nghiệp</v>
      </c>
      <c r="J713" s="15" t="s">
        <v>1284</v>
      </c>
      <c r="K713" s="15" t="s">
        <v>1275</v>
      </c>
      <c r="L713" s="32">
        <f>Data!$D713/10^6</f>
        <v>18.213222999999999</v>
      </c>
    </row>
    <row r="714" spans="1:12" x14ac:dyDescent="0.25">
      <c r="A714" s="29" t="s">
        <v>30</v>
      </c>
      <c r="B714" s="15" t="s">
        <v>1097</v>
      </c>
      <c r="C714" s="15" t="s">
        <v>10</v>
      </c>
      <c r="D714" s="16">
        <v>39398455</v>
      </c>
      <c r="E714" s="17">
        <v>45352</v>
      </c>
      <c r="F714" s="18">
        <f>MONTH(Data!$E714)</f>
        <v>3</v>
      </c>
      <c r="G714" s="16">
        <f>YEAR(Data!$E714)</f>
        <v>2024</v>
      </c>
      <c r="H714" s="15" t="s">
        <v>32</v>
      </c>
      <c r="I714" s="15" t="str">
        <f t="shared" si="11"/>
        <v>Doanh nghiệp</v>
      </c>
      <c r="J714" s="15" t="s">
        <v>1285</v>
      </c>
      <c r="K714" s="15" t="s">
        <v>1267</v>
      </c>
      <c r="L714" s="32">
        <f>Data!$D714/10^6</f>
        <v>39.398454999999998</v>
      </c>
    </row>
    <row r="715" spans="1:12" x14ac:dyDescent="0.25">
      <c r="A715" s="29" t="s">
        <v>30</v>
      </c>
      <c r="B715" s="15" t="s">
        <v>1098</v>
      </c>
      <c r="C715" s="15" t="s">
        <v>10</v>
      </c>
      <c r="D715" s="16">
        <v>18150909</v>
      </c>
      <c r="E715" s="17">
        <v>45352</v>
      </c>
      <c r="F715" s="18">
        <f>MONTH(Data!$E715)</f>
        <v>3</v>
      </c>
      <c r="G715" s="16">
        <f>YEAR(Data!$E715)</f>
        <v>2024</v>
      </c>
      <c r="H715" s="15" t="s">
        <v>32</v>
      </c>
      <c r="I715" s="15" t="str">
        <f t="shared" si="11"/>
        <v>Doanh nghiệp</v>
      </c>
      <c r="J715" s="15" t="s">
        <v>1284</v>
      </c>
      <c r="K715" s="15" t="s">
        <v>1267</v>
      </c>
      <c r="L715" s="32">
        <f>Data!$D715/10^6</f>
        <v>18.150908999999999</v>
      </c>
    </row>
    <row r="716" spans="1:12" x14ac:dyDescent="0.25">
      <c r="A716" s="29" t="s">
        <v>87</v>
      </c>
      <c r="B716" s="15" t="s">
        <v>1109</v>
      </c>
      <c r="C716" s="15" t="s">
        <v>10</v>
      </c>
      <c r="D716" s="16">
        <v>35375636</v>
      </c>
      <c r="E716" s="17">
        <v>45352</v>
      </c>
      <c r="F716" s="18">
        <f>MONTH(Data!$E716)</f>
        <v>3</v>
      </c>
      <c r="G716" s="16">
        <f>YEAR(Data!$E716)</f>
        <v>2024</v>
      </c>
      <c r="H716" s="15" t="s">
        <v>29</v>
      </c>
      <c r="I716" s="15" t="str">
        <f t="shared" si="11"/>
        <v>Doanh nghiệp</v>
      </c>
      <c r="J716" s="15" t="s">
        <v>1285</v>
      </c>
      <c r="K716" s="15" t="s">
        <v>1263</v>
      </c>
      <c r="L716" s="32">
        <f>Data!$D716/10^6</f>
        <v>35.375636</v>
      </c>
    </row>
    <row r="717" spans="1:12" x14ac:dyDescent="0.25">
      <c r="A717" s="29" t="s">
        <v>23</v>
      </c>
      <c r="B717" s="15" t="s">
        <v>1121</v>
      </c>
      <c r="C717" s="15" t="s">
        <v>149</v>
      </c>
      <c r="D717" s="16">
        <v>51827273</v>
      </c>
      <c r="E717" s="17">
        <v>45352</v>
      </c>
      <c r="F717" s="18">
        <f>MONTH(Data!$E717)</f>
        <v>3</v>
      </c>
      <c r="G717" s="16">
        <f>YEAR(Data!$E717)</f>
        <v>2024</v>
      </c>
      <c r="H717" s="15" t="s">
        <v>25</v>
      </c>
      <c r="I717" s="15" t="str">
        <f t="shared" si="11"/>
        <v>Doanh nghiệp</v>
      </c>
      <c r="J717" s="15" t="s">
        <v>1284</v>
      </c>
      <c r="K717" s="15" t="s">
        <v>1262</v>
      </c>
      <c r="L717" s="32">
        <f>Data!$D717/10^6</f>
        <v>51.827272999999998</v>
      </c>
    </row>
    <row r="718" spans="1:12" x14ac:dyDescent="0.25">
      <c r="A718" s="29" t="s">
        <v>191</v>
      </c>
      <c r="B718" s="15" t="s">
        <v>1027</v>
      </c>
      <c r="C718" s="15" t="s">
        <v>149</v>
      </c>
      <c r="D718" s="16">
        <v>233977273</v>
      </c>
      <c r="E718" s="17">
        <v>45352</v>
      </c>
      <c r="F718" s="18">
        <f>MONTH(Data!$E718)</f>
        <v>3</v>
      </c>
      <c r="G718" s="16">
        <f>YEAR(Data!$E718)</f>
        <v>2024</v>
      </c>
      <c r="H718" s="15" t="s">
        <v>35</v>
      </c>
      <c r="I718" s="15" t="str">
        <f t="shared" si="11"/>
        <v>Doanh nghiệp</v>
      </c>
      <c r="J718" s="15" t="s">
        <v>1285</v>
      </c>
      <c r="K718" s="15" t="s">
        <v>1263</v>
      </c>
      <c r="L718" s="32">
        <f>Data!$D718/10^6</f>
        <v>233.977273</v>
      </c>
    </row>
    <row r="719" spans="1:12" x14ac:dyDescent="0.25">
      <c r="A719" s="29" t="s">
        <v>191</v>
      </c>
      <c r="B719" s="15" t="s">
        <v>1035</v>
      </c>
      <c r="C719" s="15" t="s">
        <v>10</v>
      </c>
      <c r="D719" s="16">
        <v>922835000</v>
      </c>
      <c r="E719" s="17">
        <v>45352</v>
      </c>
      <c r="F719" s="18">
        <f>MONTH(Data!$E719)</f>
        <v>3</v>
      </c>
      <c r="G719" s="16">
        <f>YEAR(Data!$E719)</f>
        <v>2024</v>
      </c>
      <c r="H719" s="15" t="s">
        <v>35</v>
      </c>
      <c r="I719" s="15" t="str">
        <f t="shared" si="11"/>
        <v>Doanh nghiệp</v>
      </c>
      <c r="J719" s="15" t="s">
        <v>1284</v>
      </c>
      <c r="K719" s="15" t="s">
        <v>1263</v>
      </c>
      <c r="L719" s="32">
        <f>Data!$D719/10^6</f>
        <v>922.83500000000004</v>
      </c>
    </row>
    <row r="720" spans="1:12" x14ac:dyDescent="0.25">
      <c r="A720" s="29" t="s">
        <v>218</v>
      </c>
      <c r="B720" s="15" t="s">
        <v>1037</v>
      </c>
      <c r="C720" s="15" t="s">
        <v>14</v>
      </c>
      <c r="D720" s="16">
        <v>55909091</v>
      </c>
      <c r="E720" s="17">
        <v>45352</v>
      </c>
      <c r="F720" s="18">
        <f>MONTH(Data!$E720)</f>
        <v>3</v>
      </c>
      <c r="G720" s="16">
        <f>YEAR(Data!$E720)</f>
        <v>2024</v>
      </c>
      <c r="H720" s="15" t="s">
        <v>15</v>
      </c>
      <c r="I720" s="15" t="str">
        <f t="shared" si="11"/>
        <v>Doanh nghiệp</v>
      </c>
      <c r="J720" s="15" t="s">
        <v>1285</v>
      </c>
      <c r="K720" s="15" t="s">
        <v>1264</v>
      </c>
      <c r="L720" s="32">
        <f>Data!$D720/10^6</f>
        <v>55.909090999999997</v>
      </c>
    </row>
    <row r="721" spans="1:12" x14ac:dyDescent="0.25">
      <c r="A721" s="29" t="s">
        <v>72</v>
      </c>
      <c r="B721" s="15" t="s">
        <v>1058</v>
      </c>
      <c r="C721" s="15" t="s">
        <v>46</v>
      </c>
      <c r="D721" s="16">
        <v>597635455</v>
      </c>
      <c r="E721" s="17">
        <v>45352</v>
      </c>
      <c r="F721" s="18">
        <f>MONTH(Data!$E721)</f>
        <v>3</v>
      </c>
      <c r="G721" s="16">
        <f>YEAR(Data!$E721)</f>
        <v>2024</v>
      </c>
      <c r="H721" s="15" t="s">
        <v>22</v>
      </c>
      <c r="I721" s="15" t="str">
        <f t="shared" si="11"/>
        <v>Doanh nghiệp</v>
      </c>
      <c r="J721" s="15" t="s">
        <v>1284</v>
      </c>
      <c r="K721" s="15" t="s">
        <v>1265</v>
      </c>
      <c r="L721" s="32">
        <f>Data!$D721/10^6</f>
        <v>597.63545499999998</v>
      </c>
    </row>
    <row r="722" spans="1:12" x14ac:dyDescent="0.25">
      <c r="A722" s="29" t="s">
        <v>73</v>
      </c>
      <c r="B722" s="15" t="s">
        <v>1062</v>
      </c>
      <c r="C722" s="15" t="s">
        <v>10</v>
      </c>
      <c r="D722" s="16">
        <v>19546000</v>
      </c>
      <c r="E722" s="17">
        <v>45352</v>
      </c>
      <c r="F722" s="18">
        <f>MONTH(Data!$E722)</f>
        <v>3</v>
      </c>
      <c r="G722" s="16">
        <f>YEAR(Data!$E722)</f>
        <v>2024</v>
      </c>
      <c r="H722" s="15" t="s">
        <v>32</v>
      </c>
      <c r="I722" s="15" t="str">
        <f t="shared" si="11"/>
        <v>Doanh nghiệp</v>
      </c>
      <c r="J722" s="15" t="s">
        <v>1285</v>
      </c>
      <c r="K722" s="15" t="s">
        <v>1263</v>
      </c>
      <c r="L722" s="32">
        <f>Data!$D722/10^6</f>
        <v>19.545999999999999</v>
      </c>
    </row>
    <row r="723" spans="1:12" x14ac:dyDescent="0.25">
      <c r="A723" s="29" t="s">
        <v>92</v>
      </c>
      <c r="B723" s="15" t="s">
        <v>1089</v>
      </c>
      <c r="C723" s="15" t="s">
        <v>14</v>
      </c>
      <c r="D723" s="16">
        <v>49505818</v>
      </c>
      <c r="E723" s="17">
        <v>45352</v>
      </c>
      <c r="F723" s="18">
        <f>MONTH(Data!$E723)</f>
        <v>3</v>
      </c>
      <c r="G723" s="16">
        <f>YEAR(Data!$E723)</f>
        <v>2024</v>
      </c>
      <c r="H723" s="15" t="s">
        <v>29</v>
      </c>
      <c r="I723" s="15" t="str">
        <f t="shared" si="11"/>
        <v>Doanh nghiệp</v>
      </c>
      <c r="J723" s="15" t="s">
        <v>1284</v>
      </c>
      <c r="K723" s="15" t="s">
        <v>1275</v>
      </c>
      <c r="L723" s="32">
        <f>Data!$D723/10^6</f>
        <v>49.505817999999998</v>
      </c>
    </row>
    <row r="724" spans="1:12" x14ac:dyDescent="0.25">
      <c r="A724" s="29" t="s">
        <v>36</v>
      </c>
      <c r="B724" s="15" t="s">
        <v>1109</v>
      </c>
      <c r="C724" s="15" t="s">
        <v>14</v>
      </c>
      <c r="D724" s="16">
        <v>30909091</v>
      </c>
      <c r="E724" s="17">
        <v>45352</v>
      </c>
      <c r="F724" s="18">
        <f>MONTH(Data!$E724)</f>
        <v>3</v>
      </c>
      <c r="G724" s="16">
        <f>YEAR(Data!$E724)</f>
        <v>2024</v>
      </c>
      <c r="H724" s="15" t="s">
        <v>15</v>
      </c>
      <c r="I724" s="15" t="str">
        <f t="shared" si="11"/>
        <v>Doanh nghiệp</v>
      </c>
      <c r="J724" s="15" t="s">
        <v>1285</v>
      </c>
      <c r="K724" s="15" t="s">
        <v>1273</v>
      </c>
      <c r="L724" s="32">
        <f>Data!$D724/10^6</f>
        <v>30.909091</v>
      </c>
    </row>
    <row r="725" spans="1:12" x14ac:dyDescent="0.25">
      <c r="A725" s="29" t="s">
        <v>8</v>
      </c>
      <c r="B725" s="15" t="s">
        <v>1120</v>
      </c>
      <c r="C725" s="15" t="s">
        <v>10</v>
      </c>
      <c r="D725" s="16">
        <v>472853120</v>
      </c>
      <c r="E725" s="17">
        <v>45352</v>
      </c>
      <c r="F725" s="18">
        <f>MONTH(Data!$E725)</f>
        <v>3</v>
      </c>
      <c r="G725" s="16">
        <f>YEAR(Data!$E725)</f>
        <v>2024</v>
      </c>
      <c r="H725" s="15" t="s">
        <v>11</v>
      </c>
      <c r="I725" s="15" t="str">
        <f t="shared" si="11"/>
        <v>Doanh nghiệp</v>
      </c>
      <c r="J725" s="15" t="s">
        <v>1284</v>
      </c>
      <c r="K725" s="15" t="s">
        <v>1262</v>
      </c>
      <c r="L725" s="32">
        <f>Data!$D725/10^6</f>
        <v>472.85311999999999</v>
      </c>
    </row>
    <row r="726" spans="1:12" x14ac:dyDescent="0.25">
      <c r="A726" s="29" t="s">
        <v>62</v>
      </c>
      <c r="B726" s="15" t="s">
        <v>1108</v>
      </c>
      <c r="C726" s="15" t="s">
        <v>10</v>
      </c>
      <c r="D726" s="16">
        <v>309479494</v>
      </c>
      <c r="E726" s="17">
        <v>45352</v>
      </c>
      <c r="F726" s="18">
        <f>MONTH(Data!$E726)</f>
        <v>3</v>
      </c>
      <c r="G726" s="16">
        <f>YEAR(Data!$E726)</f>
        <v>2024</v>
      </c>
      <c r="H726" s="15" t="s">
        <v>15</v>
      </c>
      <c r="I726" s="15" t="str">
        <f t="shared" si="11"/>
        <v>Doanh nghiệp</v>
      </c>
      <c r="J726" s="15" t="s">
        <v>1285</v>
      </c>
      <c r="K726" s="15" t="s">
        <v>1263</v>
      </c>
      <c r="L726" s="32">
        <f>Data!$D726/10^6</f>
        <v>309.47949399999999</v>
      </c>
    </row>
    <row r="727" spans="1:12" x14ac:dyDescent="0.25">
      <c r="A727" s="29" t="s">
        <v>75</v>
      </c>
      <c r="B727" s="15" t="s">
        <v>1131</v>
      </c>
      <c r="C727" s="15" t="s">
        <v>10</v>
      </c>
      <c r="D727" s="16">
        <v>30573182</v>
      </c>
      <c r="E727" s="17">
        <v>45352</v>
      </c>
      <c r="F727" s="18">
        <f>MONTH(Data!$E727)</f>
        <v>3</v>
      </c>
      <c r="G727" s="16">
        <f>YEAR(Data!$E727)</f>
        <v>2024</v>
      </c>
      <c r="H727" s="15" t="s">
        <v>15</v>
      </c>
      <c r="I727" s="15" t="str">
        <f t="shared" si="11"/>
        <v>Doanh nghiệp</v>
      </c>
      <c r="J727" s="15" t="s">
        <v>1284</v>
      </c>
      <c r="K727" s="15" t="s">
        <v>1263</v>
      </c>
      <c r="L727" s="32">
        <f>Data!$D727/10^6</f>
        <v>30.573181999999999</v>
      </c>
    </row>
    <row r="728" spans="1:12" x14ac:dyDescent="0.25">
      <c r="A728" s="29" t="s">
        <v>52</v>
      </c>
      <c r="B728" s="15" t="s">
        <v>1137</v>
      </c>
      <c r="C728" s="15" t="s">
        <v>10</v>
      </c>
      <c r="D728" s="16">
        <v>26181790</v>
      </c>
      <c r="E728" s="17">
        <v>45352</v>
      </c>
      <c r="F728" s="18">
        <f>MONTH(Data!$E728)</f>
        <v>3</v>
      </c>
      <c r="G728" s="16">
        <f>YEAR(Data!$E728)</f>
        <v>2024</v>
      </c>
      <c r="H728" s="15" t="s">
        <v>35</v>
      </c>
      <c r="I728" s="15" t="str">
        <f t="shared" si="11"/>
        <v>Doanh nghiệp</v>
      </c>
      <c r="J728" s="15" t="s">
        <v>1285</v>
      </c>
      <c r="K728" s="15" t="s">
        <v>1263</v>
      </c>
      <c r="L728" s="32">
        <f>Data!$D728/10^6</f>
        <v>26.181789999999999</v>
      </c>
    </row>
    <row r="729" spans="1:12" x14ac:dyDescent="0.25">
      <c r="A729" s="29" t="s">
        <v>71</v>
      </c>
      <c r="B729" s="15" t="s">
        <v>1138</v>
      </c>
      <c r="C729" s="15" t="s">
        <v>149</v>
      </c>
      <c r="D729" s="16">
        <v>14641818</v>
      </c>
      <c r="E729" s="17">
        <v>45352</v>
      </c>
      <c r="F729" s="18">
        <f>MONTH(Data!$E729)</f>
        <v>3</v>
      </c>
      <c r="G729" s="16">
        <f>YEAR(Data!$E729)</f>
        <v>2024</v>
      </c>
      <c r="H729" s="15" t="s">
        <v>11</v>
      </c>
      <c r="I729" s="15" t="str">
        <f t="shared" si="11"/>
        <v>Doanh nghiệp</v>
      </c>
      <c r="J729" s="15" t="s">
        <v>1284</v>
      </c>
      <c r="K729" s="15" t="s">
        <v>1263</v>
      </c>
      <c r="L729" s="32">
        <f>Data!$D729/10^6</f>
        <v>14.641818000000001</v>
      </c>
    </row>
    <row r="730" spans="1:12" x14ac:dyDescent="0.25">
      <c r="A730" s="29" t="s">
        <v>33</v>
      </c>
      <c r="B730" s="15" t="s">
        <v>1126</v>
      </c>
      <c r="C730" s="15" t="s">
        <v>10</v>
      </c>
      <c r="D730" s="16">
        <v>67272727</v>
      </c>
      <c r="E730" s="17">
        <v>45352</v>
      </c>
      <c r="F730" s="18">
        <f>MONTH(Data!$E730)</f>
        <v>3</v>
      </c>
      <c r="G730" s="16">
        <f>YEAR(Data!$E730)</f>
        <v>2024</v>
      </c>
      <c r="H730" s="15" t="s">
        <v>35</v>
      </c>
      <c r="I730" s="15" t="str">
        <f t="shared" si="11"/>
        <v>Doanh nghiệp</v>
      </c>
      <c r="J730" s="15" t="s">
        <v>1285</v>
      </c>
      <c r="K730" s="15" t="s">
        <v>1263</v>
      </c>
      <c r="L730" s="32">
        <f>Data!$D730/10^6</f>
        <v>67.272727000000003</v>
      </c>
    </row>
    <row r="731" spans="1:12" x14ac:dyDescent="0.25">
      <c r="A731" s="29" t="s">
        <v>52</v>
      </c>
      <c r="B731" s="15" t="s">
        <v>1153</v>
      </c>
      <c r="C731" s="15" t="s">
        <v>10</v>
      </c>
      <c r="D731" s="16">
        <v>147677180</v>
      </c>
      <c r="E731" s="17">
        <v>45352</v>
      </c>
      <c r="F731" s="18">
        <f>MONTH(Data!$E731)</f>
        <v>3</v>
      </c>
      <c r="G731" s="16">
        <f>YEAR(Data!$E731)</f>
        <v>2024</v>
      </c>
      <c r="H731" s="15" t="s">
        <v>35</v>
      </c>
      <c r="I731" s="15" t="str">
        <f t="shared" si="11"/>
        <v>Doanh nghiệp</v>
      </c>
      <c r="J731" s="15" t="s">
        <v>1284</v>
      </c>
      <c r="K731" s="15" t="s">
        <v>1263</v>
      </c>
      <c r="L731" s="32">
        <f>Data!$D731/10^6</f>
        <v>147.67717999999999</v>
      </c>
    </row>
    <row r="732" spans="1:12" x14ac:dyDescent="0.25">
      <c r="A732" s="29" t="s">
        <v>55</v>
      </c>
      <c r="B732" s="15" t="s">
        <v>1137</v>
      </c>
      <c r="C732" s="15" t="s">
        <v>41</v>
      </c>
      <c r="D732" s="16">
        <v>106109064</v>
      </c>
      <c r="E732" s="17">
        <v>45352</v>
      </c>
      <c r="F732" s="18">
        <f>MONTH(Data!$E732)</f>
        <v>3</v>
      </c>
      <c r="G732" s="16">
        <f>YEAR(Data!$E732)</f>
        <v>2024</v>
      </c>
      <c r="H732" s="15" t="s">
        <v>15</v>
      </c>
      <c r="I732" s="15" t="str">
        <f t="shared" si="11"/>
        <v>Doanh nghiệp</v>
      </c>
      <c r="J732" s="15" t="s">
        <v>1285</v>
      </c>
      <c r="K732" s="15" t="s">
        <v>1269</v>
      </c>
      <c r="L732" s="32">
        <f>Data!$D732/10^6</f>
        <v>106.109064</v>
      </c>
    </row>
    <row r="733" spans="1:12" x14ac:dyDescent="0.25">
      <c r="A733" s="29" t="s">
        <v>89</v>
      </c>
      <c r="B733" s="15" t="s">
        <v>1148</v>
      </c>
      <c r="C733" s="15" t="s">
        <v>14</v>
      </c>
      <c r="D733" s="16">
        <v>4227273</v>
      </c>
      <c r="E733" s="17">
        <v>45352</v>
      </c>
      <c r="F733" s="18">
        <f>MONTH(Data!$E733)</f>
        <v>3</v>
      </c>
      <c r="G733" s="16">
        <f>YEAR(Data!$E733)</f>
        <v>2024</v>
      </c>
      <c r="H733" s="15" t="s">
        <v>11</v>
      </c>
      <c r="I733" s="15" t="str">
        <f t="shared" si="11"/>
        <v>Doanh nghiệp</v>
      </c>
      <c r="J733" s="15" t="s">
        <v>1284</v>
      </c>
      <c r="K733" s="15" t="s">
        <v>1275</v>
      </c>
      <c r="L733" s="32">
        <f>Data!$D733/10^6</f>
        <v>4.2272730000000003</v>
      </c>
    </row>
    <row r="734" spans="1:12" x14ac:dyDescent="0.25">
      <c r="A734" s="29" t="s">
        <v>116</v>
      </c>
      <c r="B734" s="15" t="s">
        <v>1125</v>
      </c>
      <c r="C734" s="15" t="s">
        <v>10</v>
      </c>
      <c r="D734" s="16">
        <v>25580000</v>
      </c>
      <c r="E734" s="17">
        <v>45352</v>
      </c>
      <c r="F734" s="18">
        <f>MONTH(Data!$E734)</f>
        <v>3</v>
      </c>
      <c r="G734" s="16">
        <f>YEAR(Data!$E734)</f>
        <v>2024</v>
      </c>
      <c r="H734" s="15" t="s">
        <v>15</v>
      </c>
      <c r="I734" s="15" t="str">
        <f t="shared" si="11"/>
        <v>Doanh nghiệp</v>
      </c>
      <c r="J734" s="15" t="s">
        <v>1285</v>
      </c>
      <c r="K734" s="15" t="s">
        <v>1267</v>
      </c>
      <c r="L734" s="32">
        <f>Data!$D734/10^6</f>
        <v>25.58</v>
      </c>
    </row>
    <row r="735" spans="1:12" x14ac:dyDescent="0.25">
      <c r="A735" s="29" t="s">
        <v>116</v>
      </c>
      <c r="B735" s="15" t="s">
        <v>1126</v>
      </c>
      <c r="C735" s="15" t="s">
        <v>149</v>
      </c>
      <c r="D735" s="16">
        <v>24012327</v>
      </c>
      <c r="E735" s="17">
        <v>45352</v>
      </c>
      <c r="F735" s="18">
        <f>MONTH(Data!$E735)</f>
        <v>3</v>
      </c>
      <c r="G735" s="16">
        <f>YEAR(Data!$E735)</f>
        <v>2024</v>
      </c>
      <c r="H735" s="15" t="s">
        <v>15</v>
      </c>
      <c r="I735" s="15" t="str">
        <f t="shared" si="11"/>
        <v>Doanh nghiệp</v>
      </c>
      <c r="J735" s="15" t="s">
        <v>1284</v>
      </c>
      <c r="K735" s="15" t="s">
        <v>1267</v>
      </c>
      <c r="L735" s="32">
        <f>Data!$D735/10^6</f>
        <v>24.012326999999999</v>
      </c>
    </row>
    <row r="736" spans="1:12" x14ac:dyDescent="0.25">
      <c r="A736" s="29" t="s">
        <v>98</v>
      </c>
      <c r="B736" s="15" t="s">
        <v>1132</v>
      </c>
      <c r="C736" s="15" t="s">
        <v>10</v>
      </c>
      <c r="D736" s="16">
        <v>179774100</v>
      </c>
      <c r="E736" s="17">
        <v>45352</v>
      </c>
      <c r="F736" s="18">
        <f>MONTH(Data!$E736)</f>
        <v>3</v>
      </c>
      <c r="G736" s="16">
        <f>YEAR(Data!$E736)</f>
        <v>2024</v>
      </c>
      <c r="H736" s="15" t="s">
        <v>11</v>
      </c>
      <c r="I736" s="15" t="str">
        <f t="shared" si="11"/>
        <v>Doanh nghiệp</v>
      </c>
      <c r="J736" s="15" t="s">
        <v>1285</v>
      </c>
      <c r="K736" s="15" t="s">
        <v>1267</v>
      </c>
      <c r="L736" s="32">
        <f>Data!$D736/10^6</f>
        <v>179.7741</v>
      </c>
    </row>
    <row r="737" spans="1:12" x14ac:dyDescent="0.25">
      <c r="A737" s="29" t="s">
        <v>55</v>
      </c>
      <c r="B737" s="15" t="s">
        <v>1143</v>
      </c>
      <c r="C737" s="15" t="s">
        <v>10</v>
      </c>
      <c r="D737" s="16">
        <v>51065364</v>
      </c>
      <c r="E737" s="17">
        <v>45352</v>
      </c>
      <c r="F737" s="18">
        <f>MONTH(Data!$E737)</f>
        <v>3</v>
      </c>
      <c r="G737" s="16">
        <f>YEAR(Data!$E737)</f>
        <v>2024</v>
      </c>
      <c r="H737" s="15" t="s">
        <v>15</v>
      </c>
      <c r="I737" s="15" t="str">
        <f t="shared" si="11"/>
        <v>Doanh nghiệp</v>
      </c>
      <c r="J737" s="15" t="s">
        <v>1284</v>
      </c>
      <c r="K737" s="15" t="s">
        <v>1263</v>
      </c>
      <c r="L737" s="32">
        <f>Data!$D737/10^6</f>
        <v>51.065364000000002</v>
      </c>
    </row>
    <row r="738" spans="1:12" x14ac:dyDescent="0.25">
      <c r="A738" s="29" t="s">
        <v>55</v>
      </c>
      <c r="B738" s="15" t="s">
        <v>1144</v>
      </c>
      <c r="C738" s="15" t="s">
        <v>10</v>
      </c>
      <c r="D738" s="16">
        <v>1887324789</v>
      </c>
      <c r="E738" s="17">
        <v>45352</v>
      </c>
      <c r="F738" s="18">
        <f>MONTH(Data!$E738)</f>
        <v>3</v>
      </c>
      <c r="G738" s="16">
        <f>YEAR(Data!$E738)</f>
        <v>2024</v>
      </c>
      <c r="H738" s="15" t="s">
        <v>15</v>
      </c>
      <c r="I738" s="15" t="str">
        <f t="shared" si="11"/>
        <v>Doanh nghiệp</v>
      </c>
      <c r="J738" s="15" t="s">
        <v>1285</v>
      </c>
      <c r="K738" s="15" t="s">
        <v>1263</v>
      </c>
      <c r="L738" s="32">
        <f>Data!$D738/10^6</f>
        <v>1887.324789</v>
      </c>
    </row>
    <row r="739" spans="1:12" x14ac:dyDescent="0.25">
      <c r="A739" s="29" t="s">
        <v>23</v>
      </c>
      <c r="B739" s="15" t="s">
        <v>1162</v>
      </c>
      <c r="C739" s="15" t="s">
        <v>41</v>
      </c>
      <c r="D739" s="16">
        <v>102018900</v>
      </c>
      <c r="E739" s="17">
        <v>45352</v>
      </c>
      <c r="F739" s="18">
        <f>MONTH(Data!$E739)</f>
        <v>3</v>
      </c>
      <c r="G739" s="16">
        <f>YEAR(Data!$E739)</f>
        <v>2024</v>
      </c>
      <c r="H739" s="15" t="s">
        <v>25</v>
      </c>
      <c r="I739" s="15" t="str">
        <f t="shared" si="11"/>
        <v>Doanh nghiệp</v>
      </c>
      <c r="J739" s="15" t="s">
        <v>1284</v>
      </c>
      <c r="K739" s="15" t="s">
        <v>1269</v>
      </c>
      <c r="L739" s="32">
        <f>Data!$D739/10^6</f>
        <v>102.0189</v>
      </c>
    </row>
    <row r="740" spans="1:12" x14ac:dyDescent="0.25">
      <c r="A740" s="29" t="s">
        <v>27</v>
      </c>
      <c r="B740" s="15" t="s">
        <v>1184</v>
      </c>
      <c r="C740" s="15" t="s">
        <v>10</v>
      </c>
      <c r="D740" s="16">
        <v>39609364</v>
      </c>
      <c r="E740" s="17">
        <v>45352</v>
      </c>
      <c r="F740" s="18">
        <f>MONTH(Data!$E740)</f>
        <v>3</v>
      </c>
      <c r="G740" s="16">
        <f>YEAR(Data!$E740)</f>
        <v>2024</v>
      </c>
      <c r="H740" s="15" t="s">
        <v>11</v>
      </c>
      <c r="I740" s="15" t="str">
        <f t="shared" si="11"/>
        <v>Doanh nghiệp</v>
      </c>
      <c r="J740" s="15" t="s">
        <v>1285</v>
      </c>
      <c r="K740" s="15" t="s">
        <v>1263</v>
      </c>
      <c r="L740" s="32">
        <f>Data!$D740/10^6</f>
        <v>39.609363999999999</v>
      </c>
    </row>
    <row r="741" spans="1:12" x14ac:dyDescent="0.25">
      <c r="A741" s="29" t="s">
        <v>95</v>
      </c>
      <c r="B741" s="15" t="s">
        <v>1193</v>
      </c>
      <c r="C741" s="15" t="s">
        <v>10</v>
      </c>
      <c r="D741" s="16">
        <v>56852720</v>
      </c>
      <c r="E741" s="17">
        <v>45352</v>
      </c>
      <c r="F741" s="18">
        <f>MONTH(Data!$E741)</f>
        <v>3</v>
      </c>
      <c r="G741" s="16">
        <f>YEAR(Data!$E741)</f>
        <v>2024</v>
      </c>
      <c r="H741" s="15" t="s">
        <v>35</v>
      </c>
      <c r="I741" s="15" t="str">
        <f t="shared" si="11"/>
        <v>Doanh nghiệp</v>
      </c>
      <c r="J741" s="15" t="s">
        <v>1284</v>
      </c>
      <c r="K741" s="15" t="s">
        <v>1278</v>
      </c>
      <c r="L741" s="32">
        <f>Data!$D741/10^6</f>
        <v>56.852719999999998</v>
      </c>
    </row>
    <row r="742" spans="1:12" x14ac:dyDescent="0.25">
      <c r="A742" s="29" t="s">
        <v>30</v>
      </c>
      <c r="B742" s="15" t="s">
        <v>1214</v>
      </c>
      <c r="C742" s="15" t="s">
        <v>149</v>
      </c>
      <c r="D742" s="16">
        <v>20500364</v>
      </c>
      <c r="E742" s="17">
        <v>45352</v>
      </c>
      <c r="F742" s="18">
        <f>MONTH(Data!$E742)</f>
        <v>3</v>
      </c>
      <c r="G742" s="16">
        <f>YEAR(Data!$E742)</f>
        <v>2024</v>
      </c>
      <c r="H742" s="15" t="s">
        <v>32</v>
      </c>
      <c r="I742" s="15" t="str">
        <f t="shared" si="11"/>
        <v>Doanh nghiệp</v>
      </c>
      <c r="J742" s="15" t="s">
        <v>1285</v>
      </c>
      <c r="K742" s="15" t="s">
        <v>1275</v>
      </c>
      <c r="L742" s="32">
        <f>Data!$D742/10^6</f>
        <v>20.500364000000001</v>
      </c>
    </row>
    <row r="743" spans="1:12" x14ac:dyDescent="0.25">
      <c r="A743" s="29" t="s">
        <v>157</v>
      </c>
      <c r="B743" s="15" t="s">
        <v>1241</v>
      </c>
      <c r="C743" s="15" t="s">
        <v>10</v>
      </c>
      <c r="D743" s="16">
        <v>2547774000</v>
      </c>
      <c r="E743" s="17">
        <v>45352</v>
      </c>
      <c r="F743" s="18">
        <f>MONTH(Data!$E743)</f>
        <v>3</v>
      </c>
      <c r="G743" s="16">
        <f>YEAR(Data!$E743)</f>
        <v>2024</v>
      </c>
      <c r="H743" s="15" t="s">
        <v>32</v>
      </c>
      <c r="I743" s="15" t="str">
        <f t="shared" si="11"/>
        <v>Doanh nghiệp</v>
      </c>
      <c r="J743" s="15" t="s">
        <v>1284</v>
      </c>
      <c r="K743" s="15" t="s">
        <v>1263</v>
      </c>
      <c r="L743" s="32">
        <f>Data!$D743/10^6</f>
        <v>2547.7739999999999</v>
      </c>
    </row>
    <row r="744" spans="1:12" x14ac:dyDescent="0.25">
      <c r="A744" s="29" t="s">
        <v>71</v>
      </c>
      <c r="B744" s="15" t="s">
        <v>1245</v>
      </c>
      <c r="C744" s="15" t="s">
        <v>14</v>
      </c>
      <c r="D744" s="16">
        <v>8137309</v>
      </c>
      <c r="E744" s="17">
        <v>45352</v>
      </c>
      <c r="F744" s="18">
        <f>MONTH(Data!$E744)</f>
        <v>3</v>
      </c>
      <c r="G744" s="16">
        <f>YEAR(Data!$E744)</f>
        <v>2024</v>
      </c>
      <c r="H744" s="15" t="s">
        <v>11</v>
      </c>
      <c r="I744" s="15" t="str">
        <f t="shared" si="11"/>
        <v>Doanh nghiệp</v>
      </c>
      <c r="J744" s="15" t="s">
        <v>1285</v>
      </c>
      <c r="K744" s="15" t="s">
        <v>1275</v>
      </c>
      <c r="L744" s="32">
        <f>Data!$D744/10^6</f>
        <v>8.1373090000000001</v>
      </c>
    </row>
    <row r="745" spans="1:12" x14ac:dyDescent="0.25">
      <c r="A745" s="29" t="s">
        <v>127</v>
      </c>
      <c r="B745" s="15" t="s">
        <v>1238</v>
      </c>
      <c r="C745" s="15" t="s">
        <v>149</v>
      </c>
      <c r="D745" s="16">
        <v>29239036</v>
      </c>
      <c r="E745" s="17">
        <v>45352</v>
      </c>
      <c r="F745" s="18">
        <f>MONTH(Data!$E745)</f>
        <v>3</v>
      </c>
      <c r="G745" s="16">
        <f>YEAR(Data!$E745)</f>
        <v>2024</v>
      </c>
      <c r="H745" s="15" t="s">
        <v>32</v>
      </c>
      <c r="I745" s="15" t="str">
        <f t="shared" si="11"/>
        <v>Doanh nghiệp</v>
      </c>
      <c r="J745" s="15" t="s">
        <v>1284</v>
      </c>
      <c r="K745" s="15" t="s">
        <v>1262</v>
      </c>
      <c r="L745" s="32">
        <f>Data!$D745/10^6</f>
        <v>29.239035999999999</v>
      </c>
    </row>
    <row r="746" spans="1:12" x14ac:dyDescent="0.25">
      <c r="A746" s="29" t="s">
        <v>48</v>
      </c>
      <c r="B746" s="15" t="s">
        <v>1246</v>
      </c>
      <c r="C746" s="15" t="s">
        <v>10</v>
      </c>
      <c r="D746" s="16">
        <v>15600000</v>
      </c>
      <c r="E746" s="17">
        <v>45352</v>
      </c>
      <c r="F746" s="18">
        <f>MONTH(Data!$E746)</f>
        <v>3</v>
      </c>
      <c r="G746" s="16">
        <f>YEAR(Data!$E746)</f>
        <v>2024</v>
      </c>
      <c r="H746" s="15" t="s">
        <v>25</v>
      </c>
      <c r="I746" s="15" t="str">
        <f t="shared" si="11"/>
        <v>Doanh nghiệp</v>
      </c>
      <c r="J746" s="15" t="s">
        <v>1285</v>
      </c>
      <c r="K746" s="15" t="s">
        <v>1267</v>
      </c>
      <c r="L746" s="32">
        <f>Data!$D746/10^6</f>
        <v>15.6</v>
      </c>
    </row>
    <row r="747" spans="1:12" x14ac:dyDescent="0.25">
      <c r="A747" s="29" t="s">
        <v>48</v>
      </c>
      <c r="B747" s="15" t="s">
        <v>1247</v>
      </c>
      <c r="C747" s="15" t="s">
        <v>41</v>
      </c>
      <c r="D747" s="16">
        <v>9000000</v>
      </c>
      <c r="E747" s="17">
        <v>45352</v>
      </c>
      <c r="F747" s="18">
        <f>MONTH(Data!$E747)</f>
        <v>3</v>
      </c>
      <c r="G747" s="16">
        <f>YEAR(Data!$E747)</f>
        <v>2024</v>
      </c>
      <c r="H747" s="15" t="s">
        <v>25</v>
      </c>
      <c r="I747" s="15" t="str">
        <f t="shared" si="11"/>
        <v>Doanh nghiệp</v>
      </c>
      <c r="J747" s="15" t="s">
        <v>1284</v>
      </c>
      <c r="K747" s="15" t="s">
        <v>1269</v>
      </c>
      <c r="L747" s="32">
        <f>Data!$D747/10^6</f>
        <v>9</v>
      </c>
    </row>
    <row r="748" spans="1:12" x14ac:dyDescent="0.25">
      <c r="A748" s="29" t="s">
        <v>127</v>
      </c>
      <c r="B748" s="15" t="s">
        <v>1248</v>
      </c>
      <c r="C748" s="15" t="s">
        <v>46</v>
      </c>
      <c r="D748" s="16">
        <v>90000000</v>
      </c>
      <c r="E748" s="17">
        <v>45352</v>
      </c>
      <c r="F748" s="18">
        <f>MONTH(Data!$E748)</f>
        <v>3</v>
      </c>
      <c r="G748" s="16">
        <f>YEAR(Data!$E748)</f>
        <v>2024</v>
      </c>
      <c r="H748" s="15" t="s">
        <v>32</v>
      </c>
      <c r="I748" s="15" t="str">
        <f t="shared" si="11"/>
        <v>Doanh nghiệp</v>
      </c>
      <c r="J748" s="15" t="s">
        <v>1285</v>
      </c>
      <c r="K748" s="15" t="s">
        <v>1271</v>
      </c>
      <c r="L748" s="32">
        <f>Data!$D748/10^6</f>
        <v>90</v>
      </c>
    </row>
    <row r="749" spans="1:12" x14ac:dyDescent="0.25">
      <c r="A749" s="29" t="s">
        <v>45</v>
      </c>
      <c r="B749" s="15" t="s">
        <v>1248</v>
      </c>
      <c r="C749" s="15" t="s">
        <v>14</v>
      </c>
      <c r="D749" s="16">
        <v>22909091</v>
      </c>
      <c r="E749" s="17">
        <v>45352</v>
      </c>
      <c r="F749" s="18">
        <f>MONTH(Data!$E749)</f>
        <v>3</v>
      </c>
      <c r="G749" s="16">
        <f>YEAR(Data!$E749)</f>
        <v>2024</v>
      </c>
      <c r="H749" s="15" t="s">
        <v>29</v>
      </c>
      <c r="I749" s="15" t="str">
        <f t="shared" si="11"/>
        <v>Doanh nghiệp</v>
      </c>
      <c r="J749" s="15" t="s">
        <v>1284</v>
      </c>
      <c r="K749" s="15" t="s">
        <v>1264</v>
      </c>
      <c r="L749" s="32">
        <f>Data!$D749/10^6</f>
        <v>22.909091</v>
      </c>
    </row>
    <row r="750" spans="1:12" x14ac:dyDescent="0.25">
      <c r="A750" s="29" t="s">
        <v>73</v>
      </c>
      <c r="B750" s="15" t="s">
        <v>1247</v>
      </c>
      <c r="C750" s="15" t="s">
        <v>10</v>
      </c>
      <c r="D750" s="16">
        <v>44181818</v>
      </c>
      <c r="E750" s="17">
        <v>45352</v>
      </c>
      <c r="F750" s="18">
        <f>MONTH(Data!$E750)</f>
        <v>3</v>
      </c>
      <c r="G750" s="16">
        <f>YEAR(Data!$E750)</f>
        <v>2024</v>
      </c>
      <c r="H750" s="15" t="s">
        <v>32</v>
      </c>
      <c r="I750" s="15" t="str">
        <f t="shared" si="11"/>
        <v>Doanh nghiệp</v>
      </c>
      <c r="J750" s="15" t="s">
        <v>1285</v>
      </c>
      <c r="K750" s="15" t="s">
        <v>1263</v>
      </c>
      <c r="L750" s="32">
        <f>Data!$D750/10^6</f>
        <v>44.181818</v>
      </c>
    </row>
    <row r="751" spans="1:12" x14ac:dyDescent="0.25">
      <c r="A751" s="29" t="s">
        <v>13</v>
      </c>
      <c r="B751" s="15" t="s">
        <v>1248</v>
      </c>
      <c r="C751" s="15" t="s">
        <v>10</v>
      </c>
      <c r="D751" s="16">
        <v>13129091</v>
      </c>
      <c r="E751" s="17">
        <v>45352</v>
      </c>
      <c r="F751" s="18">
        <f>MONTH(Data!$E751)</f>
        <v>3</v>
      </c>
      <c r="G751" s="16">
        <f>YEAR(Data!$E751)</f>
        <v>2024</v>
      </c>
      <c r="H751" s="15" t="s">
        <v>15</v>
      </c>
      <c r="I751" s="15" t="str">
        <f t="shared" si="11"/>
        <v>Doanh nghiệp</v>
      </c>
      <c r="J751" s="15" t="s">
        <v>1284</v>
      </c>
      <c r="K751" s="15" t="s">
        <v>1263</v>
      </c>
      <c r="L751" s="32">
        <f>Data!$D751/10^6</f>
        <v>13.129091000000001</v>
      </c>
    </row>
    <row r="752" spans="1:12" x14ac:dyDescent="0.25">
      <c r="A752" s="29" t="s">
        <v>87</v>
      </c>
      <c r="B752" s="15" t="s">
        <v>1072</v>
      </c>
      <c r="C752" s="15" t="s">
        <v>46</v>
      </c>
      <c r="D752" s="16">
        <v>156545455</v>
      </c>
      <c r="E752" s="17">
        <v>45352</v>
      </c>
      <c r="F752" s="18">
        <f>MONTH(Data!$E752)</f>
        <v>3</v>
      </c>
      <c r="G752" s="16">
        <f>YEAR(Data!$E752)</f>
        <v>2024</v>
      </c>
      <c r="H752" s="15" t="s">
        <v>29</v>
      </c>
      <c r="I752" s="15" t="str">
        <f t="shared" si="11"/>
        <v>Doanh nghiệp</v>
      </c>
      <c r="J752" s="15" t="s">
        <v>1285</v>
      </c>
      <c r="K752" s="15" t="s">
        <v>1271</v>
      </c>
      <c r="L752" s="32">
        <f>Data!$D752/10^6</f>
        <v>156.545455</v>
      </c>
    </row>
    <row r="753" spans="1:12" x14ac:dyDescent="0.25">
      <c r="A753" s="29" t="s">
        <v>87</v>
      </c>
      <c r="B753" s="15" t="s">
        <v>1073</v>
      </c>
      <c r="C753" s="15" t="s">
        <v>46</v>
      </c>
      <c r="D753" s="16">
        <v>34090909</v>
      </c>
      <c r="E753" s="17">
        <v>45352</v>
      </c>
      <c r="F753" s="18">
        <f>MONTH(Data!$E753)</f>
        <v>3</v>
      </c>
      <c r="G753" s="16">
        <f>YEAR(Data!$E753)</f>
        <v>2024</v>
      </c>
      <c r="H753" s="15" t="s">
        <v>29</v>
      </c>
      <c r="I753" s="15" t="str">
        <f t="shared" si="11"/>
        <v>Doanh nghiệp</v>
      </c>
      <c r="J753" s="15" t="s">
        <v>1284</v>
      </c>
      <c r="K753" s="15" t="s">
        <v>1271</v>
      </c>
      <c r="L753" s="32">
        <f>Data!$D753/10^6</f>
        <v>34.090909000000003</v>
      </c>
    </row>
    <row r="754" spans="1:12" x14ac:dyDescent="0.25">
      <c r="A754" s="29" t="s">
        <v>87</v>
      </c>
      <c r="B754" s="15" t="s">
        <v>1074</v>
      </c>
      <c r="C754" s="15" t="s">
        <v>46</v>
      </c>
      <c r="D754" s="16">
        <v>238636364</v>
      </c>
      <c r="E754" s="17">
        <v>45352</v>
      </c>
      <c r="F754" s="18">
        <f>MONTH(Data!$E754)</f>
        <v>3</v>
      </c>
      <c r="G754" s="16">
        <f>YEAR(Data!$E754)</f>
        <v>2024</v>
      </c>
      <c r="H754" s="15" t="s">
        <v>29</v>
      </c>
      <c r="I754" s="15" t="str">
        <f t="shared" si="11"/>
        <v>Doanh nghiệp</v>
      </c>
      <c r="J754" s="15" t="s">
        <v>1285</v>
      </c>
      <c r="K754" s="15" t="s">
        <v>1271</v>
      </c>
      <c r="L754" s="32">
        <f>Data!$D754/10^6</f>
        <v>238.63636399999999</v>
      </c>
    </row>
    <row r="755" spans="1:12" x14ac:dyDescent="0.25">
      <c r="A755" s="29" t="s">
        <v>75</v>
      </c>
      <c r="B755" s="15" t="s">
        <v>234</v>
      </c>
      <c r="C755" s="15" t="s">
        <v>10</v>
      </c>
      <c r="D755" s="16">
        <v>510636364</v>
      </c>
      <c r="E755" s="17">
        <v>45352</v>
      </c>
      <c r="F755" s="18">
        <f>MONTH(Data!$E755)</f>
        <v>3</v>
      </c>
      <c r="G755" s="16">
        <f>YEAR(Data!$E755)</f>
        <v>2024</v>
      </c>
      <c r="H755" s="15" t="s">
        <v>15</v>
      </c>
      <c r="I755" s="15" t="str">
        <f t="shared" si="11"/>
        <v>Sở ban ngành</v>
      </c>
      <c r="J755" s="15" t="s">
        <v>1284</v>
      </c>
      <c r="K755" s="15" t="s">
        <v>1267</v>
      </c>
      <c r="L755" s="32">
        <f>Data!$D755/10^6</f>
        <v>510.63636400000001</v>
      </c>
    </row>
    <row r="756" spans="1:12" x14ac:dyDescent="0.25">
      <c r="A756" s="29" t="s">
        <v>127</v>
      </c>
      <c r="B756" s="15" t="s">
        <v>1045</v>
      </c>
      <c r="C756" s="15" t="s">
        <v>149</v>
      </c>
      <c r="D756" s="16">
        <v>39072727</v>
      </c>
      <c r="E756" s="17">
        <v>45352</v>
      </c>
      <c r="F756" s="18">
        <f>MONTH(Data!$E756)</f>
        <v>3</v>
      </c>
      <c r="G756" s="16">
        <f>YEAR(Data!$E756)</f>
        <v>2024</v>
      </c>
      <c r="H756" s="15" t="s">
        <v>32</v>
      </c>
      <c r="I756" s="15" t="str">
        <f t="shared" si="11"/>
        <v>Doanh nghiệp</v>
      </c>
      <c r="J756" s="15" t="s">
        <v>1285</v>
      </c>
      <c r="K756" s="15" t="s">
        <v>1262</v>
      </c>
      <c r="L756" s="32">
        <f>Data!$D756/10^6</f>
        <v>39.072727</v>
      </c>
    </row>
    <row r="757" spans="1:12" x14ac:dyDescent="0.25">
      <c r="A757" s="29" t="s">
        <v>30</v>
      </c>
      <c r="B757" s="15" t="s">
        <v>230</v>
      </c>
      <c r="C757" s="15" t="s">
        <v>10</v>
      </c>
      <c r="D757" s="16">
        <v>21993636</v>
      </c>
      <c r="E757" s="17">
        <v>45352</v>
      </c>
      <c r="F757" s="18">
        <f>MONTH(Data!$E757)</f>
        <v>3</v>
      </c>
      <c r="G757" s="16">
        <f>YEAR(Data!$E757)</f>
        <v>2024</v>
      </c>
      <c r="H757" s="15" t="s">
        <v>32</v>
      </c>
      <c r="I757" s="15" t="str">
        <f t="shared" si="11"/>
        <v>Sở ban ngành</v>
      </c>
      <c r="J757" s="15" t="s">
        <v>1284</v>
      </c>
      <c r="K757" s="15" t="s">
        <v>1262</v>
      </c>
      <c r="L757" s="32">
        <f>Data!$D757/10^6</f>
        <v>21.993635999999999</v>
      </c>
    </row>
    <row r="758" spans="1:12" x14ac:dyDescent="0.25">
      <c r="A758" s="29" t="s">
        <v>68</v>
      </c>
      <c r="B758" s="15" t="s">
        <v>214</v>
      </c>
      <c r="C758" s="15" t="s">
        <v>14</v>
      </c>
      <c r="D758" s="16">
        <v>69363636</v>
      </c>
      <c r="E758" s="17">
        <v>45352</v>
      </c>
      <c r="F758" s="18">
        <f>MONTH(Data!$E758)</f>
        <v>3</v>
      </c>
      <c r="G758" s="16">
        <f>YEAR(Data!$E758)</f>
        <v>2024</v>
      </c>
      <c r="H758" s="15" t="s">
        <v>22</v>
      </c>
      <c r="I758" s="15" t="str">
        <f t="shared" si="11"/>
        <v>Sở ban ngành</v>
      </c>
      <c r="J758" s="15" t="s">
        <v>1285</v>
      </c>
      <c r="K758" s="15" t="s">
        <v>1264</v>
      </c>
      <c r="L758" s="32">
        <f>Data!$D758/10^6</f>
        <v>69.363636</v>
      </c>
    </row>
    <row r="759" spans="1:12" x14ac:dyDescent="0.25">
      <c r="A759" s="29" t="s">
        <v>68</v>
      </c>
      <c r="B759" s="15" t="s">
        <v>206</v>
      </c>
      <c r="C759" s="15" t="s">
        <v>14</v>
      </c>
      <c r="D759" s="16">
        <v>59818182</v>
      </c>
      <c r="E759" s="17">
        <v>45352</v>
      </c>
      <c r="F759" s="18">
        <f>MONTH(Data!$E759)</f>
        <v>3</v>
      </c>
      <c r="G759" s="16">
        <f>YEAR(Data!$E759)</f>
        <v>2024</v>
      </c>
      <c r="H759" s="15" t="s">
        <v>22</v>
      </c>
      <c r="I759" s="15" t="str">
        <f t="shared" si="11"/>
        <v>Sở ban ngành</v>
      </c>
      <c r="J759" s="15" t="s">
        <v>1284</v>
      </c>
      <c r="K759" s="15" t="s">
        <v>1264</v>
      </c>
      <c r="L759" s="32">
        <f>Data!$D759/10^6</f>
        <v>59.818182</v>
      </c>
    </row>
    <row r="760" spans="1:12" x14ac:dyDescent="0.25">
      <c r="A760" s="29" t="s">
        <v>37</v>
      </c>
      <c r="B760" s="15" t="s">
        <v>208</v>
      </c>
      <c r="C760" s="15" t="s">
        <v>41</v>
      </c>
      <c r="D760" s="16">
        <v>945518182</v>
      </c>
      <c r="E760" s="17">
        <v>45352</v>
      </c>
      <c r="F760" s="18">
        <f>MONTH(Data!$E760)</f>
        <v>3</v>
      </c>
      <c r="G760" s="16">
        <f>YEAR(Data!$E760)</f>
        <v>2024</v>
      </c>
      <c r="H760" s="15" t="s">
        <v>11</v>
      </c>
      <c r="I760" s="15" t="str">
        <f t="shared" si="11"/>
        <v>Sở ban ngành</v>
      </c>
      <c r="J760" s="15" t="s">
        <v>1285</v>
      </c>
      <c r="K760" s="15" t="s">
        <v>1280</v>
      </c>
      <c r="L760" s="32">
        <f>Data!$D760/10^6</f>
        <v>945.51818200000002</v>
      </c>
    </row>
    <row r="761" spans="1:12" x14ac:dyDescent="0.25">
      <c r="A761" s="29" t="s">
        <v>23</v>
      </c>
      <c r="B761" s="15" t="s">
        <v>216</v>
      </c>
      <c r="C761" s="15" t="s">
        <v>46</v>
      </c>
      <c r="D761" s="16">
        <v>8181818</v>
      </c>
      <c r="E761" s="17">
        <v>45352</v>
      </c>
      <c r="F761" s="18">
        <f>MONTH(Data!$E761)</f>
        <v>3</v>
      </c>
      <c r="G761" s="16">
        <f>YEAR(Data!$E761)</f>
        <v>2024</v>
      </c>
      <c r="H761" s="15" t="s">
        <v>25</v>
      </c>
      <c r="I761" s="15" t="str">
        <f t="shared" si="11"/>
        <v>Sở ban ngành</v>
      </c>
      <c r="J761" s="15" t="s">
        <v>1284</v>
      </c>
      <c r="K761" s="15" t="s">
        <v>1271</v>
      </c>
      <c r="L761" s="32">
        <f>Data!$D761/10^6</f>
        <v>8.1818179999999998</v>
      </c>
    </row>
    <row r="762" spans="1:12" x14ac:dyDescent="0.25">
      <c r="A762" s="29" t="s">
        <v>85</v>
      </c>
      <c r="B762" s="15" t="s">
        <v>236</v>
      </c>
      <c r="C762" s="15" t="s">
        <v>10</v>
      </c>
      <c r="D762" s="16">
        <v>12334545</v>
      </c>
      <c r="E762" s="17">
        <v>45352</v>
      </c>
      <c r="F762" s="18">
        <f>MONTH(Data!$E762)</f>
        <v>3</v>
      </c>
      <c r="G762" s="16">
        <f>YEAR(Data!$E762)</f>
        <v>2024</v>
      </c>
      <c r="H762" s="15" t="s">
        <v>15</v>
      </c>
      <c r="I762" s="15" t="str">
        <f t="shared" si="11"/>
        <v>Sở ban ngành</v>
      </c>
      <c r="J762" s="15" t="s">
        <v>1285</v>
      </c>
      <c r="K762" s="15" t="s">
        <v>1267</v>
      </c>
      <c r="L762" s="32">
        <f>Data!$D762/10^6</f>
        <v>12.334545</v>
      </c>
    </row>
    <row r="763" spans="1:12" x14ac:dyDescent="0.25">
      <c r="A763" s="29" t="s">
        <v>30</v>
      </c>
      <c r="B763" s="15" t="s">
        <v>215</v>
      </c>
      <c r="C763" s="15" t="s">
        <v>10</v>
      </c>
      <c r="D763" s="16">
        <v>12970455</v>
      </c>
      <c r="E763" s="17">
        <v>45352</v>
      </c>
      <c r="F763" s="18">
        <f>MONTH(Data!$E763)</f>
        <v>3</v>
      </c>
      <c r="G763" s="16">
        <f>YEAR(Data!$E763)</f>
        <v>2024</v>
      </c>
      <c r="H763" s="15" t="s">
        <v>32</v>
      </c>
      <c r="I763" s="15" t="str">
        <f t="shared" si="11"/>
        <v>Sở ban ngành</v>
      </c>
      <c r="J763" s="15" t="s">
        <v>1284</v>
      </c>
      <c r="K763" s="15" t="s">
        <v>1262</v>
      </c>
      <c r="L763" s="32">
        <f>Data!$D763/10^6</f>
        <v>12.970454999999999</v>
      </c>
    </row>
    <row r="764" spans="1:12" x14ac:dyDescent="0.25">
      <c r="A764" s="29" t="s">
        <v>36</v>
      </c>
      <c r="B764" s="15" t="s">
        <v>246</v>
      </c>
      <c r="C764" s="15" t="s">
        <v>149</v>
      </c>
      <c r="D764" s="16">
        <v>42194545</v>
      </c>
      <c r="E764" s="17">
        <v>45352</v>
      </c>
      <c r="F764" s="18">
        <f>MONTH(Data!$E764)</f>
        <v>3</v>
      </c>
      <c r="G764" s="16">
        <f>YEAR(Data!$E764)</f>
        <v>2024</v>
      </c>
      <c r="H764" s="15" t="s">
        <v>15</v>
      </c>
      <c r="I764" s="15" t="str">
        <f t="shared" si="11"/>
        <v>Sở ban ngành</v>
      </c>
      <c r="J764" s="15" t="s">
        <v>1285</v>
      </c>
      <c r="K764" s="15" t="s">
        <v>1264</v>
      </c>
      <c r="L764" s="32">
        <f>Data!$D764/10^6</f>
        <v>42.194544999999998</v>
      </c>
    </row>
    <row r="765" spans="1:12" x14ac:dyDescent="0.25">
      <c r="A765" s="29" t="s">
        <v>74</v>
      </c>
      <c r="B765" s="15" t="s">
        <v>248</v>
      </c>
      <c r="C765" s="15" t="s">
        <v>149</v>
      </c>
      <c r="D765" s="16">
        <v>17869091</v>
      </c>
      <c r="E765" s="17">
        <v>45352</v>
      </c>
      <c r="F765" s="18">
        <f>MONTH(Data!$E765)</f>
        <v>3</v>
      </c>
      <c r="G765" s="16">
        <f>YEAR(Data!$E765)</f>
        <v>2024</v>
      </c>
      <c r="H765" s="15" t="s">
        <v>11</v>
      </c>
      <c r="I765" s="15" t="str">
        <f t="shared" si="11"/>
        <v>Sở ban ngành</v>
      </c>
      <c r="J765" s="15" t="s">
        <v>1284</v>
      </c>
      <c r="K765" s="15" t="s">
        <v>1264</v>
      </c>
      <c r="L765" s="32">
        <f>Data!$D765/10^6</f>
        <v>17.869091000000001</v>
      </c>
    </row>
    <row r="766" spans="1:12" x14ac:dyDescent="0.25">
      <c r="A766" s="29" t="s">
        <v>74</v>
      </c>
      <c r="B766" s="15" t="s">
        <v>248</v>
      </c>
      <c r="C766" s="15" t="s">
        <v>149</v>
      </c>
      <c r="D766" s="16">
        <v>23269091</v>
      </c>
      <c r="E766" s="17">
        <v>45352</v>
      </c>
      <c r="F766" s="18">
        <f>MONTH(Data!$E766)</f>
        <v>3</v>
      </c>
      <c r="G766" s="16">
        <f>YEAR(Data!$E766)</f>
        <v>2024</v>
      </c>
      <c r="H766" s="15" t="s">
        <v>11</v>
      </c>
      <c r="I766" s="15" t="str">
        <f t="shared" si="11"/>
        <v>Sở ban ngành</v>
      </c>
      <c r="J766" s="15" t="s">
        <v>1285</v>
      </c>
      <c r="K766" s="15" t="s">
        <v>1264</v>
      </c>
      <c r="L766" s="32">
        <f>Data!$D766/10^6</f>
        <v>23.269091</v>
      </c>
    </row>
    <row r="767" spans="1:12" x14ac:dyDescent="0.25">
      <c r="A767" s="29" t="s">
        <v>73</v>
      </c>
      <c r="B767" s="15" t="s">
        <v>228</v>
      </c>
      <c r="C767" s="15" t="s">
        <v>14</v>
      </c>
      <c r="D767" s="16">
        <v>123181818</v>
      </c>
      <c r="E767" s="17">
        <v>45352</v>
      </c>
      <c r="F767" s="18">
        <f>MONTH(Data!$E767)</f>
        <v>3</v>
      </c>
      <c r="G767" s="16">
        <f>YEAR(Data!$E767)</f>
        <v>2024</v>
      </c>
      <c r="H767" s="15" t="s">
        <v>32</v>
      </c>
      <c r="I767" s="15" t="str">
        <f t="shared" si="11"/>
        <v>Sở ban ngành</v>
      </c>
      <c r="J767" s="15" t="s">
        <v>1284</v>
      </c>
      <c r="K767" s="15" t="s">
        <v>1264</v>
      </c>
      <c r="L767" s="32">
        <f>Data!$D767/10^6</f>
        <v>123.18181800000001</v>
      </c>
    </row>
    <row r="768" spans="1:12" x14ac:dyDescent="0.25">
      <c r="A768" s="29" t="s">
        <v>30</v>
      </c>
      <c r="B768" s="15" t="s">
        <v>211</v>
      </c>
      <c r="C768" s="15" t="s">
        <v>10</v>
      </c>
      <c r="D768" s="16">
        <v>190852727</v>
      </c>
      <c r="E768" s="17">
        <v>45352</v>
      </c>
      <c r="F768" s="18">
        <f>MONTH(Data!$E768)</f>
        <v>3</v>
      </c>
      <c r="G768" s="16">
        <f>YEAR(Data!$E768)</f>
        <v>2024</v>
      </c>
      <c r="H768" s="15" t="s">
        <v>32</v>
      </c>
      <c r="I768" s="15" t="str">
        <f t="shared" si="11"/>
        <v>Sở ban ngành</v>
      </c>
      <c r="J768" s="15" t="s">
        <v>1285</v>
      </c>
      <c r="K768" s="15" t="s">
        <v>1263</v>
      </c>
      <c r="L768" s="32">
        <f>Data!$D768/10^6</f>
        <v>190.85272699999999</v>
      </c>
    </row>
    <row r="769" spans="1:12" x14ac:dyDescent="0.25">
      <c r="A769" s="29" t="s">
        <v>146</v>
      </c>
      <c r="B769" s="15" t="s">
        <v>225</v>
      </c>
      <c r="C769" s="15" t="s">
        <v>41</v>
      </c>
      <c r="D769" s="16">
        <v>36233800</v>
      </c>
      <c r="E769" s="17">
        <v>45352</v>
      </c>
      <c r="F769" s="18">
        <f>MONTH(Data!$E769)</f>
        <v>3</v>
      </c>
      <c r="G769" s="16">
        <f>YEAR(Data!$E769)</f>
        <v>2024</v>
      </c>
      <c r="H769" s="15" t="s">
        <v>32</v>
      </c>
      <c r="I769" s="15" t="str">
        <f t="shared" si="11"/>
        <v>Sở ban ngành</v>
      </c>
      <c r="J769" s="15" t="s">
        <v>1284</v>
      </c>
      <c r="K769" s="15" t="s">
        <v>1280</v>
      </c>
      <c r="L769" s="32">
        <f>Data!$D769/10^6</f>
        <v>36.233800000000002</v>
      </c>
    </row>
    <row r="770" spans="1:12" x14ac:dyDescent="0.25">
      <c r="A770" s="29" t="s">
        <v>146</v>
      </c>
      <c r="B770" s="15" t="s">
        <v>241</v>
      </c>
      <c r="C770" s="15" t="s">
        <v>41</v>
      </c>
      <c r="D770" s="16">
        <v>44023873</v>
      </c>
      <c r="E770" s="17">
        <v>45352</v>
      </c>
      <c r="F770" s="18">
        <f>MONTH(Data!$E770)</f>
        <v>3</v>
      </c>
      <c r="G770" s="16">
        <f>YEAR(Data!$E770)</f>
        <v>2024</v>
      </c>
      <c r="H770" s="15" t="s">
        <v>32</v>
      </c>
      <c r="I770" s="15" t="str">
        <f t="shared" si="11"/>
        <v>Sở ban ngành</v>
      </c>
      <c r="J770" s="15" t="s">
        <v>1285</v>
      </c>
      <c r="K770" s="15" t="s">
        <v>1280</v>
      </c>
      <c r="L770" s="32">
        <f>Data!$D770/10^6</f>
        <v>44.023873000000002</v>
      </c>
    </row>
    <row r="771" spans="1:12" x14ac:dyDescent="0.25">
      <c r="A771" s="29" t="s">
        <v>146</v>
      </c>
      <c r="B771" s="15" t="s">
        <v>238</v>
      </c>
      <c r="C771" s="15" t="s">
        <v>41</v>
      </c>
      <c r="D771" s="16">
        <v>45436364</v>
      </c>
      <c r="E771" s="17">
        <v>45352</v>
      </c>
      <c r="F771" s="18">
        <f>MONTH(Data!$E771)</f>
        <v>3</v>
      </c>
      <c r="G771" s="16">
        <f>YEAR(Data!$E771)</f>
        <v>2024</v>
      </c>
      <c r="H771" s="15" t="s">
        <v>32</v>
      </c>
      <c r="I771" s="15" t="str">
        <f t="shared" ref="I771:I834" si="12">IF(ISNUMBER(SEARCH("Công ty",$B771)),"Doanh nghiệp",IF(ISNUMBER(SEARCH("Doanh nghiệp",$B771)),"Doanh nghiệp",IF(ISNUMBER(SEARCH("Tập đoàn",$B771)),"Doanh nghiệp",
IF(ISNUMBER(SEARCH("Bệnh viện",$B771)),"Bệnh viện",
IF(ISNUMBER(SEARCH("Ngân hàng",$B771)),"Ngân hàng",IF(ISNUMBER(SEARCH("trường",$B771)),"Trường học",IF(ISNUMBER(SEARCH("học viện",$B771)),"Trường học",
IF(ISNUMBER(SEARCH("Bộ",$B771)),"Sở ban ngành",IF(ISNUMBER(SEARCH("Đoàn",$B771)),"Sở ban ngành",IF(ISNUMBER(SEARCH("Phòng",$B771)),"Sở ban ngành",IF(ISNUMBER(SEARCH("UBND",$B771)),"Sở ban ngành",IF(ISNUMBER(SEARCH("ủy ban",$B771)),"Sở ban ngành",IF(ISNUMBER(SEARCH("công an",$B771)),"Sở ban ngành",IF(ISNUMBER(SEARCH("sở",$B771)),"Sở ban ngành",IF(ISNUMBER(SEARCH("thôn",$B771)),"Sở ban ngành",IF(ISNUMBER(SEARCH("xã",$B771)),"Sở ban ngành",IF(ISNUMBER(SEARCH("quân khu",$B771)),"Sở ban ngành",IF(ISNUMBER(SEARCH("cục",$B771)),"Sở ban ngành",IF(ISNUMBER(SEARCH("viện",$B771)),"Sở ban ngành",IF(ISNUMBER(SEARCH("quỹ",$B771)),"Sở ban ngành",IF(ISNUMBER(SEARCH("trung tâm",$B771)),"Sở ban ngành",IF(ISNUMBER(SEARCH("quân chủng",$B771)),"Sở ban ngành",IF(ISNUMBER(SEARCH("hội",$B771)),"Sở ban ngành",
"Khác")))))))))))))))))))))))</f>
        <v>Sở ban ngành</v>
      </c>
      <c r="J771" s="15" t="s">
        <v>1284</v>
      </c>
      <c r="K771" s="15" t="s">
        <v>1280</v>
      </c>
      <c r="L771" s="32">
        <f>Data!$D771/10^6</f>
        <v>45.436363999999998</v>
      </c>
    </row>
    <row r="772" spans="1:12" x14ac:dyDescent="0.25">
      <c r="A772" s="29" t="s">
        <v>78</v>
      </c>
      <c r="B772" s="15" t="s">
        <v>242</v>
      </c>
      <c r="C772" s="15" t="s">
        <v>14</v>
      </c>
      <c r="D772" s="16">
        <v>37600000</v>
      </c>
      <c r="E772" s="17">
        <v>45352</v>
      </c>
      <c r="F772" s="18">
        <f>MONTH(Data!$E772)</f>
        <v>3</v>
      </c>
      <c r="G772" s="16">
        <f>YEAR(Data!$E772)</f>
        <v>2024</v>
      </c>
      <c r="H772" s="15" t="s">
        <v>15</v>
      </c>
      <c r="I772" s="15" t="str">
        <f t="shared" si="12"/>
        <v>Sở ban ngành</v>
      </c>
      <c r="J772" s="15" t="s">
        <v>1285</v>
      </c>
      <c r="K772" s="15" t="s">
        <v>1264</v>
      </c>
      <c r="L772" s="32">
        <f>Data!$D772/10^6</f>
        <v>37.6</v>
      </c>
    </row>
    <row r="773" spans="1:12" x14ac:dyDescent="0.25">
      <c r="A773" s="29" t="s">
        <v>146</v>
      </c>
      <c r="B773" s="15" t="s">
        <v>237</v>
      </c>
      <c r="C773" s="15" t="s">
        <v>10</v>
      </c>
      <c r="D773" s="16">
        <v>67163636</v>
      </c>
      <c r="E773" s="17">
        <v>45352</v>
      </c>
      <c r="F773" s="18">
        <f>MONTH(Data!$E773)</f>
        <v>3</v>
      </c>
      <c r="G773" s="16">
        <f>YEAR(Data!$E773)</f>
        <v>2024</v>
      </c>
      <c r="H773" s="15" t="s">
        <v>32</v>
      </c>
      <c r="I773" s="15" t="str">
        <f t="shared" si="12"/>
        <v>Sở ban ngành</v>
      </c>
      <c r="J773" s="15" t="s">
        <v>1284</v>
      </c>
      <c r="K773" s="15" t="s">
        <v>1263</v>
      </c>
      <c r="L773" s="32">
        <f>Data!$D773/10^6</f>
        <v>67.163635999999997</v>
      </c>
    </row>
    <row r="774" spans="1:12" x14ac:dyDescent="0.25">
      <c r="A774" s="29" t="s">
        <v>72</v>
      </c>
      <c r="B774" s="15" t="s">
        <v>212</v>
      </c>
      <c r="C774" s="15" t="s">
        <v>10</v>
      </c>
      <c r="D774" s="16">
        <v>287364545</v>
      </c>
      <c r="E774" s="17">
        <v>45352</v>
      </c>
      <c r="F774" s="18">
        <f>MONTH(Data!$E774)</f>
        <v>3</v>
      </c>
      <c r="G774" s="16">
        <f>YEAR(Data!$E774)</f>
        <v>2024</v>
      </c>
      <c r="H774" s="15" t="s">
        <v>22</v>
      </c>
      <c r="I774" s="15" t="str">
        <f t="shared" si="12"/>
        <v>Sở ban ngành</v>
      </c>
      <c r="J774" s="15" t="s">
        <v>1285</v>
      </c>
      <c r="K774" s="15" t="s">
        <v>1263</v>
      </c>
      <c r="L774" s="32">
        <f>Data!$D774/10^6</f>
        <v>287.36454500000002</v>
      </c>
    </row>
    <row r="775" spans="1:12" x14ac:dyDescent="0.25">
      <c r="A775" s="29" t="s">
        <v>65</v>
      </c>
      <c r="B775" s="15" t="s">
        <v>210</v>
      </c>
      <c r="C775" s="15" t="s">
        <v>46</v>
      </c>
      <c r="D775" s="16">
        <v>162654545</v>
      </c>
      <c r="E775" s="17">
        <v>45352</v>
      </c>
      <c r="F775" s="18">
        <f>MONTH(Data!$E775)</f>
        <v>3</v>
      </c>
      <c r="G775" s="16">
        <f>YEAR(Data!$E775)</f>
        <v>2024</v>
      </c>
      <c r="H775" s="15" t="s">
        <v>25</v>
      </c>
      <c r="I775" s="15" t="str">
        <f t="shared" si="12"/>
        <v>Sở ban ngành</v>
      </c>
      <c r="J775" s="15" t="s">
        <v>1284</v>
      </c>
      <c r="K775" s="15" t="s">
        <v>1271</v>
      </c>
      <c r="L775" s="32">
        <f>Data!$D775/10^6</f>
        <v>162.65454500000001</v>
      </c>
    </row>
    <row r="776" spans="1:12" x14ac:dyDescent="0.25">
      <c r="A776" s="29" t="s">
        <v>74</v>
      </c>
      <c r="B776" s="15" t="s">
        <v>229</v>
      </c>
      <c r="C776" s="15" t="s">
        <v>10</v>
      </c>
      <c r="D776" s="16">
        <v>11499091</v>
      </c>
      <c r="E776" s="17">
        <v>45352</v>
      </c>
      <c r="F776" s="18">
        <f>MONTH(Data!$E776)</f>
        <v>3</v>
      </c>
      <c r="G776" s="16">
        <f>YEAR(Data!$E776)</f>
        <v>2024</v>
      </c>
      <c r="H776" s="15" t="s">
        <v>11</v>
      </c>
      <c r="I776" s="15" t="str">
        <f t="shared" si="12"/>
        <v>Sở ban ngành</v>
      </c>
      <c r="J776" s="15" t="s">
        <v>1285</v>
      </c>
      <c r="K776" s="15" t="s">
        <v>1263</v>
      </c>
      <c r="L776" s="32">
        <f>Data!$D776/10^6</f>
        <v>11.499091</v>
      </c>
    </row>
    <row r="777" spans="1:12" x14ac:dyDescent="0.25">
      <c r="A777" s="29" t="s">
        <v>45</v>
      </c>
      <c r="B777" s="15" t="s">
        <v>232</v>
      </c>
      <c r="C777" s="15" t="s">
        <v>149</v>
      </c>
      <c r="D777" s="16">
        <v>29036364</v>
      </c>
      <c r="E777" s="17">
        <v>45352</v>
      </c>
      <c r="F777" s="18">
        <f>MONTH(Data!$E777)</f>
        <v>3</v>
      </c>
      <c r="G777" s="16">
        <f>YEAR(Data!$E777)</f>
        <v>2024</v>
      </c>
      <c r="H777" s="15" t="s">
        <v>29</v>
      </c>
      <c r="I777" s="15" t="str">
        <f t="shared" si="12"/>
        <v>Sở ban ngành</v>
      </c>
      <c r="J777" s="15" t="s">
        <v>1284</v>
      </c>
      <c r="K777" s="15" t="s">
        <v>1263</v>
      </c>
      <c r="L777" s="32">
        <f>Data!$D777/10^6</f>
        <v>29.036363999999999</v>
      </c>
    </row>
    <row r="778" spans="1:12" x14ac:dyDescent="0.25">
      <c r="A778" s="29" t="s">
        <v>127</v>
      </c>
      <c r="B778" s="15" t="s">
        <v>179</v>
      </c>
      <c r="C778" s="15" t="s">
        <v>149</v>
      </c>
      <c r="D778" s="16">
        <v>13454545</v>
      </c>
      <c r="E778" s="17">
        <v>45352</v>
      </c>
      <c r="F778" s="18">
        <f>MONTH(Data!$E778)</f>
        <v>3</v>
      </c>
      <c r="G778" s="16">
        <f>YEAR(Data!$E778)</f>
        <v>2024</v>
      </c>
      <c r="H778" s="15" t="s">
        <v>32</v>
      </c>
      <c r="I778" s="15" t="str">
        <f t="shared" si="12"/>
        <v>Trường học</v>
      </c>
      <c r="J778" s="15" t="s">
        <v>1285</v>
      </c>
      <c r="K778" s="15" t="s">
        <v>1264</v>
      </c>
      <c r="L778" s="32">
        <f>Data!$D778/10^6</f>
        <v>13.454545</v>
      </c>
    </row>
    <row r="779" spans="1:12" x14ac:dyDescent="0.25">
      <c r="A779" s="29" t="s">
        <v>74</v>
      </c>
      <c r="B779" s="15" t="s">
        <v>239</v>
      </c>
      <c r="C779" s="15" t="s">
        <v>10</v>
      </c>
      <c r="D779" s="16">
        <v>90802727</v>
      </c>
      <c r="E779" s="17">
        <v>45352</v>
      </c>
      <c r="F779" s="18">
        <f>MONTH(Data!$E779)</f>
        <v>3</v>
      </c>
      <c r="G779" s="16">
        <f>YEAR(Data!$E779)</f>
        <v>2024</v>
      </c>
      <c r="H779" s="15" t="s">
        <v>11</v>
      </c>
      <c r="I779" s="15" t="str">
        <f t="shared" si="12"/>
        <v>Trường học</v>
      </c>
      <c r="J779" s="15" t="s">
        <v>1284</v>
      </c>
      <c r="K779" s="15" t="s">
        <v>1262</v>
      </c>
      <c r="L779" s="32">
        <f>Data!$D779/10^6</f>
        <v>90.802727000000004</v>
      </c>
    </row>
    <row r="780" spans="1:12" x14ac:dyDescent="0.25">
      <c r="A780" s="29" t="s">
        <v>30</v>
      </c>
      <c r="B780" s="15" t="s">
        <v>219</v>
      </c>
      <c r="C780" s="15" t="s">
        <v>10</v>
      </c>
      <c r="D780" s="16">
        <v>21792182</v>
      </c>
      <c r="E780" s="17">
        <v>45352</v>
      </c>
      <c r="F780" s="18">
        <f>MONTH(Data!$E780)</f>
        <v>3</v>
      </c>
      <c r="G780" s="16">
        <f>YEAR(Data!$E780)</f>
        <v>2024</v>
      </c>
      <c r="H780" s="15" t="s">
        <v>32</v>
      </c>
      <c r="I780" s="15" t="str">
        <f t="shared" si="12"/>
        <v>Trường học</v>
      </c>
      <c r="J780" s="15" t="s">
        <v>1285</v>
      </c>
      <c r="K780" s="15" t="s">
        <v>1262</v>
      </c>
      <c r="L780" s="32">
        <f>Data!$D780/10^6</f>
        <v>21.792182</v>
      </c>
    </row>
    <row r="781" spans="1:12" x14ac:dyDescent="0.25">
      <c r="A781" s="29" t="s">
        <v>36</v>
      </c>
      <c r="B781" s="15" t="s">
        <v>213</v>
      </c>
      <c r="C781" s="15" t="s">
        <v>149</v>
      </c>
      <c r="D781" s="16">
        <v>11500000</v>
      </c>
      <c r="E781" s="17">
        <v>45352</v>
      </c>
      <c r="F781" s="18">
        <f>MONTH(Data!$E781)</f>
        <v>3</v>
      </c>
      <c r="G781" s="16">
        <f>YEAR(Data!$E781)</f>
        <v>2024</v>
      </c>
      <c r="H781" s="15" t="s">
        <v>15</v>
      </c>
      <c r="I781" s="15" t="str">
        <f t="shared" si="12"/>
        <v>Trường học</v>
      </c>
      <c r="J781" s="15" t="s">
        <v>1284</v>
      </c>
      <c r="K781" s="15" t="s">
        <v>1273</v>
      </c>
      <c r="L781" s="32">
        <f>Data!$D781/10^6</f>
        <v>11.5</v>
      </c>
    </row>
    <row r="782" spans="1:12" x14ac:dyDescent="0.25">
      <c r="A782" s="29" t="s">
        <v>27</v>
      </c>
      <c r="B782" s="15" t="s">
        <v>235</v>
      </c>
      <c r="C782" s="15" t="s">
        <v>10</v>
      </c>
      <c r="D782" s="16">
        <v>4468000</v>
      </c>
      <c r="E782" s="17">
        <v>45352</v>
      </c>
      <c r="F782" s="18">
        <f>MONTH(Data!$E782)</f>
        <v>3</v>
      </c>
      <c r="G782" s="16">
        <f>YEAR(Data!$E782)</f>
        <v>2024</v>
      </c>
      <c r="H782" s="15" t="s">
        <v>11</v>
      </c>
      <c r="I782" s="15" t="str">
        <f t="shared" si="12"/>
        <v>Trường học</v>
      </c>
      <c r="J782" s="15" t="s">
        <v>1285</v>
      </c>
      <c r="K782" s="15" t="s">
        <v>1262</v>
      </c>
      <c r="L782" s="32">
        <f>Data!$D782/10^6</f>
        <v>4.468</v>
      </c>
    </row>
    <row r="783" spans="1:12" x14ac:dyDescent="0.25">
      <c r="A783" s="29" t="s">
        <v>52</v>
      </c>
      <c r="B783" s="15" t="s">
        <v>231</v>
      </c>
      <c r="C783" s="15" t="s">
        <v>10</v>
      </c>
      <c r="D783" s="16">
        <v>371900000</v>
      </c>
      <c r="E783" s="17">
        <v>45352</v>
      </c>
      <c r="F783" s="18">
        <f>MONTH(Data!$E783)</f>
        <v>3</v>
      </c>
      <c r="G783" s="16">
        <f>YEAR(Data!$E783)</f>
        <v>2024</v>
      </c>
      <c r="H783" s="15" t="s">
        <v>35</v>
      </c>
      <c r="I783" s="15" t="str">
        <f t="shared" si="12"/>
        <v>Trường học</v>
      </c>
      <c r="J783" s="15" t="s">
        <v>1284</v>
      </c>
      <c r="K783" s="15" t="s">
        <v>1267</v>
      </c>
      <c r="L783" s="32">
        <f>Data!$D783/10^6</f>
        <v>371.9</v>
      </c>
    </row>
    <row r="784" spans="1:12" x14ac:dyDescent="0.25">
      <c r="A784" s="29" t="s">
        <v>116</v>
      </c>
      <c r="B784" s="15" t="s">
        <v>221</v>
      </c>
      <c r="C784" s="15" t="s">
        <v>10</v>
      </c>
      <c r="D784" s="16">
        <v>26604400</v>
      </c>
      <c r="E784" s="17">
        <v>45352</v>
      </c>
      <c r="F784" s="18">
        <f>MONTH(Data!$E784)</f>
        <v>3</v>
      </c>
      <c r="G784" s="16">
        <f>YEAR(Data!$E784)</f>
        <v>2024</v>
      </c>
      <c r="H784" s="15" t="s">
        <v>15</v>
      </c>
      <c r="I784" s="15" t="str">
        <f t="shared" si="12"/>
        <v>Trường học</v>
      </c>
      <c r="J784" s="15" t="s">
        <v>1285</v>
      </c>
      <c r="K784" s="15" t="s">
        <v>1263</v>
      </c>
      <c r="L784" s="32">
        <f>Data!$D784/10^6</f>
        <v>26.604399999999998</v>
      </c>
    </row>
    <row r="785" spans="1:12" x14ac:dyDescent="0.25">
      <c r="A785" s="29" t="s">
        <v>75</v>
      </c>
      <c r="B785" s="15" t="s">
        <v>245</v>
      </c>
      <c r="C785" s="15" t="s">
        <v>10</v>
      </c>
      <c r="D785" s="16">
        <v>9090909</v>
      </c>
      <c r="E785" s="17">
        <v>45352</v>
      </c>
      <c r="F785" s="18">
        <f>MONTH(Data!$E785)</f>
        <v>3</v>
      </c>
      <c r="G785" s="16">
        <f>YEAR(Data!$E785)</f>
        <v>2024</v>
      </c>
      <c r="H785" s="15" t="s">
        <v>15</v>
      </c>
      <c r="I785" s="15" t="str">
        <f t="shared" si="12"/>
        <v>Trường học</v>
      </c>
      <c r="J785" s="15" t="s">
        <v>1284</v>
      </c>
      <c r="K785" s="15" t="s">
        <v>1262</v>
      </c>
      <c r="L785" s="32">
        <f>Data!$D785/10^6</f>
        <v>9.0909089999999999</v>
      </c>
    </row>
    <row r="786" spans="1:12" x14ac:dyDescent="0.25">
      <c r="A786" s="29" t="s">
        <v>75</v>
      </c>
      <c r="B786" s="15" t="s">
        <v>223</v>
      </c>
      <c r="C786" s="15" t="s">
        <v>10</v>
      </c>
      <c r="D786" s="16">
        <v>36727273</v>
      </c>
      <c r="E786" s="17">
        <v>45352</v>
      </c>
      <c r="F786" s="18">
        <f>MONTH(Data!$E786)</f>
        <v>3</v>
      </c>
      <c r="G786" s="16">
        <f>YEAR(Data!$E786)</f>
        <v>2024</v>
      </c>
      <c r="H786" s="15" t="s">
        <v>15</v>
      </c>
      <c r="I786" s="15" t="str">
        <f t="shared" si="12"/>
        <v>Trường học</v>
      </c>
      <c r="J786" s="15" t="s">
        <v>1285</v>
      </c>
      <c r="K786" s="15" t="s">
        <v>1262</v>
      </c>
      <c r="L786" s="32">
        <f>Data!$D786/10^6</f>
        <v>36.727272999999997</v>
      </c>
    </row>
    <row r="787" spans="1:12" x14ac:dyDescent="0.25">
      <c r="A787" s="29" t="s">
        <v>75</v>
      </c>
      <c r="B787" s="15" t="s">
        <v>217</v>
      </c>
      <c r="C787" s="15" t="s">
        <v>10</v>
      </c>
      <c r="D787" s="16">
        <v>18181818</v>
      </c>
      <c r="E787" s="17">
        <v>45352</v>
      </c>
      <c r="F787" s="18">
        <f>MONTH(Data!$E787)</f>
        <v>3</v>
      </c>
      <c r="G787" s="16">
        <f>YEAR(Data!$E787)</f>
        <v>2024</v>
      </c>
      <c r="H787" s="15" t="s">
        <v>15</v>
      </c>
      <c r="I787" s="15" t="str">
        <f t="shared" si="12"/>
        <v>Trường học</v>
      </c>
      <c r="J787" s="15" t="s">
        <v>1284</v>
      </c>
      <c r="K787" s="15" t="s">
        <v>1262</v>
      </c>
      <c r="L787" s="32">
        <f>Data!$D787/10^6</f>
        <v>18.181818</v>
      </c>
    </row>
    <row r="788" spans="1:12" x14ac:dyDescent="0.25">
      <c r="A788" s="29" t="s">
        <v>75</v>
      </c>
      <c r="B788" s="15" t="s">
        <v>217</v>
      </c>
      <c r="C788" s="15" t="s">
        <v>10</v>
      </c>
      <c r="D788" s="16">
        <v>23627273</v>
      </c>
      <c r="E788" s="17">
        <v>45352</v>
      </c>
      <c r="F788" s="18">
        <f>MONTH(Data!$E788)</f>
        <v>3</v>
      </c>
      <c r="G788" s="16">
        <f>YEAR(Data!$E788)</f>
        <v>2024</v>
      </c>
      <c r="H788" s="15" t="s">
        <v>15</v>
      </c>
      <c r="I788" s="15" t="str">
        <f t="shared" si="12"/>
        <v>Trường học</v>
      </c>
      <c r="J788" s="15" t="s">
        <v>1285</v>
      </c>
      <c r="K788" s="15" t="s">
        <v>1262</v>
      </c>
      <c r="L788" s="32">
        <f>Data!$D788/10^6</f>
        <v>23.627272999999999</v>
      </c>
    </row>
    <row r="789" spans="1:12" x14ac:dyDescent="0.25">
      <c r="A789" s="29" t="s">
        <v>59</v>
      </c>
      <c r="B789" s="15" t="s">
        <v>240</v>
      </c>
      <c r="C789" s="15" t="s">
        <v>10</v>
      </c>
      <c r="D789" s="16">
        <v>9545455</v>
      </c>
      <c r="E789" s="17">
        <v>45352</v>
      </c>
      <c r="F789" s="18">
        <f>MONTH(Data!$E789)</f>
        <v>3</v>
      </c>
      <c r="G789" s="16">
        <f>YEAR(Data!$E789)</f>
        <v>2024</v>
      </c>
      <c r="H789" s="15" t="s">
        <v>22</v>
      </c>
      <c r="I789" s="15" t="str">
        <f t="shared" si="12"/>
        <v>Trường học</v>
      </c>
      <c r="J789" s="15" t="s">
        <v>1284</v>
      </c>
      <c r="K789" s="15" t="s">
        <v>1262</v>
      </c>
      <c r="L789" s="32">
        <f>Data!$D789/10^6</f>
        <v>9.5454550000000005</v>
      </c>
    </row>
    <row r="790" spans="1:12" x14ac:dyDescent="0.25">
      <c r="A790" s="29" t="s">
        <v>75</v>
      </c>
      <c r="B790" s="15" t="s">
        <v>243</v>
      </c>
      <c r="C790" s="15" t="s">
        <v>10</v>
      </c>
      <c r="D790" s="16">
        <v>7457500</v>
      </c>
      <c r="E790" s="17">
        <v>45352</v>
      </c>
      <c r="F790" s="18">
        <f>MONTH(Data!$E790)</f>
        <v>3</v>
      </c>
      <c r="G790" s="16">
        <f>YEAR(Data!$E790)</f>
        <v>2024</v>
      </c>
      <c r="H790" s="15" t="s">
        <v>15</v>
      </c>
      <c r="I790" s="15" t="str">
        <f t="shared" si="12"/>
        <v>Trường học</v>
      </c>
      <c r="J790" s="15" t="s">
        <v>1285</v>
      </c>
      <c r="K790" s="15" t="s">
        <v>1262</v>
      </c>
      <c r="L790" s="32">
        <f>Data!$D790/10^6</f>
        <v>7.4574999999999996</v>
      </c>
    </row>
    <row r="791" spans="1:12" x14ac:dyDescent="0.25">
      <c r="A791" s="29" t="s">
        <v>75</v>
      </c>
      <c r="B791" s="15" t="s">
        <v>243</v>
      </c>
      <c r="C791" s="15" t="s">
        <v>149</v>
      </c>
      <c r="D791" s="16">
        <v>7457500</v>
      </c>
      <c r="E791" s="17">
        <v>45352</v>
      </c>
      <c r="F791" s="18">
        <f>MONTH(Data!$E791)</f>
        <v>3</v>
      </c>
      <c r="G791" s="16">
        <f>YEAR(Data!$E791)</f>
        <v>2024</v>
      </c>
      <c r="H791" s="15" t="s">
        <v>15</v>
      </c>
      <c r="I791" s="15" t="str">
        <f t="shared" si="12"/>
        <v>Trường học</v>
      </c>
      <c r="J791" s="15" t="s">
        <v>1284</v>
      </c>
      <c r="K791" s="15" t="s">
        <v>1262</v>
      </c>
      <c r="L791" s="32">
        <f>Data!$D791/10^6</f>
        <v>7.4574999999999996</v>
      </c>
    </row>
    <row r="792" spans="1:12" x14ac:dyDescent="0.25">
      <c r="A792" s="29" t="s">
        <v>72</v>
      </c>
      <c r="B792" s="15" t="s">
        <v>205</v>
      </c>
      <c r="C792" s="15" t="s">
        <v>149</v>
      </c>
      <c r="D792" s="16">
        <v>17445455</v>
      </c>
      <c r="E792" s="17">
        <v>45352</v>
      </c>
      <c r="F792" s="18">
        <f>MONTH(Data!$E792)</f>
        <v>3</v>
      </c>
      <c r="G792" s="16">
        <f>YEAR(Data!$E792)</f>
        <v>2024</v>
      </c>
      <c r="H792" s="15" t="s">
        <v>22</v>
      </c>
      <c r="I792" s="15" t="str">
        <f t="shared" si="12"/>
        <v>Trường học</v>
      </c>
      <c r="J792" s="15" t="s">
        <v>1285</v>
      </c>
      <c r="K792" s="15" t="s">
        <v>1262</v>
      </c>
      <c r="L792" s="32">
        <f>Data!$D792/10^6</f>
        <v>17.445454999999999</v>
      </c>
    </row>
    <row r="793" spans="1:12" x14ac:dyDescent="0.25">
      <c r="A793" s="29" t="s">
        <v>74</v>
      </c>
      <c r="B793" s="15" t="s">
        <v>244</v>
      </c>
      <c r="C793" s="15" t="s">
        <v>10</v>
      </c>
      <c r="D793" s="16">
        <v>20600000</v>
      </c>
      <c r="E793" s="17">
        <v>45352</v>
      </c>
      <c r="F793" s="18">
        <f>MONTH(Data!$E793)</f>
        <v>3</v>
      </c>
      <c r="G793" s="16">
        <f>YEAR(Data!$E793)</f>
        <v>2024</v>
      </c>
      <c r="H793" s="15" t="s">
        <v>11</v>
      </c>
      <c r="I793" s="15" t="str">
        <f t="shared" si="12"/>
        <v>Trường học</v>
      </c>
      <c r="J793" s="15" t="s">
        <v>1284</v>
      </c>
      <c r="K793" s="15" t="s">
        <v>1267</v>
      </c>
      <c r="L793" s="32">
        <f>Data!$D793/10^6</f>
        <v>20.6</v>
      </c>
    </row>
    <row r="794" spans="1:12" x14ac:dyDescent="0.25">
      <c r="A794" s="29" t="s">
        <v>77</v>
      </c>
      <c r="B794" s="15" t="s">
        <v>226</v>
      </c>
      <c r="C794" s="15" t="s">
        <v>10</v>
      </c>
      <c r="D794" s="16">
        <v>32181364</v>
      </c>
      <c r="E794" s="17">
        <v>45352</v>
      </c>
      <c r="F794" s="18">
        <f>MONTH(Data!$E794)</f>
        <v>3</v>
      </c>
      <c r="G794" s="16">
        <f>YEAR(Data!$E794)</f>
        <v>2024</v>
      </c>
      <c r="H794" s="15" t="s">
        <v>35</v>
      </c>
      <c r="I794" s="15" t="str">
        <f t="shared" si="12"/>
        <v>Trường học</v>
      </c>
      <c r="J794" s="15" t="s">
        <v>1285</v>
      </c>
      <c r="K794" s="15" t="s">
        <v>1262</v>
      </c>
      <c r="L794" s="32">
        <f>Data!$D794/10^6</f>
        <v>32.181364000000002</v>
      </c>
    </row>
    <row r="795" spans="1:12" x14ac:dyDescent="0.25">
      <c r="A795" s="29" t="s">
        <v>30</v>
      </c>
      <c r="B795" s="15" t="s">
        <v>220</v>
      </c>
      <c r="C795" s="15" t="s">
        <v>10</v>
      </c>
      <c r="D795" s="16">
        <v>52363636</v>
      </c>
      <c r="E795" s="17">
        <v>45352</v>
      </c>
      <c r="F795" s="18">
        <f>MONTH(Data!$E795)</f>
        <v>3</v>
      </c>
      <c r="G795" s="16">
        <f>YEAR(Data!$E795)</f>
        <v>2024</v>
      </c>
      <c r="H795" s="15" t="s">
        <v>32</v>
      </c>
      <c r="I795" s="15" t="str">
        <f t="shared" si="12"/>
        <v>Trường học</v>
      </c>
      <c r="J795" s="15" t="s">
        <v>1284</v>
      </c>
      <c r="K795" s="15" t="s">
        <v>1267</v>
      </c>
      <c r="L795" s="32">
        <f>Data!$D795/10^6</f>
        <v>52.363636</v>
      </c>
    </row>
    <row r="796" spans="1:12" x14ac:dyDescent="0.25">
      <c r="A796" s="29" t="s">
        <v>23</v>
      </c>
      <c r="B796" s="15" t="s">
        <v>222</v>
      </c>
      <c r="C796" s="15" t="s">
        <v>14</v>
      </c>
      <c r="D796" s="16">
        <v>44231405</v>
      </c>
      <c r="E796" s="17">
        <v>45352</v>
      </c>
      <c r="F796" s="18">
        <f>MONTH(Data!$E796)</f>
        <v>3</v>
      </c>
      <c r="G796" s="16">
        <f>YEAR(Data!$E796)</f>
        <v>2024</v>
      </c>
      <c r="H796" s="15" t="s">
        <v>25</v>
      </c>
      <c r="I796" s="15" t="str">
        <f t="shared" si="12"/>
        <v>Trường học</v>
      </c>
      <c r="J796" s="15" t="s">
        <v>1285</v>
      </c>
      <c r="K796" s="15" t="s">
        <v>1275</v>
      </c>
      <c r="L796" s="32">
        <f>Data!$D796/10^6</f>
        <v>44.231405000000002</v>
      </c>
    </row>
    <row r="797" spans="1:12" x14ac:dyDescent="0.25">
      <c r="A797" s="29" t="s">
        <v>36</v>
      </c>
      <c r="B797" s="15" t="s">
        <v>207</v>
      </c>
      <c r="C797" s="15" t="s">
        <v>10</v>
      </c>
      <c r="D797" s="16">
        <v>23790000</v>
      </c>
      <c r="E797" s="17">
        <v>45352</v>
      </c>
      <c r="F797" s="18">
        <f>MONTH(Data!$E797)</f>
        <v>3</v>
      </c>
      <c r="G797" s="16">
        <f>YEAR(Data!$E797)</f>
        <v>2024</v>
      </c>
      <c r="H797" s="15" t="s">
        <v>15</v>
      </c>
      <c r="I797" s="15" t="str">
        <f t="shared" si="12"/>
        <v>Trường học</v>
      </c>
      <c r="J797" s="15" t="s">
        <v>1284</v>
      </c>
      <c r="K797" s="15" t="s">
        <v>1262</v>
      </c>
      <c r="L797" s="32">
        <f>Data!$D797/10^6</f>
        <v>23.79</v>
      </c>
    </row>
    <row r="798" spans="1:12" x14ac:dyDescent="0.25">
      <c r="A798" s="29" t="s">
        <v>36</v>
      </c>
      <c r="B798" s="15" t="s">
        <v>207</v>
      </c>
      <c r="C798" s="15" t="s">
        <v>149</v>
      </c>
      <c r="D798" s="16">
        <v>32727273</v>
      </c>
      <c r="E798" s="17">
        <v>45352</v>
      </c>
      <c r="F798" s="18">
        <f>MONTH(Data!$E798)</f>
        <v>3</v>
      </c>
      <c r="G798" s="16">
        <f>YEAR(Data!$E798)</f>
        <v>2024</v>
      </c>
      <c r="H798" s="15" t="s">
        <v>15</v>
      </c>
      <c r="I798" s="15" t="str">
        <f t="shared" si="12"/>
        <v>Trường học</v>
      </c>
      <c r="J798" s="15" t="s">
        <v>1285</v>
      </c>
      <c r="K798" s="15" t="s">
        <v>1277</v>
      </c>
      <c r="L798" s="32">
        <f>Data!$D798/10^6</f>
        <v>32.727272999999997</v>
      </c>
    </row>
    <row r="799" spans="1:12" x14ac:dyDescent="0.25">
      <c r="A799" s="29" t="s">
        <v>17</v>
      </c>
      <c r="B799" s="15" t="s">
        <v>204</v>
      </c>
      <c r="C799" s="15" t="s">
        <v>10</v>
      </c>
      <c r="D799" s="16">
        <v>40956800</v>
      </c>
      <c r="E799" s="17">
        <v>45352</v>
      </c>
      <c r="F799" s="18">
        <f>MONTH(Data!$E799)</f>
        <v>3</v>
      </c>
      <c r="G799" s="16">
        <f>YEAR(Data!$E799)</f>
        <v>2024</v>
      </c>
      <c r="H799" s="15" t="s">
        <v>11</v>
      </c>
      <c r="I799" s="15" t="str">
        <f t="shared" si="12"/>
        <v>Trường học</v>
      </c>
      <c r="J799" s="15" t="s">
        <v>1284</v>
      </c>
      <c r="K799" s="15" t="s">
        <v>1262</v>
      </c>
      <c r="L799" s="32">
        <f>Data!$D799/10^6</f>
        <v>40.956800000000001</v>
      </c>
    </row>
    <row r="800" spans="1:12" x14ac:dyDescent="0.25">
      <c r="A800" s="29" t="s">
        <v>74</v>
      </c>
      <c r="B800" s="15" t="s">
        <v>233</v>
      </c>
      <c r="C800" s="15" t="s">
        <v>149</v>
      </c>
      <c r="D800" s="16">
        <v>20741518</v>
      </c>
      <c r="E800" s="17">
        <v>45352</v>
      </c>
      <c r="F800" s="18">
        <f>MONTH(Data!$E800)</f>
        <v>3</v>
      </c>
      <c r="G800" s="16">
        <f>YEAR(Data!$E800)</f>
        <v>2024</v>
      </c>
      <c r="H800" s="15" t="s">
        <v>11</v>
      </c>
      <c r="I800" s="15" t="str">
        <f t="shared" si="12"/>
        <v>Trường học</v>
      </c>
      <c r="J800" s="15" t="s">
        <v>1285</v>
      </c>
      <c r="K800" s="15" t="s">
        <v>1266</v>
      </c>
      <c r="L800" s="32">
        <f>Data!$D800/10^6</f>
        <v>20.741517999999999</v>
      </c>
    </row>
    <row r="801" spans="1:12" x14ac:dyDescent="0.25">
      <c r="A801" s="29" t="s">
        <v>92</v>
      </c>
      <c r="B801" s="15" t="s">
        <v>224</v>
      </c>
      <c r="C801" s="15" t="s">
        <v>10</v>
      </c>
      <c r="D801" s="16">
        <v>42301000</v>
      </c>
      <c r="E801" s="17">
        <v>45352</v>
      </c>
      <c r="F801" s="18">
        <f>MONTH(Data!$E801)</f>
        <v>3</v>
      </c>
      <c r="G801" s="16">
        <f>YEAR(Data!$E801)</f>
        <v>2024</v>
      </c>
      <c r="H801" s="15" t="s">
        <v>29</v>
      </c>
      <c r="I801" s="15" t="str">
        <f t="shared" si="12"/>
        <v>Trường học</v>
      </c>
      <c r="J801" s="15" t="s">
        <v>1284</v>
      </c>
      <c r="K801" s="15" t="s">
        <v>1263</v>
      </c>
      <c r="L801" s="32">
        <f>Data!$D801/10^6</f>
        <v>42.301000000000002</v>
      </c>
    </row>
    <row r="802" spans="1:12" x14ac:dyDescent="0.25">
      <c r="A802" s="29" t="s">
        <v>92</v>
      </c>
      <c r="B802" s="15" t="s">
        <v>227</v>
      </c>
      <c r="C802" s="15" t="s">
        <v>10</v>
      </c>
      <c r="D802" s="16">
        <v>43535091</v>
      </c>
      <c r="E802" s="17">
        <v>45352</v>
      </c>
      <c r="F802" s="18">
        <f>MONTH(Data!$E802)</f>
        <v>3</v>
      </c>
      <c r="G802" s="16">
        <f>YEAR(Data!$E802)</f>
        <v>2024</v>
      </c>
      <c r="H802" s="15" t="s">
        <v>29</v>
      </c>
      <c r="I802" s="15" t="str">
        <f t="shared" si="12"/>
        <v>Trường học</v>
      </c>
      <c r="J802" s="15" t="s">
        <v>1285</v>
      </c>
      <c r="K802" s="15" t="s">
        <v>1263</v>
      </c>
      <c r="L802" s="32">
        <f>Data!$D802/10^6</f>
        <v>43.535091000000001</v>
      </c>
    </row>
    <row r="803" spans="1:12" x14ac:dyDescent="0.25">
      <c r="A803" s="30" t="s">
        <v>33</v>
      </c>
      <c r="B803" s="15" t="s">
        <v>1028</v>
      </c>
      <c r="C803" s="19" t="s">
        <v>14</v>
      </c>
      <c r="D803" s="20">
        <v>4539296000</v>
      </c>
      <c r="E803" s="21">
        <v>45717</v>
      </c>
      <c r="F803" s="18">
        <f>MONTH(Data!$E803)</f>
        <v>3</v>
      </c>
      <c r="G803" s="16">
        <f>YEAR(Data!$E803)</f>
        <v>2025</v>
      </c>
      <c r="H803" s="19" t="s">
        <v>35</v>
      </c>
      <c r="I803" s="15" t="str">
        <f t="shared" si="12"/>
        <v>Doanh nghiệp</v>
      </c>
      <c r="J803" s="15" t="s">
        <v>1284</v>
      </c>
      <c r="K803" s="19" t="s">
        <v>1266</v>
      </c>
      <c r="L803" s="32">
        <f>Data!$D803/10^6</f>
        <v>4539.2960000000003</v>
      </c>
    </row>
    <row r="804" spans="1:12" x14ac:dyDescent="0.25">
      <c r="A804" s="30" t="s">
        <v>27</v>
      </c>
      <c r="B804" s="15" t="s">
        <v>1054</v>
      </c>
      <c r="C804" s="19" t="s">
        <v>149</v>
      </c>
      <c r="D804" s="20">
        <v>197714873</v>
      </c>
      <c r="E804" s="21">
        <v>45717</v>
      </c>
      <c r="F804" s="18">
        <f>MONTH(Data!$E804)</f>
        <v>3</v>
      </c>
      <c r="G804" s="16">
        <f>YEAR(Data!$E804)</f>
        <v>2025</v>
      </c>
      <c r="H804" s="19" t="s">
        <v>11</v>
      </c>
      <c r="I804" s="15" t="str">
        <f t="shared" si="12"/>
        <v>Doanh nghiệp</v>
      </c>
      <c r="J804" s="15" t="s">
        <v>1285</v>
      </c>
      <c r="K804" s="19" t="s">
        <v>1263</v>
      </c>
      <c r="L804" s="32">
        <f>Data!$D804/10^6</f>
        <v>197.71487300000001</v>
      </c>
    </row>
    <row r="805" spans="1:12" x14ac:dyDescent="0.25">
      <c r="A805" s="30" t="s">
        <v>30</v>
      </c>
      <c r="B805" s="15" t="s">
        <v>1060</v>
      </c>
      <c r="C805" s="19" t="s">
        <v>149</v>
      </c>
      <c r="D805" s="20">
        <v>171229091</v>
      </c>
      <c r="E805" s="21">
        <v>45717</v>
      </c>
      <c r="F805" s="18">
        <f>MONTH(Data!$E805)</f>
        <v>3</v>
      </c>
      <c r="G805" s="16">
        <f>YEAR(Data!$E805)</f>
        <v>2025</v>
      </c>
      <c r="H805" s="19" t="s">
        <v>32</v>
      </c>
      <c r="I805" s="15" t="str">
        <f t="shared" si="12"/>
        <v>Doanh nghiệp</v>
      </c>
      <c r="J805" s="15" t="s">
        <v>1284</v>
      </c>
      <c r="K805" s="19" t="s">
        <v>1265</v>
      </c>
      <c r="L805" s="32">
        <f>Data!$D805/10^6</f>
        <v>171.22909100000001</v>
      </c>
    </row>
    <row r="806" spans="1:12" x14ac:dyDescent="0.25">
      <c r="A806" s="30" t="s">
        <v>111</v>
      </c>
      <c r="B806" s="15" t="s">
        <v>1036</v>
      </c>
      <c r="C806" s="19" t="s">
        <v>14</v>
      </c>
      <c r="D806" s="20">
        <v>97218182</v>
      </c>
      <c r="E806" s="21">
        <v>45717</v>
      </c>
      <c r="F806" s="18">
        <f>MONTH(Data!$E806)</f>
        <v>3</v>
      </c>
      <c r="G806" s="16">
        <f>YEAR(Data!$E806)</f>
        <v>2025</v>
      </c>
      <c r="H806" s="19" t="s">
        <v>22</v>
      </c>
      <c r="I806" s="15" t="str">
        <f t="shared" si="12"/>
        <v>Doanh nghiệp</v>
      </c>
      <c r="J806" s="15" t="s">
        <v>1285</v>
      </c>
      <c r="K806" s="19" t="s">
        <v>1272</v>
      </c>
      <c r="L806" s="32">
        <f>Data!$D806/10^6</f>
        <v>97.218181999999999</v>
      </c>
    </row>
    <row r="807" spans="1:12" x14ac:dyDescent="0.25">
      <c r="A807" s="30" t="s">
        <v>21</v>
      </c>
      <c r="B807" s="15" t="s">
        <v>1048</v>
      </c>
      <c r="C807" s="19" t="s">
        <v>149</v>
      </c>
      <c r="D807" s="20">
        <v>3976364</v>
      </c>
      <c r="E807" s="21">
        <v>45717</v>
      </c>
      <c r="F807" s="18">
        <f>MONTH(Data!$E807)</f>
        <v>3</v>
      </c>
      <c r="G807" s="16">
        <f>YEAR(Data!$E807)</f>
        <v>2025</v>
      </c>
      <c r="H807" s="19" t="s">
        <v>22</v>
      </c>
      <c r="I807" s="15" t="str">
        <f t="shared" si="12"/>
        <v>Doanh nghiệp</v>
      </c>
      <c r="J807" s="15" t="s">
        <v>1284</v>
      </c>
      <c r="K807" s="19" t="s">
        <v>1263</v>
      </c>
      <c r="L807" s="32">
        <f>Data!$D807/10^6</f>
        <v>3.9763639999999998</v>
      </c>
    </row>
    <row r="808" spans="1:12" x14ac:dyDescent="0.25">
      <c r="A808" s="30" t="s">
        <v>56</v>
      </c>
      <c r="B808" s="15" t="s">
        <v>1080</v>
      </c>
      <c r="C808" s="19" t="s">
        <v>149</v>
      </c>
      <c r="D808" s="20">
        <v>35820000</v>
      </c>
      <c r="E808" s="21">
        <v>45717</v>
      </c>
      <c r="F808" s="18">
        <f>MONTH(Data!$E808)</f>
        <v>3</v>
      </c>
      <c r="G808" s="16">
        <f>YEAR(Data!$E808)</f>
        <v>2025</v>
      </c>
      <c r="H808" s="19" t="s">
        <v>25</v>
      </c>
      <c r="I808" s="15" t="str">
        <f t="shared" si="12"/>
        <v>Doanh nghiệp</v>
      </c>
      <c r="J808" s="15" t="s">
        <v>1285</v>
      </c>
      <c r="K808" s="19" t="s">
        <v>1262</v>
      </c>
      <c r="L808" s="32">
        <f>Data!$D808/10^6</f>
        <v>35.82</v>
      </c>
    </row>
    <row r="809" spans="1:12" x14ac:dyDescent="0.25">
      <c r="A809" s="30" t="s">
        <v>39</v>
      </c>
      <c r="B809" s="15" t="s">
        <v>1095</v>
      </c>
      <c r="C809" s="19" t="s">
        <v>14</v>
      </c>
      <c r="D809" s="20">
        <v>537334000</v>
      </c>
      <c r="E809" s="21">
        <v>45717</v>
      </c>
      <c r="F809" s="18">
        <f>MONTH(Data!$E809)</f>
        <v>3</v>
      </c>
      <c r="G809" s="16">
        <f>YEAR(Data!$E809)</f>
        <v>2025</v>
      </c>
      <c r="H809" s="19" t="s">
        <v>42</v>
      </c>
      <c r="I809" s="15" t="str">
        <f t="shared" si="12"/>
        <v>Doanh nghiệp</v>
      </c>
      <c r="J809" s="15" t="s">
        <v>1284</v>
      </c>
      <c r="K809" s="19" t="s">
        <v>1266</v>
      </c>
      <c r="L809" s="32">
        <f>Data!$D809/10^6</f>
        <v>537.33399999999995</v>
      </c>
    </row>
    <row r="810" spans="1:12" x14ac:dyDescent="0.25">
      <c r="A810" s="30" t="s">
        <v>8</v>
      </c>
      <c r="B810" s="15" t="s">
        <v>1117</v>
      </c>
      <c r="C810" s="19" t="s">
        <v>149</v>
      </c>
      <c r="D810" s="20">
        <v>405157273</v>
      </c>
      <c r="E810" s="21">
        <v>45717</v>
      </c>
      <c r="F810" s="18">
        <f>MONTH(Data!$E810)</f>
        <v>3</v>
      </c>
      <c r="G810" s="16">
        <f>YEAR(Data!$E810)</f>
        <v>2025</v>
      </c>
      <c r="H810" s="19" t="s">
        <v>11</v>
      </c>
      <c r="I810" s="15" t="str">
        <f t="shared" si="12"/>
        <v>Doanh nghiệp</v>
      </c>
      <c r="J810" s="15" t="s">
        <v>1285</v>
      </c>
      <c r="K810" s="19" t="s">
        <v>1264</v>
      </c>
      <c r="L810" s="32">
        <f>Data!$D810/10^6</f>
        <v>405.15727299999998</v>
      </c>
    </row>
    <row r="811" spans="1:12" x14ac:dyDescent="0.25">
      <c r="A811" s="30" t="s">
        <v>146</v>
      </c>
      <c r="B811" s="15" t="s">
        <v>1036</v>
      </c>
      <c r="C811" s="19" t="s">
        <v>14</v>
      </c>
      <c r="D811" s="20">
        <v>180872727</v>
      </c>
      <c r="E811" s="21">
        <v>45717</v>
      </c>
      <c r="F811" s="18">
        <f>MONTH(Data!$E811)</f>
        <v>3</v>
      </c>
      <c r="G811" s="16">
        <f>YEAR(Data!$E811)</f>
        <v>2025</v>
      </c>
      <c r="H811" s="19" t="s">
        <v>32</v>
      </c>
      <c r="I811" s="15" t="str">
        <f t="shared" si="12"/>
        <v>Doanh nghiệp</v>
      </c>
      <c r="J811" s="15" t="s">
        <v>1284</v>
      </c>
      <c r="K811" s="19" t="s">
        <v>1273</v>
      </c>
      <c r="L811" s="32">
        <f>Data!$D811/10^6</f>
        <v>180.872727</v>
      </c>
    </row>
    <row r="812" spans="1:12" x14ac:dyDescent="0.25">
      <c r="A812" s="30" t="s">
        <v>37</v>
      </c>
      <c r="B812" s="15" t="s">
        <v>1060</v>
      </c>
      <c r="C812" s="19" t="s">
        <v>149</v>
      </c>
      <c r="D812" s="20">
        <v>50454545</v>
      </c>
      <c r="E812" s="21">
        <v>45717</v>
      </c>
      <c r="F812" s="18">
        <f>MONTH(Data!$E812)</f>
        <v>3</v>
      </c>
      <c r="G812" s="16">
        <f>YEAR(Data!$E812)</f>
        <v>2025</v>
      </c>
      <c r="H812" s="19" t="s">
        <v>11</v>
      </c>
      <c r="I812" s="15" t="str">
        <f t="shared" si="12"/>
        <v>Doanh nghiệp</v>
      </c>
      <c r="J812" s="15" t="s">
        <v>1285</v>
      </c>
      <c r="K812" s="19" t="s">
        <v>1275</v>
      </c>
      <c r="L812" s="32">
        <f>Data!$D812/10^6</f>
        <v>50.454545000000003</v>
      </c>
    </row>
    <row r="813" spans="1:12" x14ac:dyDescent="0.25">
      <c r="A813" s="30" t="s">
        <v>71</v>
      </c>
      <c r="B813" s="15" t="s">
        <v>1031</v>
      </c>
      <c r="C813" s="19" t="s">
        <v>14</v>
      </c>
      <c r="D813" s="20">
        <v>106043636</v>
      </c>
      <c r="E813" s="21">
        <v>45717</v>
      </c>
      <c r="F813" s="18">
        <f>MONTH(Data!$E813)</f>
        <v>3</v>
      </c>
      <c r="G813" s="16">
        <f>YEAR(Data!$E813)</f>
        <v>2025</v>
      </c>
      <c r="H813" s="19" t="s">
        <v>11</v>
      </c>
      <c r="I813" s="15" t="str">
        <f t="shared" si="12"/>
        <v>Doanh nghiệp</v>
      </c>
      <c r="J813" s="15" t="s">
        <v>1284</v>
      </c>
      <c r="K813" s="19" t="s">
        <v>1264</v>
      </c>
      <c r="L813" s="32">
        <f>Data!$D813/10^6</f>
        <v>106.04363600000001</v>
      </c>
    </row>
    <row r="814" spans="1:12" x14ac:dyDescent="0.25">
      <c r="A814" s="30" t="s">
        <v>160</v>
      </c>
      <c r="B814" s="15" t="s">
        <v>1046</v>
      </c>
      <c r="C814" s="19" t="s">
        <v>10</v>
      </c>
      <c r="D814" s="20">
        <v>54309091</v>
      </c>
      <c r="E814" s="21">
        <v>45717</v>
      </c>
      <c r="F814" s="18">
        <f>MONTH(Data!$E814)</f>
        <v>3</v>
      </c>
      <c r="G814" s="16">
        <f>YEAR(Data!$E814)</f>
        <v>2025</v>
      </c>
      <c r="H814" s="19" t="s">
        <v>35</v>
      </c>
      <c r="I814" s="15" t="str">
        <f t="shared" si="12"/>
        <v>Doanh nghiệp</v>
      </c>
      <c r="J814" s="15" t="s">
        <v>1285</v>
      </c>
      <c r="K814" s="19" t="s">
        <v>1263</v>
      </c>
      <c r="L814" s="32">
        <f>Data!$D814/10^6</f>
        <v>54.309091000000002</v>
      </c>
    </row>
    <row r="815" spans="1:12" x14ac:dyDescent="0.25">
      <c r="A815" s="30" t="s">
        <v>268</v>
      </c>
      <c r="B815" s="15" t="s">
        <v>1050</v>
      </c>
      <c r="C815" s="19" t="s">
        <v>10</v>
      </c>
      <c r="D815" s="20">
        <v>38470000</v>
      </c>
      <c r="E815" s="21">
        <v>45717</v>
      </c>
      <c r="F815" s="18">
        <f>MONTH(Data!$E815)</f>
        <v>3</v>
      </c>
      <c r="G815" s="16">
        <f>YEAR(Data!$E815)</f>
        <v>2025</v>
      </c>
      <c r="H815" s="19" t="s">
        <v>25</v>
      </c>
      <c r="I815" s="15" t="str">
        <f t="shared" si="12"/>
        <v>Doanh nghiệp</v>
      </c>
      <c r="J815" s="15" t="s">
        <v>1284</v>
      </c>
      <c r="K815" s="19" t="s">
        <v>1263</v>
      </c>
      <c r="L815" s="32">
        <f>Data!$D815/10^6</f>
        <v>38.47</v>
      </c>
    </row>
    <row r="816" spans="1:12" x14ac:dyDescent="0.25">
      <c r="A816" s="30" t="s">
        <v>17</v>
      </c>
      <c r="B816" s="15" t="s">
        <v>1099</v>
      </c>
      <c r="C816" s="19" t="s">
        <v>46</v>
      </c>
      <c r="D816" s="20">
        <v>185354545</v>
      </c>
      <c r="E816" s="21">
        <v>45717</v>
      </c>
      <c r="F816" s="18">
        <f>MONTH(Data!$E816)</f>
        <v>3</v>
      </c>
      <c r="G816" s="16">
        <f>YEAR(Data!$E816)</f>
        <v>2025</v>
      </c>
      <c r="H816" s="19" t="s">
        <v>11</v>
      </c>
      <c r="I816" s="15" t="str">
        <f t="shared" si="12"/>
        <v>Doanh nghiệp</v>
      </c>
      <c r="J816" s="15" t="s">
        <v>1285</v>
      </c>
      <c r="K816" s="19" t="s">
        <v>1265</v>
      </c>
      <c r="L816" s="32">
        <f>Data!$D816/10^6</f>
        <v>185.354545</v>
      </c>
    </row>
    <row r="817" spans="1:12" x14ac:dyDescent="0.25">
      <c r="A817" s="30" t="s">
        <v>23</v>
      </c>
      <c r="B817" s="15" t="s">
        <v>1106</v>
      </c>
      <c r="C817" s="19" t="s">
        <v>10</v>
      </c>
      <c r="D817" s="20">
        <v>28650000</v>
      </c>
      <c r="E817" s="21">
        <v>45717</v>
      </c>
      <c r="F817" s="18">
        <f>MONTH(Data!$E817)</f>
        <v>3</v>
      </c>
      <c r="G817" s="16">
        <f>YEAR(Data!$E817)</f>
        <v>2025</v>
      </c>
      <c r="H817" s="19" t="s">
        <v>25</v>
      </c>
      <c r="I817" s="15" t="str">
        <f t="shared" si="12"/>
        <v>Doanh nghiệp</v>
      </c>
      <c r="J817" s="15" t="s">
        <v>1284</v>
      </c>
      <c r="K817" s="19" t="s">
        <v>1267</v>
      </c>
      <c r="L817" s="32">
        <f>Data!$D817/10^6</f>
        <v>28.65</v>
      </c>
    </row>
    <row r="818" spans="1:12" x14ac:dyDescent="0.25">
      <c r="A818" s="30" t="s">
        <v>23</v>
      </c>
      <c r="B818" s="15" t="s">
        <v>1107</v>
      </c>
      <c r="C818" s="19" t="s">
        <v>10</v>
      </c>
      <c r="D818" s="20">
        <v>167802000</v>
      </c>
      <c r="E818" s="21">
        <v>45717</v>
      </c>
      <c r="F818" s="18">
        <f>MONTH(Data!$E818)</f>
        <v>3</v>
      </c>
      <c r="G818" s="16">
        <f>YEAR(Data!$E818)</f>
        <v>2025</v>
      </c>
      <c r="H818" s="19" t="s">
        <v>25</v>
      </c>
      <c r="I818" s="15" t="str">
        <f t="shared" si="12"/>
        <v>Doanh nghiệp</v>
      </c>
      <c r="J818" s="15" t="s">
        <v>1285</v>
      </c>
      <c r="K818" s="19" t="s">
        <v>1263</v>
      </c>
      <c r="L818" s="32">
        <f>Data!$D818/10^6</f>
        <v>167.80199999999999</v>
      </c>
    </row>
    <row r="819" spans="1:12" x14ac:dyDescent="0.25">
      <c r="A819" s="30" t="s">
        <v>13</v>
      </c>
      <c r="B819" s="15" t="s">
        <v>1073</v>
      </c>
      <c r="C819" s="19" t="s">
        <v>149</v>
      </c>
      <c r="D819" s="20">
        <v>9185455</v>
      </c>
      <c r="E819" s="21">
        <v>45717</v>
      </c>
      <c r="F819" s="18">
        <f>MONTH(Data!$E819)</f>
        <v>3</v>
      </c>
      <c r="G819" s="16">
        <f>YEAR(Data!$E819)</f>
        <v>2025</v>
      </c>
      <c r="H819" s="19" t="s">
        <v>15</v>
      </c>
      <c r="I819" s="15" t="str">
        <f t="shared" si="12"/>
        <v>Doanh nghiệp</v>
      </c>
      <c r="J819" s="15" t="s">
        <v>1284</v>
      </c>
      <c r="K819" s="19" t="s">
        <v>1264</v>
      </c>
      <c r="L819" s="32">
        <f>Data!$D819/10^6</f>
        <v>9.1854549999999993</v>
      </c>
    </row>
    <row r="820" spans="1:12" x14ac:dyDescent="0.25">
      <c r="A820" s="30" t="s">
        <v>111</v>
      </c>
      <c r="B820" s="15" t="s">
        <v>1075</v>
      </c>
      <c r="C820" s="19" t="s">
        <v>46</v>
      </c>
      <c r="D820" s="20">
        <v>327272727</v>
      </c>
      <c r="E820" s="21">
        <v>45717</v>
      </c>
      <c r="F820" s="18">
        <f>MONTH(Data!$E820)</f>
        <v>3</v>
      </c>
      <c r="G820" s="16">
        <f>YEAR(Data!$E820)</f>
        <v>2025</v>
      </c>
      <c r="H820" s="19" t="s">
        <v>22</v>
      </c>
      <c r="I820" s="15" t="str">
        <f t="shared" si="12"/>
        <v>Doanh nghiệp</v>
      </c>
      <c r="J820" s="15" t="s">
        <v>1285</v>
      </c>
      <c r="K820" s="19" t="s">
        <v>1265</v>
      </c>
      <c r="L820" s="32">
        <f>Data!$D820/10^6</f>
        <v>327.27272699999997</v>
      </c>
    </row>
    <row r="821" spans="1:12" x14ac:dyDescent="0.25">
      <c r="A821" s="30" t="s">
        <v>91</v>
      </c>
      <c r="B821" s="15" t="s">
        <v>1076</v>
      </c>
      <c r="C821" s="19" t="s">
        <v>46</v>
      </c>
      <c r="D821" s="20">
        <v>548239291</v>
      </c>
      <c r="E821" s="21">
        <v>45717</v>
      </c>
      <c r="F821" s="18">
        <f>MONTH(Data!$E821)</f>
        <v>3</v>
      </c>
      <c r="G821" s="16">
        <f>YEAR(Data!$E821)</f>
        <v>2025</v>
      </c>
      <c r="H821" s="19" t="s">
        <v>42</v>
      </c>
      <c r="I821" s="15" t="str">
        <f t="shared" si="12"/>
        <v>Doanh nghiệp</v>
      </c>
      <c r="J821" s="15" t="s">
        <v>1284</v>
      </c>
      <c r="K821" s="19" t="s">
        <v>1265</v>
      </c>
      <c r="L821" s="32">
        <f>Data!$D821/10^6</f>
        <v>548.23929099999998</v>
      </c>
    </row>
    <row r="822" spans="1:12" x14ac:dyDescent="0.25">
      <c r="A822" s="30" t="s">
        <v>30</v>
      </c>
      <c r="B822" s="15" t="s">
        <v>1085</v>
      </c>
      <c r="C822" s="19" t="s">
        <v>46</v>
      </c>
      <c r="D822" s="20">
        <v>140726212</v>
      </c>
      <c r="E822" s="21">
        <v>45717</v>
      </c>
      <c r="F822" s="18">
        <f>MONTH(Data!$E822)</f>
        <v>3</v>
      </c>
      <c r="G822" s="16">
        <f>YEAR(Data!$E822)</f>
        <v>2025</v>
      </c>
      <c r="H822" s="19" t="s">
        <v>32</v>
      </c>
      <c r="I822" s="15" t="str">
        <f t="shared" si="12"/>
        <v>Doanh nghiệp</v>
      </c>
      <c r="J822" s="15" t="s">
        <v>1285</v>
      </c>
      <c r="K822" s="19" t="s">
        <v>1265</v>
      </c>
      <c r="L822" s="32">
        <f>Data!$D822/10^6</f>
        <v>140.726212</v>
      </c>
    </row>
    <row r="823" spans="1:12" x14ac:dyDescent="0.25">
      <c r="A823" s="30" t="s">
        <v>160</v>
      </c>
      <c r="B823" s="15" t="s">
        <v>1092</v>
      </c>
      <c r="C823" s="19" t="s">
        <v>46</v>
      </c>
      <c r="D823" s="20">
        <v>324528305</v>
      </c>
      <c r="E823" s="21">
        <v>45717</v>
      </c>
      <c r="F823" s="18">
        <f>MONTH(Data!$E823)</f>
        <v>3</v>
      </c>
      <c r="G823" s="16">
        <f>YEAR(Data!$E823)</f>
        <v>2025</v>
      </c>
      <c r="H823" s="19" t="s">
        <v>35</v>
      </c>
      <c r="I823" s="15" t="str">
        <f t="shared" si="12"/>
        <v>Doanh nghiệp</v>
      </c>
      <c r="J823" s="15" t="s">
        <v>1284</v>
      </c>
      <c r="K823" s="19" t="s">
        <v>1265</v>
      </c>
      <c r="L823" s="32">
        <f>Data!$D823/10^6</f>
        <v>324.52830499999999</v>
      </c>
    </row>
    <row r="824" spans="1:12" x14ac:dyDescent="0.25">
      <c r="A824" s="30" t="s">
        <v>30</v>
      </c>
      <c r="B824" s="15" t="s">
        <v>1104</v>
      </c>
      <c r="C824" s="19" t="s">
        <v>46</v>
      </c>
      <c r="D824" s="20">
        <v>1675937909</v>
      </c>
      <c r="E824" s="21">
        <v>45717</v>
      </c>
      <c r="F824" s="18">
        <f>MONTH(Data!$E824)</f>
        <v>3</v>
      </c>
      <c r="G824" s="16">
        <f>YEAR(Data!$E824)</f>
        <v>2025</v>
      </c>
      <c r="H824" s="19" t="s">
        <v>32</v>
      </c>
      <c r="I824" s="15" t="str">
        <f t="shared" si="12"/>
        <v>Doanh nghiệp</v>
      </c>
      <c r="J824" s="15" t="s">
        <v>1285</v>
      </c>
      <c r="K824" s="19" t="s">
        <v>1265</v>
      </c>
      <c r="L824" s="32">
        <f>Data!$D824/10^6</f>
        <v>1675.937909</v>
      </c>
    </row>
    <row r="825" spans="1:12" x14ac:dyDescent="0.25">
      <c r="A825" s="30" t="s">
        <v>151</v>
      </c>
      <c r="B825" s="15" t="s">
        <v>1092</v>
      </c>
      <c r="C825" s="19" t="s">
        <v>149</v>
      </c>
      <c r="D825" s="20">
        <v>9272727</v>
      </c>
      <c r="E825" s="21">
        <v>45717</v>
      </c>
      <c r="F825" s="18">
        <f>MONTH(Data!$E825)</f>
        <v>3</v>
      </c>
      <c r="G825" s="16">
        <f>YEAR(Data!$E825)</f>
        <v>2025</v>
      </c>
      <c r="H825" s="19" t="s">
        <v>15</v>
      </c>
      <c r="I825" s="15" t="str">
        <f t="shared" si="12"/>
        <v>Doanh nghiệp</v>
      </c>
      <c r="J825" s="15" t="s">
        <v>1284</v>
      </c>
      <c r="K825" s="19" t="s">
        <v>1265</v>
      </c>
      <c r="L825" s="32">
        <f>Data!$D825/10^6</f>
        <v>9.2727269999999997</v>
      </c>
    </row>
    <row r="826" spans="1:12" x14ac:dyDescent="0.25">
      <c r="A826" s="30" t="s">
        <v>151</v>
      </c>
      <c r="B826" s="15" t="s">
        <v>1093</v>
      </c>
      <c r="C826" s="19" t="s">
        <v>149</v>
      </c>
      <c r="D826" s="20">
        <v>17772727</v>
      </c>
      <c r="E826" s="21">
        <v>45717</v>
      </c>
      <c r="F826" s="18">
        <f>MONTH(Data!$E826)</f>
        <v>3</v>
      </c>
      <c r="G826" s="16">
        <f>YEAR(Data!$E826)</f>
        <v>2025</v>
      </c>
      <c r="H826" s="19" t="s">
        <v>15</v>
      </c>
      <c r="I826" s="15" t="str">
        <f t="shared" si="12"/>
        <v>Doanh nghiệp</v>
      </c>
      <c r="J826" s="15" t="s">
        <v>1285</v>
      </c>
      <c r="K826" s="19" t="s">
        <v>1265</v>
      </c>
      <c r="L826" s="32">
        <f>Data!$D826/10^6</f>
        <v>17.772727</v>
      </c>
    </row>
    <row r="827" spans="1:12" x14ac:dyDescent="0.25">
      <c r="A827" s="30" t="s">
        <v>160</v>
      </c>
      <c r="B827" s="15" t="s">
        <v>1123</v>
      </c>
      <c r="C827" s="19" t="s">
        <v>14</v>
      </c>
      <c r="D827" s="20">
        <v>36869091</v>
      </c>
      <c r="E827" s="21">
        <v>45717</v>
      </c>
      <c r="F827" s="18">
        <f>MONTH(Data!$E827)</f>
        <v>3</v>
      </c>
      <c r="G827" s="16">
        <f>YEAR(Data!$E827)</f>
        <v>2025</v>
      </c>
      <c r="H827" s="19" t="s">
        <v>35</v>
      </c>
      <c r="I827" s="15" t="str">
        <f t="shared" si="12"/>
        <v>Doanh nghiệp</v>
      </c>
      <c r="J827" s="15" t="s">
        <v>1284</v>
      </c>
      <c r="K827" s="19" t="s">
        <v>1264</v>
      </c>
      <c r="L827" s="32">
        <f>Data!$D827/10^6</f>
        <v>36.869090999999997</v>
      </c>
    </row>
    <row r="828" spans="1:12" x14ac:dyDescent="0.25">
      <c r="A828" s="30" t="s">
        <v>23</v>
      </c>
      <c r="B828" s="15" t="s">
        <v>1030</v>
      </c>
      <c r="C828" s="19" t="s">
        <v>46</v>
      </c>
      <c r="D828" s="20">
        <v>338132582</v>
      </c>
      <c r="E828" s="21">
        <v>45717</v>
      </c>
      <c r="F828" s="18">
        <f>MONTH(Data!$E828)</f>
        <v>3</v>
      </c>
      <c r="G828" s="16">
        <f>YEAR(Data!$E828)</f>
        <v>2025</v>
      </c>
      <c r="H828" s="19" t="s">
        <v>25</v>
      </c>
      <c r="I828" s="15" t="str">
        <f t="shared" si="12"/>
        <v>Doanh nghiệp</v>
      </c>
      <c r="J828" s="15" t="s">
        <v>1285</v>
      </c>
      <c r="K828" s="19" t="s">
        <v>1265</v>
      </c>
      <c r="L828" s="32">
        <f>Data!$D828/10^6</f>
        <v>338.13258200000001</v>
      </c>
    </row>
    <row r="829" spans="1:12" x14ac:dyDescent="0.25">
      <c r="A829" s="30" t="s">
        <v>52</v>
      </c>
      <c r="B829" s="15" t="s">
        <v>1034</v>
      </c>
      <c r="C829" s="19" t="s">
        <v>149</v>
      </c>
      <c r="D829" s="20">
        <v>173082764</v>
      </c>
      <c r="E829" s="21">
        <v>45717</v>
      </c>
      <c r="F829" s="18">
        <f>MONTH(Data!$E829)</f>
        <v>3</v>
      </c>
      <c r="G829" s="16">
        <f>YEAR(Data!$E829)</f>
        <v>2025</v>
      </c>
      <c r="H829" s="19" t="s">
        <v>35</v>
      </c>
      <c r="I829" s="15" t="str">
        <f t="shared" si="12"/>
        <v>Doanh nghiệp</v>
      </c>
      <c r="J829" s="15" t="s">
        <v>1284</v>
      </c>
      <c r="K829" s="19" t="s">
        <v>1275</v>
      </c>
      <c r="L829" s="32">
        <f>Data!$D829/10^6</f>
        <v>173.082764</v>
      </c>
    </row>
    <row r="830" spans="1:12" x14ac:dyDescent="0.25">
      <c r="A830" s="30" t="s">
        <v>52</v>
      </c>
      <c r="B830" s="15" t="s">
        <v>1035</v>
      </c>
      <c r="C830" s="19" t="s">
        <v>149</v>
      </c>
      <c r="D830" s="20">
        <v>174486764</v>
      </c>
      <c r="E830" s="21">
        <v>45717</v>
      </c>
      <c r="F830" s="18">
        <f>MONTH(Data!$E830)</f>
        <v>3</v>
      </c>
      <c r="G830" s="16">
        <f>YEAR(Data!$E830)</f>
        <v>2025</v>
      </c>
      <c r="H830" s="19" t="s">
        <v>35</v>
      </c>
      <c r="I830" s="15" t="str">
        <f t="shared" si="12"/>
        <v>Doanh nghiệp</v>
      </c>
      <c r="J830" s="15" t="s">
        <v>1285</v>
      </c>
      <c r="K830" s="19" t="s">
        <v>1275</v>
      </c>
      <c r="L830" s="32">
        <f>Data!$D830/10^6</f>
        <v>174.48676399999999</v>
      </c>
    </row>
    <row r="831" spans="1:12" x14ac:dyDescent="0.25">
      <c r="A831" s="30" t="s">
        <v>52</v>
      </c>
      <c r="B831" s="15" t="s">
        <v>1052</v>
      </c>
      <c r="C831" s="19" t="s">
        <v>149</v>
      </c>
      <c r="D831" s="20">
        <v>12174545</v>
      </c>
      <c r="E831" s="21">
        <v>45717</v>
      </c>
      <c r="F831" s="18">
        <f>MONTH(Data!$E831)</f>
        <v>3</v>
      </c>
      <c r="G831" s="16">
        <f>YEAR(Data!$E831)</f>
        <v>2025</v>
      </c>
      <c r="H831" s="19" t="s">
        <v>35</v>
      </c>
      <c r="I831" s="15" t="str">
        <f t="shared" si="12"/>
        <v>Doanh nghiệp</v>
      </c>
      <c r="J831" s="15" t="s">
        <v>1284</v>
      </c>
      <c r="K831" s="19" t="s">
        <v>1265</v>
      </c>
      <c r="L831" s="32">
        <f>Data!$D831/10^6</f>
        <v>12.174545</v>
      </c>
    </row>
    <row r="832" spans="1:12" x14ac:dyDescent="0.25">
      <c r="A832" s="30" t="s">
        <v>111</v>
      </c>
      <c r="B832" s="15" t="s">
        <v>1053</v>
      </c>
      <c r="C832" s="19" t="s">
        <v>149</v>
      </c>
      <c r="D832" s="20">
        <v>4969155</v>
      </c>
      <c r="E832" s="21">
        <v>45717</v>
      </c>
      <c r="F832" s="18">
        <f>MONTH(Data!$E832)</f>
        <v>3</v>
      </c>
      <c r="G832" s="16">
        <f>YEAR(Data!$E832)</f>
        <v>2025</v>
      </c>
      <c r="H832" s="19" t="s">
        <v>22</v>
      </c>
      <c r="I832" s="15" t="str">
        <f t="shared" si="12"/>
        <v>Doanh nghiệp</v>
      </c>
      <c r="J832" s="15" t="s">
        <v>1285</v>
      </c>
      <c r="K832" s="19" t="s">
        <v>1277</v>
      </c>
      <c r="L832" s="32">
        <f>Data!$D832/10^6</f>
        <v>4.9691549999999998</v>
      </c>
    </row>
    <row r="833" spans="1:12" x14ac:dyDescent="0.25">
      <c r="A833" s="30" t="s">
        <v>23</v>
      </c>
      <c r="B833" s="15" t="s">
        <v>1085</v>
      </c>
      <c r="C833" s="19" t="s">
        <v>14</v>
      </c>
      <c r="D833" s="20">
        <v>72181818</v>
      </c>
      <c r="E833" s="21">
        <v>45717</v>
      </c>
      <c r="F833" s="18">
        <f>MONTH(Data!$E833)</f>
        <v>3</v>
      </c>
      <c r="G833" s="16">
        <f>YEAR(Data!$E833)</f>
        <v>2025</v>
      </c>
      <c r="H833" s="19" t="s">
        <v>25</v>
      </c>
      <c r="I833" s="15" t="str">
        <f t="shared" si="12"/>
        <v>Doanh nghiệp</v>
      </c>
      <c r="J833" s="15" t="s">
        <v>1284</v>
      </c>
      <c r="K833" s="19" t="s">
        <v>1273</v>
      </c>
      <c r="L833" s="32">
        <f>Data!$D833/10^6</f>
        <v>72.181818000000007</v>
      </c>
    </row>
    <row r="834" spans="1:12" x14ac:dyDescent="0.25">
      <c r="A834" s="30" t="s">
        <v>130</v>
      </c>
      <c r="B834" s="15" t="s">
        <v>1086</v>
      </c>
      <c r="C834" s="19" t="s">
        <v>14</v>
      </c>
      <c r="D834" s="20">
        <v>679855166</v>
      </c>
      <c r="E834" s="21">
        <v>45717</v>
      </c>
      <c r="F834" s="18">
        <f>MONTH(Data!$E834)</f>
        <v>3</v>
      </c>
      <c r="G834" s="16">
        <f>YEAR(Data!$E834)</f>
        <v>2025</v>
      </c>
      <c r="H834" s="19" t="s">
        <v>22</v>
      </c>
      <c r="I834" s="15" t="str">
        <f t="shared" si="12"/>
        <v>Doanh nghiệp</v>
      </c>
      <c r="J834" s="15" t="s">
        <v>1285</v>
      </c>
      <c r="K834" s="19" t="s">
        <v>1273</v>
      </c>
      <c r="L834" s="32">
        <f>Data!$D834/10^6</f>
        <v>679.85516600000005</v>
      </c>
    </row>
    <row r="835" spans="1:12" x14ac:dyDescent="0.25">
      <c r="A835" s="30" t="s">
        <v>111</v>
      </c>
      <c r="B835" s="15" t="s">
        <v>1095</v>
      </c>
      <c r="C835" s="19" t="s">
        <v>46</v>
      </c>
      <c r="D835" s="20">
        <v>172727273</v>
      </c>
      <c r="E835" s="21">
        <v>45717</v>
      </c>
      <c r="F835" s="18">
        <f>MONTH(Data!$E835)</f>
        <v>3</v>
      </c>
      <c r="G835" s="16">
        <f>YEAR(Data!$E835)</f>
        <v>2025</v>
      </c>
      <c r="H835" s="19" t="s">
        <v>22</v>
      </c>
      <c r="I835" s="15" t="str">
        <f t="shared" ref="I835:I898" si="13">IF(ISNUMBER(SEARCH("Công ty",$B835)),"Doanh nghiệp",IF(ISNUMBER(SEARCH("Doanh nghiệp",$B835)),"Doanh nghiệp",IF(ISNUMBER(SEARCH("Tập đoàn",$B835)),"Doanh nghiệp",
IF(ISNUMBER(SEARCH("Bệnh viện",$B835)),"Bệnh viện",
IF(ISNUMBER(SEARCH("Ngân hàng",$B835)),"Ngân hàng",IF(ISNUMBER(SEARCH("trường",$B835)),"Trường học",IF(ISNUMBER(SEARCH("học viện",$B835)),"Trường học",
IF(ISNUMBER(SEARCH("Bộ",$B835)),"Sở ban ngành",IF(ISNUMBER(SEARCH("Đoàn",$B835)),"Sở ban ngành",IF(ISNUMBER(SEARCH("Phòng",$B835)),"Sở ban ngành",IF(ISNUMBER(SEARCH("UBND",$B835)),"Sở ban ngành",IF(ISNUMBER(SEARCH("ủy ban",$B835)),"Sở ban ngành",IF(ISNUMBER(SEARCH("công an",$B835)),"Sở ban ngành",IF(ISNUMBER(SEARCH("sở",$B835)),"Sở ban ngành",IF(ISNUMBER(SEARCH("thôn",$B835)),"Sở ban ngành",IF(ISNUMBER(SEARCH("xã",$B835)),"Sở ban ngành",IF(ISNUMBER(SEARCH("quân khu",$B835)),"Sở ban ngành",IF(ISNUMBER(SEARCH("cục",$B835)),"Sở ban ngành",IF(ISNUMBER(SEARCH("viện",$B835)),"Sở ban ngành",IF(ISNUMBER(SEARCH("quỹ",$B835)),"Sở ban ngành",IF(ISNUMBER(SEARCH("trung tâm",$B835)),"Sở ban ngành",IF(ISNUMBER(SEARCH("quân chủng",$B835)),"Sở ban ngành",IF(ISNUMBER(SEARCH("hội",$B835)),"Sở ban ngành",
"Khác")))))))))))))))))))))))</f>
        <v>Doanh nghiệp</v>
      </c>
      <c r="J835" s="15" t="s">
        <v>1284</v>
      </c>
      <c r="K835" s="19" t="s">
        <v>1265</v>
      </c>
      <c r="L835" s="32">
        <f>Data!$D835/10^6</f>
        <v>172.727273</v>
      </c>
    </row>
    <row r="836" spans="1:12" x14ac:dyDescent="0.25">
      <c r="A836" s="30" t="s">
        <v>30</v>
      </c>
      <c r="B836" s="15" t="s">
        <v>1110</v>
      </c>
      <c r="C836" s="19" t="s">
        <v>10</v>
      </c>
      <c r="D836" s="20">
        <v>44466507</v>
      </c>
      <c r="E836" s="21">
        <v>45717</v>
      </c>
      <c r="F836" s="18">
        <f>MONTH(Data!$E836)</f>
        <v>3</v>
      </c>
      <c r="G836" s="16">
        <f>YEAR(Data!$E836)</f>
        <v>2025</v>
      </c>
      <c r="H836" s="19" t="s">
        <v>32</v>
      </c>
      <c r="I836" s="15" t="str">
        <f t="shared" si="13"/>
        <v>Doanh nghiệp</v>
      </c>
      <c r="J836" s="15" t="s">
        <v>1285</v>
      </c>
      <c r="K836" s="19" t="s">
        <v>1267</v>
      </c>
      <c r="L836" s="32">
        <f>Data!$D836/10^6</f>
        <v>44.466507</v>
      </c>
    </row>
    <row r="837" spans="1:12" x14ac:dyDescent="0.25">
      <c r="A837" s="30" t="s">
        <v>23</v>
      </c>
      <c r="B837" s="15" t="s">
        <v>1123</v>
      </c>
      <c r="C837" s="19" t="s">
        <v>46</v>
      </c>
      <c r="D837" s="20">
        <v>589440909</v>
      </c>
      <c r="E837" s="21">
        <v>45717</v>
      </c>
      <c r="F837" s="18">
        <f>MONTH(Data!$E837)</f>
        <v>3</v>
      </c>
      <c r="G837" s="16">
        <f>YEAR(Data!$E837)</f>
        <v>2025</v>
      </c>
      <c r="H837" s="19" t="s">
        <v>25</v>
      </c>
      <c r="I837" s="15" t="str">
        <f t="shared" si="13"/>
        <v>Doanh nghiệp</v>
      </c>
      <c r="J837" s="15" t="s">
        <v>1284</v>
      </c>
      <c r="K837" s="19" t="s">
        <v>1265</v>
      </c>
      <c r="L837" s="32">
        <f>Data!$D837/10^6</f>
        <v>589.44090900000003</v>
      </c>
    </row>
    <row r="838" spans="1:12" x14ac:dyDescent="0.25">
      <c r="A838" s="30" t="s">
        <v>91</v>
      </c>
      <c r="B838" s="15" t="s">
        <v>1114</v>
      </c>
      <c r="C838" s="19" t="s">
        <v>14</v>
      </c>
      <c r="D838" s="20">
        <v>612000000</v>
      </c>
      <c r="E838" s="21">
        <v>45717</v>
      </c>
      <c r="F838" s="18">
        <f>MONTH(Data!$E838)</f>
        <v>3</v>
      </c>
      <c r="G838" s="16">
        <f>YEAR(Data!$E838)</f>
        <v>2025</v>
      </c>
      <c r="H838" s="19" t="s">
        <v>42</v>
      </c>
      <c r="I838" s="15" t="str">
        <f t="shared" si="13"/>
        <v>Doanh nghiệp</v>
      </c>
      <c r="J838" s="15" t="s">
        <v>1285</v>
      </c>
      <c r="K838" s="19" t="s">
        <v>1264</v>
      </c>
      <c r="L838" s="32">
        <f>Data!$D838/10^6</f>
        <v>612</v>
      </c>
    </row>
    <row r="839" spans="1:12" x14ac:dyDescent="0.25">
      <c r="A839" s="30" t="s">
        <v>51</v>
      </c>
      <c r="B839" s="15" t="s">
        <v>1118</v>
      </c>
      <c r="C839" s="19" t="s">
        <v>149</v>
      </c>
      <c r="D839" s="20">
        <v>7272727</v>
      </c>
      <c r="E839" s="21">
        <v>45717</v>
      </c>
      <c r="F839" s="18">
        <f>MONTH(Data!$E839)</f>
        <v>3</v>
      </c>
      <c r="G839" s="16">
        <f>YEAR(Data!$E839)</f>
        <v>2025</v>
      </c>
      <c r="H839" s="19" t="s">
        <v>42</v>
      </c>
      <c r="I839" s="15" t="str">
        <f t="shared" si="13"/>
        <v>Doanh nghiệp</v>
      </c>
      <c r="J839" s="15" t="s">
        <v>1284</v>
      </c>
      <c r="K839" s="19" t="s">
        <v>1265</v>
      </c>
      <c r="L839" s="32">
        <f>Data!$D839/10^6</f>
        <v>7.2727269999999997</v>
      </c>
    </row>
    <row r="840" spans="1:12" x14ac:dyDescent="0.25">
      <c r="A840" s="30" t="s">
        <v>54</v>
      </c>
      <c r="B840" s="15" t="s">
        <v>1028</v>
      </c>
      <c r="C840" s="19" t="s">
        <v>10</v>
      </c>
      <c r="D840" s="20">
        <v>11826445</v>
      </c>
      <c r="E840" s="21">
        <v>45717</v>
      </c>
      <c r="F840" s="18">
        <f>MONTH(Data!$E840)</f>
        <v>3</v>
      </c>
      <c r="G840" s="16">
        <f>YEAR(Data!$E840)</f>
        <v>2025</v>
      </c>
      <c r="H840" s="19" t="s">
        <v>15</v>
      </c>
      <c r="I840" s="15" t="str">
        <f t="shared" si="13"/>
        <v>Doanh nghiệp</v>
      </c>
      <c r="J840" s="15" t="s">
        <v>1285</v>
      </c>
      <c r="K840" s="19" t="s">
        <v>1263</v>
      </c>
      <c r="L840" s="32">
        <f>Data!$D840/10^6</f>
        <v>11.826445</v>
      </c>
    </row>
    <row r="841" spans="1:12" x14ac:dyDescent="0.25">
      <c r="A841" s="30" t="s">
        <v>268</v>
      </c>
      <c r="B841" s="15" t="s">
        <v>1104</v>
      </c>
      <c r="C841" s="19" t="s">
        <v>46</v>
      </c>
      <c r="D841" s="20">
        <v>222727273</v>
      </c>
      <c r="E841" s="21">
        <v>45717</v>
      </c>
      <c r="F841" s="18">
        <f>MONTH(Data!$E841)</f>
        <v>3</v>
      </c>
      <c r="G841" s="16">
        <f>YEAR(Data!$E841)</f>
        <v>2025</v>
      </c>
      <c r="H841" s="19" t="s">
        <v>25</v>
      </c>
      <c r="I841" s="15" t="str">
        <f t="shared" si="13"/>
        <v>Doanh nghiệp</v>
      </c>
      <c r="J841" s="15" t="s">
        <v>1284</v>
      </c>
      <c r="K841" s="19" t="s">
        <v>1265</v>
      </c>
      <c r="L841" s="32">
        <f>Data!$D841/10^6</f>
        <v>222.727273</v>
      </c>
    </row>
    <row r="842" spans="1:12" x14ac:dyDescent="0.25">
      <c r="A842" s="30" t="s">
        <v>100</v>
      </c>
      <c r="B842" s="15" t="s">
        <v>1036</v>
      </c>
      <c r="C842" s="19" t="s">
        <v>10</v>
      </c>
      <c r="D842" s="20">
        <v>461414487</v>
      </c>
      <c r="E842" s="21">
        <v>45717</v>
      </c>
      <c r="F842" s="18">
        <f>MONTH(Data!$E842)</f>
        <v>3</v>
      </c>
      <c r="G842" s="16">
        <f>YEAR(Data!$E842)</f>
        <v>2025</v>
      </c>
      <c r="H842" s="19" t="s">
        <v>42</v>
      </c>
      <c r="I842" s="15" t="str">
        <f t="shared" si="13"/>
        <v>Doanh nghiệp</v>
      </c>
      <c r="J842" s="15" t="s">
        <v>1285</v>
      </c>
      <c r="K842" s="19" t="s">
        <v>1262</v>
      </c>
      <c r="L842" s="32">
        <f>Data!$D842/10^6</f>
        <v>461.41448700000001</v>
      </c>
    </row>
    <row r="843" spans="1:12" x14ac:dyDescent="0.25">
      <c r="A843" s="30" t="s">
        <v>68</v>
      </c>
      <c r="B843" s="15" t="s">
        <v>1041</v>
      </c>
      <c r="C843" s="19" t="s">
        <v>10</v>
      </c>
      <c r="D843" s="20">
        <v>677214800</v>
      </c>
      <c r="E843" s="21">
        <v>45717</v>
      </c>
      <c r="F843" s="18">
        <f>MONTH(Data!$E843)</f>
        <v>3</v>
      </c>
      <c r="G843" s="16">
        <f>YEAR(Data!$E843)</f>
        <v>2025</v>
      </c>
      <c r="H843" s="19" t="s">
        <v>22</v>
      </c>
      <c r="I843" s="15" t="str">
        <f t="shared" si="13"/>
        <v>Doanh nghiệp</v>
      </c>
      <c r="J843" s="15" t="s">
        <v>1284</v>
      </c>
      <c r="K843" s="19" t="s">
        <v>1267</v>
      </c>
      <c r="L843" s="32">
        <f>Data!$D843/10^6</f>
        <v>677.21479999999997</v>
      </c>
    </row>
    <row r="844" spans="1:12" x14ac:dyDescent="0.25">
      <c r="A844" s="30" t="s">
        <v>30</v>
      </c>
      <c r="B844" s="15" t="s">
        <v>1073</v>
      </c>
      <c r="C844" s="19" t="s">
        <v>46</v>
      </c>
      <c r="D844" s="20">
        <v>64238182</v>
      </c>
      <c r="E844" s="21">
        <v>45717</v>
      </c>
      <c r="F844" s="18">
        <f>MONTH(Data!$E844)</f>
        <v>3</v>
      </c>
      <c r="G844" s="16">
        <f>YEAR(Data!$E844)</f>
        <v>2025</v>
      </c>
      <c r="H844" s="19" t="s">
        <v>32</v>
      </c>
      <c r="I844" s="15" t="str">
        <f t="shared" si="13"/>
        <v>Doanh nghiệp</v>
      </c>
      <c r="J844" s="15" t="s">
        <v>1285</v>
      </c>
      <c r="K844" s="19" t="s">
        <v>1265</v>
      </c>
      <c r="L844" s="32">
        <f>Data!$D844/10^6</f>
        <v>64.238181999999995</v>
      </c>
    </row>
    <row r="845" spans="1:12" x14ac:dyDescent="0.25">
      <c r="A845" s="30" t="s">
        <v>51</v>
      </c>
      <c r="B845" s="15" t="s">
        <v>1122</v>
      </c>
      <c r="C845" s="19" t="s">
        <v>10</v>
      </c>
      <c r="D845" s="20">
        <v>88534818</v>
      </c>
      <c r="E845" s="21">
        <v>45717</v>
      </c>
      <c r="F845" s="18">
        <f>MONTH(Data!$E845)</f>
        <v>3</v>
      </c>
      <c r="G845" s="16">
        <f>YEAR(Data!$E845)</f>
        <v>2025</v>
      </c>
      <c r="H845" s="19" t="s">
        <v>42</v>
      </c>
      <c r="I845" s="15" t="str">
        <f t="shared" si="13"/>
        <v>Doanh nghiệp</v>
      </c>
      <c r="J845" s="15" t="s">
        <v>1284</v>
      </c>
      <c r="K845" s="19" t="s">
        <v>1262</v>
      </c>
      <c r="L845" s="32">
        <f>Data!$D845/10^6</f>
        <v>88.534818000000001</v>
      </c>
    </row>
    <row r="846" spans="1:12" x14ac:dyDescent="0.25">
      <c r="A846" s="30" t="s">
        <v>92</v>
      </c>
      <c r="B846" s="15" t="s">
        <v>1032</v>
      </c>
      <c r="C846" s="19" t="s">
        <v>14</v>
      </c>
      <c r="D846" s="20">
        <v>102863636</v>
      </c>
      <c r="E846" s="21">
        <v>45717</v>
      </c>
      <c r="F846" s="18">
        <f>MONTH(Data!$E846)</f>
        <v>3</v>
      </c>
      <c r="G846" s="16">
        <f>YEAR(Data!$E846)</f>
        <v>2025</v>
      </c>
      <c r="H846" s="19" t="s">
        <v>29</v>
      </c>
      <c r="I846" s="15" t="str">
        <f t="shared" si="13"/>
        <v>Doanh nghiệp</v>
      </c>
      <c r="J846" s="15" t="s">
        <v>1285</v>
      </c>
      <c r="K846" s="19" t="s">
        <v>1269</v>
      </c>
      <c r="L846" s="32">
        <f>Data!$D846/10^6</f>
        <v>102.863636</v>
      </c>
    </row>
    <row r="847" spans="1:12" x14ac:dyDescent="0.25">
      <c r="A847" s="30" t="s">
        <v>30</v>
      </c>
      <c r="B847" s="15" t="s">
        <v>1112</v>
      </c>
      <c r="C847" s="19" t="s">
        <v>149</v>
      </c>
      <c r="D847" s="20">
        <v>694196475</v>
      </c>
      <c r="E847" s="21">
        <v>45717</v>
      </c>
      <c r="F847" s="18">
        <f>MONTH(Data!$E847)</f>
        <v>3</v>
      </c>
      <c r="G847" s="16">
        <f>YEAR(Data!$E847)</f>
        <v>2025</v>
      </c>
      <c r="H847" s="19" t="s">
        <v>32</v>
      </c>
      <c r="I847" s="15" t="str">
        <f t="shared" si="13"/>
        <v>Doanh nghiệp</v>
      </c>
      <c r="J847" s="15" t="s">
        <v>1284</v>
      </c>
      <c r="K847" s="19" t="s">
        <v>1262</v>
      </c>
      <c r="L847" s="32">
        <f>Data!$D847/10^6</f>
        <v>694.19647499999996</v>
      </c>
    </row>
    <row r="848" spans="1:12" x14ac:dyDescent="0.25">
      <c r="A848" s="30" t="s">
        <v>30</v>
      </c>
      <c r="B848" s="15" t="s">
        <v>1114</v>
      </c>
      <c r="C848" s="19" t="s">
        <v>46</v>
      </c>
      <c r="D848" s="20">
        <v>38730000</v>
      </c>
      <c r="E848" s="21">
        <v>45717</v>
      </c>
      <c r="F848" s="18">
        <f>MONTH(Data!$E848)</f>
        <v>3</v>
      </c>
      <c r="G848" s="16">
        <f>YEAR(Data!$E848)</f>
        <v>2025</v>
      </c>
      <c r="H848" s="19" t="s">
        <v>32</v>
      </c>
      <c r="I848" s="15" t="str">
        <f t="shared" si="13"/>
        <v>Doanh nghiệp</v>
      </c>
      <c r="J848" s="15" t="s">
        <v>1285</v>
      </c>
      <c r="K848" s="19" t="s">
        <v>1265</v>
      </c>
      <c r="L848" s="32">
        <f>Data!$D848/10^6</f>
        <v>38.729999999999997</v>
      </c>
    </row>
    <row r="849" spans="1:12" x14ac:dyDescent="0.25">
      <c r="A849" s="30" t="s">
        <v>68</v>
      </c>
      <c r="B849" s="15" t="s">
        <v>1116</v>
      </c>
      <c r="C849" s="19" t="s">
        <v>10</v>
      </c>
      <c r="D849" s="20">
        <v>215397273</v>
      </c>
      <c r="E849" s="21">
        <v>45717</v>
      </c>
      <c r="F849" s="18">
        <f>MONTH(Data!$E849)</f>
        <v>3</v>
      </c>
      <c r="G849" s="16">
        <f>YEAR(Data!$E849)</f>
        <v>2025</v>
      </c>
      <c r="H849" s="19" t="s">
        <v>22</v>
      </c>
      <c r="I849" s="15" t="str">
        <f t="shared" si="13"/>
        <v>Doanh nghiệp</v>
      </c>
      <c r="J849" s="15" t="s">
        <v>1284</v>
      </c>
      <c r="K849" s="19" t="s">
        <v>1263</v>
      </c>
      <c r="L849" s="32">
        <f>Data!$D849/10^6</f>
        <v>215.39727300000001</v>
      </c>
    </row>
    <row r="850" spans="1:12" x14ac:dyDescent="0.25">
      <c r="A850" s="30" t="s">
        <v>111</v>
      </c>
      <c r="B850" s="15" t="s">
        <v>1121</v>
      </c>
      <c r="C850" s="19" t="s">
        <v>46</v>
      </c>
      <c r="D850" s="20">
        <v>118181818</v>
      </c>
      <c r="E850" s="21">
        <v>45717</v>
      </c>
      <c r="F850" s="18">
        <f>MONTH(Data!$E850)</f>
        <v>3</v>
      </c>
      <c r="G850" s="16">
        <f>YEAR(Data!$E850)</f>
        <v>2025</v>
      </c>
      <c r="H850" s="19" t="s">
        <v>22</v>
      </c>
      <c r="I850" s="15" t="str">
        <f t="shared" si="13"/>
        <v>Doanh nghiệp</v>
      </c>
      <c r="J850" s="15" t="s">
        <v>1285</v>
      </c>
      <c r="K850" s="19" t="s">
        <v>1265</v>
      </c>
      <c r="L850" s="32">
        <f>Data!$D850/10^6</f>
        <v>118.18181800000001</v>
      </c>
    </row>
    <row r="851" spans="1:12" x14ac:dyDescent="0.25">
      <c r="A851" s="30" t="s">
        <v>52</v>
      </c>
      <c r="B851" s="15" t="s">
        <v>1123</v>
      </c>
      <c r="C851" s="19" t="s">
        <v>10</v>
      </c>
      <c r="D851" s="20">
        <v>107862370</v>
      </c>
      <c r="E851" s="21">
        <v>45717</v>
      </c>
      <c r="F851" s="18">
        <f>MONTH(Data!$E851)</f>
        <v>3</v>
      </c>
      <c r="G851" s="16">
        <f>YEAR(Data!$E851)</f>
        <v>2025</v>
      </c>
      <c r="H851" s="19" t="s">
        <v>35</v>
      </c>
      <c r="I851" s="15" t="str">
        <f t="shared" si="13"/>
        <v>Doanh nghiệp</v>
      </c>
      <c r="J851" s="15" t="s">
        <v>1284</v>
      </c>
      <c r="K851" s="19" t="s">
        <v>1263</v>
      </c>
      <c r="L851" s="32">
        <f>Data!$D851/10^6</f>
        <v>107.86237</v>
      </c>
    </row>
    <row r="852" spans="1:12" x14ac:dyDescent="0.25">
      <c r="A852" s="30" t="s">
        <v>151</v>
      </c>
      <c r="B852" s="15" t="s">
        <v>1116</v>
      </c>
      <c r="C852" s="19" t="s">
        <v>46</v>
      </c>
      <c r="D852" s="20">
        <v>213636364</v>
      </c>
      <c r="E852" s="21">
        <v>45717</v>
      </c>
      <c r="F852" s="18">
        <f>MONTH(Data!$E852)</f>
        <v>3</v>
      </c>
      <c r="G852" s="16">
        <f>YEAR(Data!$E852)</f>
        <v>2025</v>
      </c>
      <c r="H852" s="19" t="s">
        <v>15</v>
      </c>
      <c r="I852" s="15" t="str">
        <f t="shared" si="13"/>
        <v>Doanh nghiệp</v>
      </c>
      <c r="J852" s="15" t="s">
        <v>1285</v>
      </c>
      <c r="K852" s="19" t="s">
        <v>1265</v>
      </c>
      <c r="L852" s="32">
        <f>Data!$D852/10^6</f>
        <v>213.63636399999999</v>
      </c>
    </row>
    <row r="853" spans="1:12" x14ac:dyDescent="0.25">
      <c r="A853" s="30" t="s">
        <v>151</v>
      </c>
      <c r="B853" s="15" t="s">
        <v>1107</v>
      </c>
      <c r="C853" s="19" t="s">
        <v>46</v>
      </c>
      <c r="D853" s="20">
        <v>56818182</v>
      </c>
      <c r="E853" s="21">
        <v>45717</v>
      </c>
      <c r="F853" s="18">
        <f>MONTH(Data!$E853)</f>
        <v>3</v>
      </c>
      <c r="G853" s="16">
        <f>YEAR(Data!$E853)</f>
        <v>2025</v>
      </c>
      <c r="H853" s="19" t="s">
        <v>15</v>
      </c>
      <c r="I853" s="15" t="str">
        <f t="shared" si="13"/>
        <v>Doanh nghiệp</v>
      </c>
      <c r="J853" s="15" t="s">
        <v>1284</v>
      </c>
      <c r="K853" s="19" t="s">
        <v>1265</v>
      </c>
      <c r="L853" s="32">
        <f>Data!$D853/10^6</f>
        <v>56.818182</v>
      </c>
    </row>
    <row r="854" spans="1:12" x14ac:dyDescent="0.25">
      <c r="A854" s="30" t="s">
        <v>91</v>
      </c>
      <c r="B854" s="15" t="s">
        <v>1113</v>
      </c>
      <c r="C854" s="19" t="s">
        <v>149</v>
      </c>
      <c r="D854" s="20">
        <v>38522834</v>
      </c>
      <c r="E854" s="21">
        <v>45717</v>
      </c>
      <c r="F854" s="18">
        <f>MONTH(Data!$E854)</f>
        <v>3</v>
      </c>
      <c r="G854" s="16">
        <f>YEAR(Data!$E854)</f>
        <v>2025</v>
      </c>
      <c r="H854" s="19" t="s">
        <v>42</v>
      </c>
      <c r="I854" s="15" t="str">
        <f t="shared" si="13"/>
        <v>Doanh nghiệp</v>
      </c>
      <c r="J854" s="15" t="s">
        <v>1285</v>
      </c>
      <c r="K854" s="19" t="s">
        <v>1275</v>
      </c>
      <c r="L854" s="32">
        <f>Data!$D854/10^6</f>
        <v>38.522834000000003</v>
      </c>
    </row>
    <row r="855" spans="1:12" x14ac:dyDescent="0.25">
      <c r="A855" s="30" t="s">
        <v>92</v>
      </c>
      <c r="B855" s="15" t="s">
        <v>1115</v>
      </c>
      <c r="C855" s="19" t="s">
        <v>41</v>
      </c>
      <c r="D855" s="20">
        <v>103454545</v>
      </c>
      <c r="E855" s="21">
        <v>45717</v>
      </c>
      <c r="F855" s="18">
        <f>MONTH(Data!$E855)</f>
        <v>3</v>
      </c>
      <c r="G855" s="16">
        <f>YEAR(Data!$E855)</f>
        <v>2025</v>
      </c>
      <c r="H855" s="19" t="s">
        <v>29</v>
      </c>
      <c r="I855" s="15" t="str">
        <f t="shared" si="13"/>
        <v>Doanh nghiệp</v>
      </c>
      <c r="J855" s="15" t="s">
        <v>1284</v>
      </c>
      <c r="K855" s="19" t="s">
        <v>1269</v>
      </c>
      <c r="L855" s="32">
        <f>Data!$D855/10^6</f>
        <v>103.454545</v>
      </c>
    </row>
    <row r="856" spans="1:12" x14ac:dyDescent="0.25">
      <c r="A856" s="30" t="s">
        <v>55</v>
      </c>
      <c r="B856" s="15" t="s">
        <v>1116</v>
      </c>
      <c r="C856" s="19" t="s">
        <v>10</v>
      </c>
      <c r="D856" s="20">
        <v>164340909</v>
      </c>
      <c r="E856" s="21">
        <v>45717</v>
      </c>
      <c r="F856" s="18">
        <f>MONTH(Data!$E856)</f>
        <v>3</v>
      </c>
      <c r="G856" s="16">
        <f>YEAR(Data!$E856)</f>
        <v>2025</v>
      </c>
      <c r="H856" s="19" t="s">
        <v>15</v>
      </c>
      <c r="I856" s="15" t="str">
        <f t="shared" si="13"/>
        <v>Doanh nghiệp</v>
      </c>
      <c r="J856" s="15" t="s">
        <v>1285</v>
      </c>
      <c r="K856" s="19" t="s">
        <v>1278</v>
      </c>
      <c r="L856" s="32">
        <f>Data!$D856/10^6</f>
        <v>164.34090900000001</v>
      </c>
    </row>
    <row r="857" spans="1:12" x14ac:dyDescent="0.25">
      <c r="A857" s="30" t="s">
        <v>52</v>
      </c>
      <c r="B857" s="15" t="s">
        <v>1122</v>
      </c>
      <c r="C857" s="19" t="s">
        <v>10</v>
      </c>
      <c r="D857" s="20">
        <v>204600000</v>
      </c>
      <c r="E857" s="21">
        <v>45717</v>
      </c>
      <c r="F857" s="18">
        <f>MONTH(Data!$E857)</f>
        <v>3</v>
      </c>
      <c r="G857" s="16">
        <f>YEAR(Data!$E857)</f>
        <v>2025</v>
      </c>
      <c r="H857" s="19" t="s">
        <v>35</v>
      </c>
      <c r="I857" s="15" t="str">
        <f t="shared" si="13"/>
        <v>Doanh nghiệp</v>
      </c>
      <c r="J857" s="15" t="s">
        <v>1284</v>
      </c>
      <c r="K857" s="19" t="s">
        <v>1267</v>
      </c>
      <c r="L857" s="32">
        <f>Data!$D857/10^6</f>
        <v>204.6</v>
      </c>
    </row>
    <row r="858" spans="1:12" x14ac:dyDescent="0.25">
      <c r="A858" s="30" t="s">
        <v>160</v>
      </c>
      <c r="B858" s="15" t="s">
        <v>1122</v>
      </c>
      <c r="C858" s="19" t="s">
        <v>46</v>
      </c>
      <c r="D858" s="20">
        <v>58672727</v>
      </c>
      <c r="E858" s="21">
        <v>45717</v>
      </c>
      <c r="F858" s="18">
        <f>MONTH(Data!$E858)</f>
        <v>3</v>
      </c>
      <c r="G858" s="16">
        <f>YEAR(Data!$E858)</f>
        <v>2025</v>
      </c>
      <c r="H858" s="19" t="s">
        <v>35</v>
      </c>
      <c r="I858" s="15" t="str">
        <f t="shared" si="13"/>
        <v>Doanh nghiệp</v>
      </c>
      <c r="J858" s="15" t="s">
        <v>1285</v>
      </c>
      <c r="K858" s="19" t="s">
        <v>1265</v>
      </c>
      <c r="L858" s="32">
        <f>Data!$D858/10^6</f>
        <v>58.672727000000002</v>
      </c>
    </row>
    <row r="859" spans="1:12" x14ac:dyDescent="0.25">
      <c r="A859" s="30" t="s">
        <v>39</v>
      </c>
      <c r="B859" s="15" t="s">
        <v>1134</v>
      </c>
      <c r="C859" s="19" t="s">
        <v>14</v>
      </c>
      <c r="D859" s="20">
        <v>92016000</v>
      </c>
      <c r="E859" s="21">
        <v>45717</v>
      </c>
      <c r="F859" s="18">
        <f>MONTH(Data!$E859)</f>
        <v>3</v>
      </c>
      <c r="G859" s="16">
        <f>YEAR(Data!$E859)</f>
        <v>2025</v>
      </c>
      <c r="H859" s="19" t="s">
        <v>42</v>
      </c>
      <c r="I859" s="15" t="str">
        <f t="shared" si="13"/>
        <v>Doanh nghiệp</v>
      </c>
      <c r="J859" s="15" t="s">
        <v>1284</v>
      </c>
      <c r="K859" s="19" t="s">
        <v>1264</v>
      </c>
      <c r="L859" s="32">
        <f>Data!$D859/10^6</f>
        <v>92.016000000000005</v>
      </c>
    </row>
    <row r="860" spans="1:12" x14ac:dyDescent="0.25">
      <c r="A860" s="30" t="s">
        <v>79</v>
      </c>
      <c r="B860" s="15" t="s">
        <v>1153</v>
      </c>
      <c r="C860" s="19" t="s">
        <v>14</v>
      </c>
      <c r="D860" s="20">
        <v>26638909</v>
      </c>
      <c r="E860" s="21">
        <v>45717</v>
      </c>
      <c r="F860" s="18">
        <f>MONTH(Data!$E860)</f>
        <v>3</v>
      </c>
      <c r="G860" s="16">
        <f>YEAR(Data!$E860)</f>
        <v>2025</v>
      </c>
      <c r="H860" s="19" t="s">
        <v>15</v>
      </c>
      <c r="I860" s="15" t="str">
        <f t="shared" si="13"/>
        <v>Doanh nghiệp</v>
      </c>
      <c r="J860" s="15" t="s">
        <v>1285</v>
      </c>
      <c r="K860" s="19" t="s">
        <v>1264</v>
      </c>
      <c r="L860" s="32">
        <f>Data!$D860/10^6</f>
        <v>26.638909000000002</v>
      </c>
    </row>
    <row r="861" spans="1:12" x14ac:dyDescent="0.25">
      <c r="A861" s="30" t="s">
        <v>52</v>
      </c>
      <c r="B861" s="15" t="s">
        <v>1154</v>
      </c>
      <c r="C861" s="19" t="s">
        <v>149</v>
      </c>
      <c r="D861" s="20">
        <v>181783636</v>
      </c>
      <c r="E861" s="21">
        <v>45717</v>
      </c>
      <c r="F861" s="18">
        <f>MONTH(Data!$E861)</f>
        <v>3</v>
      </c>
      <c r="G861" s="16">
        <f>YEAR(Data!$E861)</f>
        <v>2025</v>
      </c>
      <c r="H861" s="19" t="s">
        <v>35</v>
      </c>
      <c r="I861" s="15" t="str">
        <f t="shared" si="13"/>
        <v>Doanh nghiệp</v>
      </c>
      <c r="J861" s="15" t="s">
        <v>1284</v>
      </c>
      <c r="K861" s="19" t="s">
        <v>1275</v>
      </c>
      <c r="L861" s="32">
        <f>Data!$D861/10^6</f>
        <v>181.783636</v>
      </c>
    </row>
    <row r="862" spans="1:12" x14ac:dyDescent="0.25">
      <c r="A862" s="30" t="s">
        <v>52</v>
      </c>
      <c r="B862" s="15" t="s">
        <v>1155</v>
      </c>
      <c r="C862" s="19" t="s">
        <v>149</v>
      </c>
      <c r="D862" s="20">
        <v>44819018</v>
      </c>
      <c r="E862" s="21">
        <v>45717</v>
      </c>
      <c r="F862" s="18">
        <f>MONTH(Data!$E862)</f>
        <v>3</v>
      </c>
      <c r="G862" s="16">
        <f>YEAR(Data!$E862)</f>
        <v>2025</v>
      </c>
      <c r="H862" s="19" t="s">
        <v>35</v>
      </c>
      <c r="I862" s="15" t="str">
        <f t="shared" si="13"/>
        <v>Doanh nghiệp</v>
      </c>
      <c r="J862" s="15" t="s">
        <v>1285</v>
      </c>
      <c r="K862" s="19" t="s">
        <v>1275</v>
      </c>
      <c r="L862" s="32">
        <f>Data!$D862/10^6</f>
        <v>44.819018</v>
      </c>
    </row>
    <row r="863" spans="1:12" x14ac:dyDescent="0.25">
      <c r="A863" s="30" t="s">
        <v>345</v>
      </c>
      <c r="B863" s="15" t="s">
        <v>1142</v>
      </c>
      <c r="C863" s="19" t="s">
        <v>41</v>
      </c>
      <c r="D863" s="20">
        <v>146300967</v>
      </c>
      <c r="E863" s="21">
        <v>45717</v>
      </c>
      <c r="F863" s="18">
        <f>MONTH(Data!$E863)</f>
        <v>3</v>
      </c>
      <c r="G863" s="16">
        <f>YEAR(Data!$E863)</f>
        <v>2025</v>
      </c>
      <c r="H863" s="19" t="s">
        <v>35</v>
      </c>
      <c r="I863" s="15" t="str">
        <f t="shared" si="13"/>
        <v>Doanh nghiệp</v>
      </c>
      <c r="J863" s="15" t="s">
        <v>1284</v>
      </c>
      <c r="K863" s="19" t="s">
        <v>1269</v>
      </c>
      <c r="L863" s="32">
        <f>Data!$D863/10^6</f>
        <v>146.30096700000001</v>
      </c>
    </row>
    <row r="864" spans="1:12" x14ac:dyDescent="0.25">
      <c r="A864" s="30" t="s">
        <v>55</v>
      </c>
      <c r="B864" s="15" t="s">
        <v>1151</v>
      </c>
      <c r="C864" s="19" t="s">
        <v>10</v>
      </c>
      <c r="D864" s="20">
        <v>49446273</v>
      </c>
      <c r="E864" s="21">
        <v>45717</v>
      </c>
      <c r="F864" s="18">
        <f>MONTH(Data!$E864)</f>
        <v>3</v>
      </c>
      <c r="G864" s="16">
        <f>YEAR(Data!$E864)</f>
        <v>2025</v>
      </c>
      <c r="H864" s="19" t="s">
        <v>15</v>
      </c>
      <c r="I864" s="15" t="str">
        <f t="shared" si="13"/>
        <v>Doanh nghiệp</v>
      </c>
      <c r="J864" s="15" t="s">
        <v>1285</v>
      </c>
      <c r="K864" s="19" t="s">
        <v>1262</v>
      </c>
      <c r="L864" s="32">
        <f>Data!$D864/10^6</f>
        <v>49.446272999999998</v>
      </c>
    </row>
    <row r="865" spans="1:12" x14ac:dyDescent="0.25">
      <c r="A865" s="30" t="s">
        <v>151</v>
      </c>
      <c r="B865" s="15" t="s">
        <v>1176</v>
      </c>
      <c r="C865" s="19" t="s">
        <v>14</v>
      </c>
      <c r="D865" s="20">
        <v>7818182</v>
      </c>
      <c r="E865" s="21">
        <v>45717</v>
      </c>
      <c r="F865" s="18">
        <f>MONTH(Data!$E865)</f>
        <v>3</v>
      </c>
      <c r="G865" s="16">
        <f>YEAR(Data!$E865)</f>
        <v>2025</v>
      </c>
      <c r="H865" s="19" t="s">
        <v>15</v>
      </c>
      <c r="I865" s="15" t="str">
        <f t="shared" si="13"/>
        <v>Doanh nghiệp</v>
      </c>
      <c r="J865" s="15" t="s">
        <v>1284</v>
      </c>
      <c r="K865" s="19" t="s">
        <v>1264</v>
      </c>
      <c r="L865" s="32">
        <f>Data!$D865/10^6</f>
        <v>7.8181820000000002</v>
      </c>
    </row>
    <row r="866" spans="1:12" x14ac:dyDescent="0.25">
      <c r="A866" s="30" t="s">
        <v>30</v>
      </c>
      <c r="B866" s="15" t="s">
        <v>1234</v>
      </c>
      <c r="C866" s="19" t="s">
        <v>149</v>
      </c>
      <c r="D866" s="20">
        <v>19440000</v>
      </c>
      <c r="E866" s="21">
        <v>45717</v>
      </c>
      <c r="F866" s="18">
        <f>MONTH(Data!$E866)</f>
        <v>3</v>
      </c>
      <c r="G866" s="16">
        <f>YEAR(Data!$E866)</f>
        <v>2025</v>
      </c>
      <c r="H866" s="19" t="s">
        <v>32</v>
      </c>
      <c r="I866" s="15" t="str">
        <f t="shared" si="13"/>
        <v>Doanh nghiệp</v>
      </c>
      <c r="J866" s="15" t="s">
        <v>1285</v>
      </c>
      <c r="K866" s="19" t="s">
        <v>1275</v>
      </c>
      <c r="L866" s="32">
        <f>Data!$D866/10^6</f>
        <v>19.440000000000001</v>
      </c>
    </row>
    <row r="867" spans="1:12" x14ac:dyDescent="0.25">
      <c r="A867" s="30" t="s">
        <v>45</v>
      </c>
      <c r="B867" s="15" t="s">
        <v>1246</v>
      </c>
      <c r="C867" s="19" t="s">
        <v>46</v>
      </c>
      <c r="D867" s="20">
        <v>90909091</v>
      </c>
      <c r="E867" s="21">
        <v>45717</v>
      </c>
      <c r="F867" s="18">
        <f>MONTH(Data!$E867)</f>
        <v>3</v>
      </c>
      <c r="G867" s="16">
        <f>YEAR(Data!$E867)</f>
        <v>2025</v>
      </c>
      <c r="H867" s="19" t="s">
        <v>29</v>
      </c>
      <c r="I867" s="15" t="str">
        <f t="shared" si="13"/>
        <v>Doanh nghiệp</v>
      </c>
      <c r="J867" s="15" t="s">
        <v>1284</v>
      </c>
      <c r="K867" s="19" t="s">
        <v>1271</v>
      </c>
      <c r="L867" s="32">
        <f>Data!$D867/10^6</f>
        <v>90.909091000000004</v>
      </c>
    </row>
    <row r="868" spans="1:12" x14ac:dyDescent="0.25">
      <c r="A868" s="30" t="s">
        <v>89</v>
      </c>
      <c r="B868" s="15" t="s">
        <v>1248</v>
      </c>
      <c r="C868" s="19" t="s">
        <v>46</v>
      </c>
      <c r="D868" s="20">
        <v>11345455</v>
      </c>
      <c r="E868" s="21">
        <v>45717</v>
      </c>
      <c r="F868" s="18">
        <f>MONTH(Data!$E868)</f>
        <v>3</v>
      </c>
      <c r="G868" s="16">
        <f>YEAR(Data!$E868)</f>
        <v>2025</v>
      </c>
      <c r="H868" s="19" t="s">
        <v>11</v>
      </c>
      <c r="I868" s="15" t="str">
        <f t="shared" si="13"/>
        <v>Doanh nghiệp</v>
      </c>
      <c r="J868" s="15" t="s">
        <v>1285</v>
      </c>
      <c r="K868" s="19" t="s">
        <v>1271</v>
      </c>
      <c r="L868" s="32">
        <f>Data!$D868/10^6</f>
        <v>11.345454999999999</v>
      </c>
    </row>
    <row r="869" spans="1:12" x14ac:dyDescent="0.25">
      <c r="A869" s="30" t="s">
        <v>146</v>
      </c>
      <c r="B869" s="19" t="s">
        <v>356</v>
      </c>
      <c r="C869" s="19" t="s">
        <v>10</v>
      </c>
      <c r="D869" s="20">
        <v>204519091</v>
      </c>
      <c r="E869" s="21">
        <v>45717</v>
      </c>
      <c r="F869" s="18">
        <f>MONTH(Data!$E869)</f>
        <v>3</v>
      </c>
      <c r="G869" s="16">
        <f>YEAR(Data!$E869)</f>
        <v>2025</v>
      </c>
      <c r="H869" s="19" t="s">
        <v>32</v>
      </c>
      <c r="I869" s="15" t="str">
        <f t="shared" si="13"/>
        <v>Sở ban ngành</v>
      </c>
      <c r="J869" s="15" t="s">
        <v>1284</v>
      </c>
      <c r="K869" s="19" t="s">
        <v>1267</v>
      </c>
      <c r="L869" s="32">
        <f>Data!$D869/10^6</f>
        <v>204.519091</v>
      </c>
    </row>
    <row r="870" spans="1:12" x14ac:dyDescent="0.25">
      <c r="A870" s="30" t="s">
        <v>98</v>
      </c>
      <c r="B870" s="19" t="s">
        <v>878</v>
      </c>
      <c r="C870" s="19" t="s">
        <v>46</v>
      </c>
      <c r="D870" s="20">
        <v>22727273</v>
      </c>
      <c r="E870" s="21">
        <v>45717</v>
      </c>
      <c r="F870" s="18">
        <f>MONTH(Data!$E870)</f>
        <v>3</v>
      </c>
      <c r="G870" s="16">
        <f>YEAR(Data!$E870)</f>
        <v>2025</v>
      </c>
      <c r="H870" s="19" t="s">
        <v>11</v>
      </c>
      <c r="I870" s="15" t="str">
        <f t="shared" si="13"/>
        <v>Sở ban ngành</v>
      </c>
      <c r="J870" s="15" t="s">
        <v>1285</v>
      </c>
      <c r="K870" s="19" t="s">
        <v>1271</v>
      </c>
      <c r="L870" s="32">
        <f>Data!$D870/10^6</f>
        <v>22.727273</v>
      </c>
    </row>
    <row r="871" spans="1:12" x14ac:dyDescent="0.25">
      <c r="A871" s="30" t="s">
        <v>89</v>
      </c>
      <c r="B871" s="19" t="s">
        <v>489</v>
      </c>
      <c r="C871" s="19" t="s">
        <v>46</v>
      </c>
      <c r="D871" s="20">
        <v>40227273</v>
      </c>
      <c r="E871" s="21">
        <v>45717</v>
      </c>
      <c r="F871" s="18">
        <f>MONTH(Data!$E871)</f>
        <v>3</v>
      </c>
      <c r="G871" s="16">
        <f>YEAR(Data!$E871)</f>
        <v>2025</v>
      </c>
      <c r="H871" s="19" t="s">
        <v>11</v>
      </c>
      <c r="I871" s="15" t="str">
        <f t="shared" si="13"/>
        <v>Sở ban ngành</v>
      </c>
      <c r="J871" s="15" t="s">
        <v>1284</v>
      </c>
      <c r="K871" s="19" t="s">
        <v>1271</v>
      </c>
      <c r="L871" s="32">
        <f>Data!$D871/10^6</f>
        <v>40.227272999999997</v>
      </c>
    </row>
    <row r="872" spans="1:12" x14ac:dyDescent="0.25">
      <c r="A872" s="30" t="s">
        <v>89</v>
      </c>
      <c r="B872" s="19" t="s">
        <v>489</v>
      </c>
      <c r="C872" s="19" t="s">
        <v>46</v>
      </c>
      <c r="D872" s="20">
        <v>40227273</v>
      </c>
      <c r="E872" s="21">
        <v>45717</v>
      </c>
      <c r="F872" s="18">
        <f>MONTH(Data!$E872)</f>
        <v>3</v>
      </c>
      <c r="G872" s="16">
        <f>YEAR(Data!$E872)</f>
        <v>2025</v>
      </c>
      <c r="H872" s="19" t="s">
        <v>11</v>
      </c>
      <c r="I872" s="15" t="str">
        <f t="shared" si="13"/>
        <v>Sở ban ngành</v>
      </c>
      <c r="J872" s="15" t="s">
        <v>1285</v>
      </c>
      <c r="K872" s="19" t="s">
        <v>1271</v>
      </c>
      <c r="L872" s="32">
        <f>Data!$D872/10^6</f>
        <v>40.227272999999997</v>
      </c>
    </row>
    <row r="873" spans="1:12" x14ac:dyDescent="0.25">
      <c r="A873" s="30" t="s">
        <v>27</v>
      </c>
      <c r="B873" s="19" t="s">
        <v>875</v>
      </c>
      <c r="C873" s="19" t="s">
        <v>10</v>
      </c>
      <c r="D873" s="20">
        <v>1928000</v>
      </c>
      <c r="E873" s="21">
        <v>45717</v>
      </c>
      <c r="F873" s="18">
        <f>MONTH(Data!$E873)</f>
        <v>3</v>
      </c>
      <c r="G873" s="16">
        <f>YEAR(Data!$E873)</f>
        <v>2025</v>
      </c>
      <c r="H873" s="19" t="s">
        <v>11</v>
      </c>
      <c r="I873" s="15" t="str">
        <f t="shared" si="13"/>
        <v>Ngân hàng</v>
      </c>
      <c r="J873" s="15" t="s">
        <v>1284</v>
      </c>
      <c r="K873" s="19" t="s">
        <v>1263</v>
      </c>
      <c r="L873" s="32">
        <f>Data!$D873/10^6</f>
        <v>1.9279999999999999</v>
      </c>
    </row>
    <row r="874" spans="1:12" x14ac:dyDescent="0.25">
      <c r="A874" s="30" t="s">
        <v>27</v>
      </c>
      <c r="B874" s="19" t="s">
        <v>874</v>
      </c>
      <c r="C874" s="19" t="s">
        <v>10</v>
      </c>
      <c r="D874" s="20">
        <v>3856000</v>
      </c>
      <c r="E874" s="21">
        <v>45717</v>
      </c>
      <c r="F874" s="18">
        <f>MONTH(Data!$E874)</f>
        <v>3</v>
      </c>
      <c r="G874" s="16">
        <f>YEAR(Data!$E874)</f>
        <v>2025</v>
      </c>
      <c r="H874" s="19" t="s">
        <v>11</v>
      </c>
      <c r="I874" s="15" t="str">
        <f t="shared" si="13"/>
        <v>Ngân hàng</v>
      </c>
      <c r="J874" s="15" t="s">
        <v>1285</v>
      </c>
      <c r="K874" s="19" t="s">
        <v>1263</v>
      </c>
      <c r="L874" s="32">
        <f>Data!$D874/10^6</f>
        <v>3.8559999999999999</v>
      </c>
    </row>
    <row r="875" spans="1:12" x14ac:dyDescent="0.25">
      <c r="A875" s="30" t="s">
        <v>100</v>
      </c>
      <c r="B875" s="19" t="s">
        <v>870</v>
      </c>
      <c r="C875" s="19" t="s">
        <v>10</v>
      </c>
      <c r="D875" s="20">
        <v>428063636</v>
      </c>
      <c r="E875" s="21">
        <v>45717</v>
      </c>
      <c r="F875" s="18">
        <f>MONTH(Data!$E875)</f>
        <v>3</v>
      </c>
      <c r="G875" s="16">
        <f>YEAR(Data!$E875)</f>
        <v>2025</v>
      </c>
      <c r="H875" s="19" t="s">
        <v>42</v>
      </c>
      <c r="I875" s="15" t="str">
        <f t="shared" si="13"/>
        <v>Sở ban ngành</v>
      </c>
      <c r="J875" s="15" t="s">
        <v>1284</v>
      </c>
      <c r="K875" s="19" t="s">
        <v>1262</v>
      </c>
      <c r="L875" s="32">
        <f>Data!$D875/10^6</f>
        <v>428.06363599999997</v>
      </c>
    </row>
    <row r="876" spans="1:12" x14ac:dyDescent="0.25">
      <c r="A876" s="30" t="s">
        <v>17</v>
      </c>
      <c r="B876" s="19" t="s">
        <v>873</v>
      </c>
      <c r="C876" s="19" t="s">
        <v>10</v>
      </c>
      <c r="D876" s="20">
        <v>44650000</v>
      </c>
      <c r="E876" s="21">
        <v>45717</v>
      </c>
      <c r="F876" s="18">
        <f>MONTH(Data!$E876)</f>
        <v>3</v>
      </c>
      <c r="G876" s="16">
        <f>YEAR(Data!$E876)</f>
        <v>2025</v>
      </c>
      <c r="H876" s="19" t="s">
        <v>11</v>
      </c>
      <c r="I876" s="15" t="str">
        <f t="shared" si="13"/>
        <v>Sở ban ngành</v>
      </c>
      <c r="J876" s="15" t="s">
        <v>1285</v>
      </c>
      <c r="K876" s="19" t="s">
        <v>1262</v>
      </c>
      <c r="L876" s="32">
        <f>Data!$D876/10^6</f>
        <v>44.65</v>
      </c>
    </row>
    <row r="877" spans="1:12" x14ac:dyDescent="0.25">
      <c r="A877" s="30" t="s">
        <v>37</v>
      </c>
      <c r="B877" s="19" t="s">
        <v>866</v>
      </c>
      <c r="C877" s="19" t="s">
        <v>10</v>
      </c>
      <c r="D877" s="20">
        <v>263163636</v>
      </c>
      <c r="E877" s="21">
        <v>45717</v>
      </c>
      <c r="F877" s="18">
        <f>MONTH(Data!$E877)</f>
        <v>3</v>
      </c>
      <c r="G877" s="16">
        <f>YEAR(Data!$E877)</f>
        <v>2025</v>
      </c>
      <c r="H877" s="19" t="s">
        <v>11</v>
      </c>
      <c r="I877" s="15" t="str">
        <f t="shared" si="13"/>
        <v>Sở ban ngành</v>
      </c>
      <c r="J877" s="15" t="s">
        <v>1284</v>
      </c>
      <c r="K877" s="19" t="s">
        <v>1267</v>
      </c>
      <c r="L877" s="32">
        <f>Data!$D877/10^6</f>
        <v>263.163636</v>
      </c>
    </row>
    <row r="878" spans="1:12" x14ac:dyDescent="0.25">
      <c r="A878" s="30" t="s">
        <v>37</v>
      </c>
      <c r="B878" s="19" t="s">
        <v>851</v>
      </c>
      <c r="C878" s="19" t="s">
        <v>41</v>
      </c>
      <c r="D878" s="20">
        <v>35181818</v>
      </c>
      <c r="E878" s="21">
        <v>45717</v>
      </c>
      <c r="F878" s="18">
        <f>MONTH(Data!$E878)</f>
        <v>3</v>
      </c>
      <c r="G878" s="16">
        <f>YEAR(Data!$E878)</f>
        <v>2025</v>
      </c>
      <c r="H878" s="19" t="s">
        <v>11</v>
      </c>
      <c r="I878" s="15" t="str">
        <f t="shared" si="13"/>
        <v>Sở ban ngành</v>
      </c>
      <c r="J878" s="15" t="s">
        <v>1285</v>
      </c>
      <c r="K878" s="19" t="s">
        <v>1269</v>
      </c>
      <c r="L878" s="32">
        <f>Data!$D878/10^6</f>
        <v>35.181818</v>
      </c>
    </row>
    <row r="879" spans="1:12" x14ac:dyDescent="0.25">
      <c r="A879" s="30" t="s">
        <v>30</v>
      </c>
      <c r="B879" s="19" t="s">
        <v>862</v>
      </c>
      <c r="C879" s="19" t="s">
        <v>41</v>
      </c>
      <c r="D879" s="20">
        <v>45445455</v>
      </c>
      <c r="E879" s="21">
        <v>45717</v>
      </c>
      <c r="F879" s="18">
        <f>MONTH(Data!$E879)</f>
        <v>3</v>
      </c>
      <c r="G879" s="16">
        <f>YEAR(Data!$E879)</f>
        <v>2025</v>
      </c>
      <c r="H879" s="19" t="s">
        <v>32</v>
      </c>
      <c r="I879" s="15" t="str">
        <f t="shared" si="13"/>
        <v>Sở ban ngành</v>
      </c>
      <c r="J879" s="15" t="s">
        <v>1284</v>
      </c>
      <c r="K879" s="19" t="s">
        <v>1269</v>
      </c>
      <c r="L879" s="32">
        <f>Data!$D879/10^6</f>
        <v>45.445455000000003</v>
      </c>
    </row>
    <row r="880" spans="1:12" x14ac:dyDescent="0.25">
      <c r="A880" s="30" t="s">
        <v>37</v>
      </c>
      <c r="B880" s="19" t="s">
        <v>849</v>
      </c>
      <c r="C880" s="19" t="s">
        <v>10</v>
      </c>
      <c r="D880" s="20">
        <v>5581818</v>
      </c>
      <c r="E880" s="21">
        <v>45717</v>
      </c>
      <c r="F880" s="18">
        <f>MONTH(Data!$E880)</f>
        <v>3</v>
      </c>
      <c r="G880" s="16">
        <f>YEAR(Data!$E880)</f>
        <v>2025</v>
      </c>
      <c r="H880" s="19" t="s">
        <v>11</v>
      </c>
      <c r="I880" s="15" t="str">
        <f t="shared" si="13"/>
        <v>Sở ban ngành</v>
      </c>
      <c r="J880" s="15" t="s">
        <v>1285</v>
      </c>
      <c r="K880" s="19" t="s">
        <v>1267</v>
      </c>
      <c r="L880" s="32">
        <f>Data!$D880/10^6</f>
        <v>5.5818180000000002</v>
      </c>
    </row>
    <row r="881" spans="1:12" x14ac:dyDescent="0.25">
      <c r="A881" s="30" t="s">
        <v>30</v>
      </c>
      <c r="B881" s="19" t="s">
        <v>863</v>
      </c>
      <c r="C881" s="19" t="s">
        <v>41</v>
      </c>
      <c r="D881" s="20">
        <v>45445455</v>
      </c>
      <c r="E881" s="21">
        <v>45717</v>
      </c>
      <c r="F881" s="18">
        <f>MONTH(Data!$E881)</f>
        <v>3</v>
      </c>
      <c r="G881" s="16">
        <f>YEAR(Data!$E881)</f>
        <v>2025</v>
      </c>
      <c r="H881" s="19" t="s">
        <v>32</v>
      </c>
      <c r="I881" s="15" t="str">
        <f t="shared" si="13"/>
        <v>Sở ban ngành</v>
      </c>
      <c r="J881" s="15" t="s">
        <v>1284</v>
      </c>
      <c r="K881" s="19" t="s">
        <v>1269</v>
      </c>
      <c r="L881" s="32">
        <f>Data!$D881/10^6</f>
        <v>45.445455000000003</v>
      </c>
    </row>
    <row r="882" spans="1:12" x14ac:dyDescent="0.25">
      <c r="A882" s="30" t="s">
        <v>30</v>
      </c>
      <c r="B882" s="19" t="s">
        <v>864</v>
      </c>
      <c r="C882" s="19" t="s">
        <v>14</v>
      </c>
      <c r="D882" s="20">
        <v>45445455</v>
      </c>
      <c r="E882" s="21">
        <v>45717</v>
      </c>
      <c r="F882" s="18">
        <f>MONTH(Data!$E882)</f>
        <v>3</v>
      </c>
      <c r="G882" s="16">
        <f>YEAR(Data!$E882)</f>
        <v>2025</v>
      </c>
      <c r="H882" s="19" t="s">
        <v>32</v>
      </c>
      <c r="I882" s="15" t="str">
        <f t="shared" si="13"/>
        <v>Sở ban ngành</v>
      </c>
      <c r="J882" s="15" t="s">
        <v>1285</v>
      </c>
      <c r="K882" s="19" t="s">
        <v>1272</v>
      </c>
      <c r="L882" s="32">
        <f>Data!$D882/10^6</f>
        <v>45.445455000000003</v>
      </c>
    </row>
    <row r="883" spans="1:12" x14ac:dyDescent="0.25">
      <c r="A883" s="30" t="s">
        <v>37</v>
      </c>
      <c r="B883" s="19" t="s">
        <v>837</v>
      </c>
      <c r="C883" s="19" t="s">
        <v>10</v>
      </c>
      <c r="D883" s="20">
        <v>18990909</v>
      </c>
      <c r="E883" s="21">
        <v>45717</v>
      </c>
      <c r="F883" s="18">
        <f>MONTH(Data!$E883)</f>
        <v>3</v>
      </c>
      <c r="G883" s="16">
        <f>YEAR(Data!$E883)</f>
        <v>2025</v>
      </c>
      <c r="H883" s="19" t="s">
        <v>11</v>
      </c>
      <c r="I883" s="15" t="str">
        <f t="shared" si="13"/>
        <v>Sở ban ngành</v>
      </c>
      <c r="J883" s="15" t="s">
        <v>1284</v>
      </c>
      <c r="K883" s="19" t="s">
        <v>1267</v>
      </c>
      <c r="L883" s="32">
        <f>Data!$D883/10^6</f>
        <v>18.990908999999998</v>
      </c>
    </row>
    <row r="884" spans="1:12" x14ac:dyDescent="0.25">
      <c r="A884" s="30" t="s">
        <v>37</v>
      </c>
      <c r="B884" s="19" t="s">
        <v>845</v>
      </c>
      <c r="C884" s="19" t="s">
        <v>10</v>
      </c>
      <c r="D884" s="20">
        <v>6574545</v>
      </c>
      <c r="E884" s="21">
        <v>45717</v>
      </c>
      <c r="F884" s="18">
        <f>MONTH(Data!$E884)</f>
        <v>3</v>
      </c>
      <c r="G884" s="16">
        <f>YEAR(Data!$E884)</f>
        <v>2025</v>
      </c>
      <c r="H884" s="19" t="s">
        <v>11</v>
      </c>
      <c r="I884" s="15" t="str">
        <f t="shared" si="13"/>
        <v>Sở ban ngành</v>
      </c>
      <c r="J884" s="15" t="s">
        <v>1285</v>
      </c>
      <c r="K884" s="19" t="s">
        <v>1267</v>
      </c>
      <c r="L884" s="32">
        <f>Data!$D884/10^6</f>
        <v>6.5745449999999996</v>
      </c>
    </row>
    <row r="885" spans="1:12" x14ac:dyDescent="0.25">
      <c r="A885" s="30" t="s">
        <v>37</v>
      </c>
      <c r="B885" s="19" t="s">
        <v>845</v>
      </c>
      <c r="C885" s="19" t="s">
        <v>10</v>
      </c>
      <c r="D885" s="20">
        <v>42331818</v>
      </c>
      <c r="E885" s="21">
        <v>45717</v>
      </c>
      <c r="F885" s="18">
        <f>MONTH(Data!$E885)</f>
        <v>3</v>
      </c>
      <c r="G885" s="16">
        <f>YEAR(Data!$E885)</f>
        <v>2025</v>
      </c>
      <c r="H885" s="19" t="s">
        <v>11</v>
      </c>
      <c r="I885" s="15" t="str">
        <f t="shared" si="13"/>
        <v>Sở ban ngành</v>
      </c>
      <c r="J885" s="15" t="s">
        <v>1284</v>
      </c>
      <c r="K885" s="19" t="s">
        <v>1267</v>
      </c>
      <c r="L885" s="32">
        <f>Data!$D885/10^6</f>
        <v>42.331817999999998</v>
      </c>
    </row>
    <row r="886" spans="1:12" x14ac:dyDescent="0.25">
      <c r="A886" s="30" t="s">
        <v>8</v>
      </c>
      <c r="B886" s="19" t="s">
        <v>871</v>
      </c>
      <c r="C886" s="19" t="s">
        <v>46</v>
      </c>
      <c r="D886" s="20">
        <v>90872727</v>
      </c>
      <c r="E886" s="21">
        <v>45717</v>
      </c>
      <c r="F886" s="18">
        <f>MONTH(Data!$E886)</f>
        <v>3</v>
      </c>
      <c r="G886" s="16">
        <f>YEAR(Data!$E886)</f>
        <v>2025</v>
      </c>
      <c r="H886" s="19" t="s">
        <v>11</v>
      </c>
      <c r="I886" s="15" t="str">
        <f t="shared" si="13"/>
        <v>Sở ban ngành</v>
      </c>
      <c r="J886" s="15" t="s">
        <v>1285</v>
      </c>
      <c r="K886" s="19" t="s">
        <v>1271</v>
      </c>
      <c r="L886" s="32">
        <f>Data!$D886/10^6</f>
        <v>90.872726999999998</v>
      </c>
    </row>
    <row r="887" spans="1:12" x14ac:dyDescent="0.25">
      <c r="A887" s="30" t="s">
        <v>37</v>
      </c>
      <c r="B887" s="19" t="s">
        <v>282</v>
      </c>
      <c r="C887" s="19" t="s">
        <v>46</v>
      </c>
      <c r="D887" s="20">
        <v>22727273</v>
      </c>
      <c r="E887" s="21">
        <v>45717</v>
      </c>
      <c r="F887" s="18">
        <f>MONTH(Data!$E887)</f>
        <v>3</v>
      </c>
      <c r="G887" s="16">
        <f>YEAR(Data!$E887)</f>
        <v>2025</v>
      </c>
      <c r="H887" s="19" t="s">
        <v>11</v>
      </c>
      <c r="I887" s="15" t="str">
        <f t="shared" si="13"/>
        <v>Sở ban ngành</v>
      </c>
      <c r="J887" s="15" t="s">
        <v>1284</v>
      </c>
      <c r="K887" s="19" t="s">
        <v>1271</v>
      </c>
      <c r="L887" s="32">
        <f>Data!$D887/10^6</f>
        <v>22.727273</v>
      </c>
    </row>
    <row r="888" spans="1:12" x14ac:dyDescent="0.25">
      <c r="A888" s="30" t="s">
        <v>37</v>
      </c>
      <c r="B888" s="19" t="s">
        <v>844</v>
      </c>
      <c r="C888" s="19" t="s">
        <v>10</v>
      </c>
      <c r="D888" s="20">
        <v>11818182</v>
      </c>
      <c r="E888" s="21">
        <v>45717</v>
      </c>
      <c r="F888" s="18">
        <f>MONTH(Data!$E888)</f>
        <v>3</v>
      </c>
      <c r="G888" s="16">
        <f>YEAR(Data!$E888)</f>
        <v>2025</v>
      </c>
      <c r="H888" s="19" t="s">
        <v>11</v>
      </c>
      <c r="I888" s="15" t="str">
        <f t="shared" si="13"/>
        <v>Sở ban ngành</v>
      </c>
      <c r="J888" s="15" t="s">
        <v>1285</v>
      </c>
      <c r="K888" s="19" t="s">
        <v>1267</v>
      </c>
      <c r="L888" s="32">
        <f>Data!$D888/10^6</f>
        <v>11.818182</v>
      </c>
    </row>
    <row r="889" spans="1:12" x14ac:dyDescent="0.25">
      <c r="A889" s="30" t="s">
        <v>37</v>
      </c>
      <c r="B889" s="19" t="s">
        <v>844</v>
      </c>
      <c r="C889" s="19" t="s">
        <v>10</v>
      </c>
      <c r="D889" s="20">
        <v>37145455</v>
      </c>
      <c r="E889" s="21">
        <v>45717</v>
      </c>
      <c r="F889" s="18">
        <f>MONTH(Data!$E889)</f>
        <v>3</v>
      </c>
      <c r="G889" s="16">
        <f>YEAR(Data!$E889)</f>
        <v>2025</v>
      </c>
      <c r="H889" s="19" t="s">
        <v>11</v>
      </c>
      <c r="I889" s="15" t="str">
        <f t="shared" si="13"/>
        <v>Sở ban ngành</v>
      </c>
      <c r="J889" s="15" t="s">
        <v>1284</v>
      </c>
      <c r="K889" s="19" t="s">
        <v>1267</v>
      </c>
      <c r="L889" s="32">
        <f>Data!$D889/10^6</f>
        <v>37.145454999999998</v>
      </c>
    </row>
    <row r="890" spans="1:12" x14ac:dyDescent="0.25">
      <c r="A890" s="30" t="s">
        <v>37</v>
      </c>
      <c r="B890" s="19" t="s">
        <v>848</v>
      </c>
      <c r="C890" s="19" t="s">
        <v>10</v>
      </c>
      <c r="D890" s="20">
        <v>13354545</v>
      </c>
      <c r="E890" s="21">
        <v>45717</v>
      </c>
      <c r="F890" s="18">
        <f>MONTH(Data!$E890)</f>
        <v>3</v>
      </c>
      <c r="G890" s="16">
        <f>YEAR(Data!$E890)</f>
        <v>2025</v>
      </c>
      <c r="H890" s="19" t="s">
        <v>11</v>
      </c>
      <c r="I890" s="15" t="str">
        <f t="shared" si="13"/>
        <v>Sở ban ngành</v>
      </c>
      <c r="J890" s="15" t="s">
        <v>1285</v>
      </c>
      <c r="K890" s="19" t="s">
        <v>1267</v>
      </c>
      <c r="L890" s="32">
        <f>Data!$D890/10^6</f>
        <v>13.354545</v>
      </c>
    </row>
    <row r="891" spans="1:12" x14ac:dyDescent="0.25">
      <c r="A891" s="30" t="s">
        <v>8</v>
      </c>
      <c r="B891" s="19" t="s">
        <v>872</v>
      </c>
      <c r="C891" s="19" t="s">
        <v>46</v>
      </c>
      <c r="D891" s="20">
        <v>90872727</v>
      </c>
      <c r="E891" s="21">
        <v>45717</v>
      </c>
      <c r="F891" s="18">
        <f>MONTH(Data!$E891)</f>
        <v>3</v>
      </c>
      <c r="G891" s="16">
        <f>YEAR(Data!$E891)</f>
        <v>2025</v>
      </c>
      <c r="H891" s="19" t="s">
        <v>11</v>
      </c>
      <c r="I891" s="15" t="str">
        <f t="shared" si="13"/>
        <v>Sở ban ngành</v>
      </c>
      <c r="J891" s="15" t="s">
        <v>1284</v>
      </c>
      <c r="K891" s="19" t="s">
        <v>1271</v>
      </c>
      <c r="L891" s="32">
        <f>Data!$D891/10^6</f>
        <v>90.872726999999998</v>
      </c>
    </row>
    <row r="892" spans="1:12" x14ac:dyDescent="0.25">
      <c r="A892" s="30" t="s">
        <v>37</v>
      </c>
      <c r="B892" s="19" t="s">
        <v>859</v>
      </c>
      <c r="C892" s="19" t="s">
        <v>10</v>
      </c>
      <c r="D892" s="20">
        <v>6574545</v>
      </c>
      <c r="E892" s="21">
        <v>45717</v>
      </c>
      <c r="F892" s="18">
        <f>MONTH(Data!$E892)</f>
        <v>3</v>
      </c>
      <c r="G892" s="16">
        <f>YEAR(Data!$E892)</f>
        <v>2025</v>
      </c>
      <c r="H892" s="19" t="s">
        <v>11</v>
      </c>
      <c r="I892" s="15" t="str">
        <f t="shared" si="13"/>
        <v>Sở ban ngành</v>
      </c>
      <c r="J892" s="15" t="s">
        <v>1285</v>
      </c>
      <c r="K892" s="19" t="s">
        <v>1267</v>
      </c>
      <c r="L892" s="32">
        <f>Data!$D892/10^6</f>
        <v>6.5745449999999996</v>
      </c>
    </row>
    <row r="893" spans="1:12" x14ac:dyDescent="0.25">
      <c r="A893" s="30" t="s">
        <v>37</v>
      </c>
      <c r="B893" s="19" t="s">
        <v>865</v>
      </c>
      <c r="C893" s="19" t="s">
        <v>46</v>
      </c>
      <c r="D893" s="20">
        <v>22727273</v>
      </c>
      <c r="E893" s="21">
        <v>45717</v>
      </c>
      <c r="F893" s="18">
        <f>MONTH(Data!$E893)</f>
        <v>3</v>
      </c>
      <c r="G893" s="16">
        <f>YEAR(Data!$E893)</f>
        <v>2025</v>
      </c>
      <c r="H893" s="19" t="s">
        <v>11</v>
      </c>
      <c r="I893" s="15" t="str">
        <f t="shared" si="13"/>
        <v>Sở ban ngành</v>
      </c>
      <c r="J893" s="15" t="s">
        <v>1284</v>
      </c>
      <c r="K893" s="19" t="s">
        <v>1271</v>
      </c>
      <c r="L893" s="32">
        <f>Data!$D893/10^6</f>
        <v>22.727273</v>
      </c>
    </row>
    <row r="894" spans="1:12" x14ac:dyDescent="0.25">
      <c r="A894" s="30" t="s">
        <v>37</v>
      </c>
      <c r="B894" s="19" t="s">
        <v>843</v>
      </c>
      <c r="C894" s="19" t="s">
        <v>10</v>
      </c>
      <c r="D894" s="20">
        <v>40063636</v>
      </c>
      <c r="E894" s="21">
        <v>45717</v>
      </c>
      <c r="F894" s="18">
        <f>MONTH(Data!$E894)</f>
        <v>3</v>
      </c>
      <c r="G894" s="16">
        <f>YEAR(Data!$E894)</f>
        <v>2025</v>
      </c>
      <c r="H894" s="19" t="s">
        <v>11</v>
      </c>
      <c r="I894" s="15" t="str">
        <f t="shared" si="13"/>
        <v>Sở ban ngành</v>
      </c>
      <c r="J894" s="15" t="s">
        <v>1285</v>
      </c>
      <c r="K894" s="19" t="s">
        <v>1267</v>
      </c>
      <c r="L894" s="32">
        <f>Data!$D894/10^6</f>
        <v>40.063636000000002</v>
      </c>
    </row>
    <row r="895" spans="1:12" x14ac:dyDescent="0.25">
      <c r="A895" s="30" t="s">
        <v>37</v>
      </c>
      <c r="B895" s="19" t="s">
        <v>843</v>
      </c>
      <c r="C895" s="19" t="s">
        <v>10</v>
      </c>
      <c r="D895" s="20">
        <v>26909091</v>
      </c>
      <c r="E895" s="21">
        <v>45717</v>
      </c>
      <c r="F895" s="18">
        <f>MONTH(Data!$E895)</f>
        <v>3</v>
      </c>
      <c r="G895" s="16">
        <f>YEAR(Data!$E895)</f>
        <v>2025</v>
      </c>
      <c r="H895" s="19" t="s">
        <v>11</v>
      </c>
      <c r="I895" s="15" t="str">
        <f t="shared" si="13"/>
        <v>Sở ban ngành</v>
      </c>
      <c r="J895" s="15" t="s">
        <v>1284</v>
      </c>
      <c r="K895" s="19" t="s">
        <v>1267</v>
      </c>
      <c r="L895" s="32">
        <f>Data!$D895/10^6</f>
        <v>26.909091</v>
      </c>
    </row>
    <row r="896" spans="1:12" x14ac:dyDescent="0.25">
      <c r="A896" s="30" t="s">
        <v>37</v>
      </c>
      <c r="B896" s="19" t="s">
        <v>868</v>
      </c>
      <c r="C896" s="19" t="s">
        <v>46</v>
      </c>
      <c r="D896" s="20">
        <v>22727273</v>
      </c>
      <c r="E896" s="21">
        <v>45717</v>
      </c>
      <c r="F896" s="18">
        <f>MONTH(Data!$E896)</f>
        <v>3</v>
      </c>
      <c r="G896" s="16">
        <f>YEAR(Data!$E896)</f>
        <v>2025</v>
      </c>
      <c r="H896" s="19" t="s">
        <v>11</v>
      </c>
      <c r="I896" s="15" t="str">
        <f t="shared" si="13"/>
        <v>Sở ban ngành</v>
      </c>
      <c r="J896" s="15" t="s">
        <v>1285</v>
      </c>
      <c r="K896" s="19" t="s">
        <v>1271</v>
      </c>
      <c r="L896" s="32">
        <f>Data!$D896/10^6</f>
        <v>22.727273</v>
      </c>
    </row>
    <row r="897" spans="1:12" x14ac:dyDescent="0.25">
      <c r="A897" s="30" t="s">
        <v>8</v>
      </c>
      <c r="B897" s="19" t="s">
        <v>624</v>
      </c>
      <c r="C897" s="19" t="s">
        <v>46</v>
      </c>
      <c r="D897" s="20">
        <v>223309091</v>
      </c>
      <c r="E897" s="21">
        <v>45717</v>
      </c>
      <c r="F897" s="18">
        <f>MONTH(Data!$E897)</f>
        <v>3</v>
      </c>
      <c r="G897" s="16">
        <f>YEAR(Data!$E897)</f>
        <v>2025</v>
      </c>
      <c r="H897" s="19" t="s">
        <v>11</v>
      </c>
      <c r="I897" s="15" t="str">
        <f t="shared" si="13"/>
        <v>Sở ban ngành</v>
      </c>
      <c r="J897" s="15" t="s">
        <v>1284</v>
      </c>
      <c r="K897" s="19" t="s">
        <v>1271</v>
      </c>
      <c r="L897" s="32">
        <f>Data!$D897/10^6</f>
        <v>223.309091</v>
      </c>
    </row>
    <row r="898" spans="1:12" x14ac:dyDescent="0.25">
      <c r="A898" s="30" t="s">
        <v>37</v>
      </c>
      <c r="B898" s="19" t="s">
        <v>867</v>
      </c>
      <c r="C898" s="19" t="s">
        <v>46</v>
      </c>
      <c r="D898" s="20">
        <v>12000000</v>
      </c>
      <c r="E898" s="21">
        <v>45717</v>
      </c>
      <c r="F898" s="18">
        <f>MONTH(Data!$E898)</f>
        <v>3</v>
      </c>
      <c r="G898" s="16">
        <f>YEAR(Data!$E898)</f>
        <v>2025</v>
      </c>
      <c r="H898" s="19" t="s">
        <v>11</v>
      </c>
      <c r="I898" s="15" t="str">
        <f t="shared" si="13"/>
        <v>Sở ban ngành</v>
      </c>
      <c r="J898" s="15" t="s">
        <v>1285</v>
      </c>
      <c r="K898" s="19" t="s">
        <v>1271</v>
      </c>
      <c r="L898" s="32">
        <f>Data!$D898/10^6</f>
        <v>12</v>
      </c>
    </row>
    <row r="899" spans="1:12" x14ac:dyDescent="0.25">
      <c r="A899" s="30" t="s">
        <v>8</v>
      </c>
      <c r="B899" s="19" t="s">
        <v>880</v>
      </c>
      <c r="C899" s="19" t="s">
        <v>46</v>
      </c>
      <c r="D899" s="20">
        <v>90872727</v>
      </c>
      <c r="E899" s="21">
        <v>45717</v>
      </c>
      <c r="F899" s="18">
        <f>MONTH(Data!$E899)</f>
        <v>3</v>
      </c>
      <c r="G899" s="16">
        <f>YEAR(Data!$E899)</f>
        <v>2025</v>
      </c>
      <c r="H899" s="19" t="s">
        <v>11</v>
      </c>
      <c r="I899" s="15" t="str">
        <f t="shared" ref="I899:I962" si="14">IF(ISNUMBER(SEARCH("Công ty",$B899)),"Doanh nghiệp",IF(ISNUMBER(SEARCH("Doanh nghiệp",$B899)),"Doanh nghiệp",IF(ISNUMBER(SEARCH("Tập đoàn",$B899)),"Doanh nghiệp",
IF(ISNUMBER(SEARCH("Bệnh viện",$B899)),"Bệnh viện",
IF(ISNUMBER(SEARCH("Ngân hàng",$B899)),"Ngân hàng",IF(ISNUMBER(SEARCH("trường",$B899)),"Trường học",IF(ISNUMBER(SEARCH("học viện",$B899)),"Trường học",
IF(ISNUMBER(SEARCH("Bộ",$B899)),"Sở ban ngành",IF(ISNUMBER(SEARCH("Đoàn",$B899)),"Sở ban ngành",IF(ISNUMBER(SEARCH("Phòng",$B899)),"Sở ban ngành",IF(ISNUMBER(SEARCH("UBND",$B899)),"Sở ban ngành",IF(ISNUMBER(SEARCH("ủy ban",$B899)),"Sở ban ngành",IF(ISNUMBER(SEARCH("công an",$B899)),"Sở ban ngành",IF(ISNUMBER(SEARCH("sở",$B899)),"Sở ban ngành",IF(ISNUMBER(SEARCH("thôn",$B899)),"Sở ban ngành",IF(ISNUMBER(SEARCH("xã",$B899)),"Sở ban ngành",IF(ISNUMBER(SEARCH("quân khu",$B899)),"Sở ban ngành",IF(ISNUMBER(SEARCH("cục",$B899)),"Sở ban ngành",IF(ISNUMBER(SEARCH("viện",$B899)),"Sở ban ngành",IF(ISNUMBER(SEARCH("quỹ",$B899)),"Sở ban ngành",IF(ISNUMBER(SEARCH("trung tâm",$B899)),"Sở ban ngành",IF(ISNUMBER(SEARCH("quân chủng",$B899)),"Sở ban ngành",IF(ISNUMBER(SEARCH("hội",$B899)),"Sở ban ngành",
"Khác")))))))))))))))))))))))</f>
        <v>Sở ban ngành</v>
      </c>
      <c r="J899" s="15" t="s">
        <v>1284</v>
      </c>
      <c r="K899" s="19" t="s">
        <v>1271</v>
      </c>
      <c r="L899" s="32">
        <f>Data!$D899/10^6</f>
        <v>90.872726999999998</v>
      </c>
    </row>
    <row r="900" spans="1:12" x14ac:dyDescent="0.25">
      <c r="A900" s="30" t="s">
        <v>47</v>
      </c>
      <c r="B900" s="19" t="s">
        <v>876</v>
      </c>
      <c r="C900" s="19" t="s">
        <v>46</v>
      </c>
      <c r="D900" s="20">
        <v>176681818</v>
      </c>
      <c r="E900" s="21">
        <v>45717</v>
      </c>
      <c r="F900" s="18">
        <f>MONTH(Data!$E900)</f>
        <v>3</v>
      </c>
      <c r="G900" s="16">
        <f>YEAR(Data!$E900)</f>
        <v>2025</v>
      </c>
      <c r="H900" s="19" t="s">
        <v>29</v>
      </c>
      <c r="I900" s="15" t="str">
        <f t="shared" si="14"/>
        <v>Sở ban ngành</v>
      </c>
      <c r="J900" s="15" t="s">
        <v>1285</v>
      </c>
      <c r="K900" s="19" t="s">
        <v>1271</v>
      </c>
      <c r="L900" s="32">
        <f>Data!$D900/10^6</f>
        <v>176.68181799999999</v>
      </c>
    </row>
    <row r="901" spans="1:12" x14ac:dyDescent="0.25">
      <c r="A901" s="30" t="s">
        <v>8</v>
      </c>
      <c r="B901" s="19" t="s">
        <v>879</v>
      </c>
      <c r="C901" s="19" t="s">
        <v>46</v>
      </c>
      <c r="D901" s="20">
        <v>90872727</v>
      </c>
      <c r="E901" s="21">
        <v>45717</v>
      </c>
      <c r="F901" s="18">
        <f>MONTH(Data!$E901)</f>
        <v>3</v>
      </c>
      <c r="G901" s="16">
        <f>YEAR(Data!$E901)</f>
        <v>2025</v>
      </c>
      <c r="H901" s="19" t="s">
        <v>11</v>
      </c>
      <c r="I901" s="15" t="str">
        <f t="shared" si="14"/>
        <v>Trường học</v>
      </c>
      <c r="J901" s="15" t="s">
        <v>1284</v>
      </c>
      <c r="K901" s="19" t="s">
        <v>1271</v>
      </c>
      <c r="L901" s="32">
        <f>Data!$D901/10^6</f>
        <v>90.872726999999998</v>
      </c>
    </row>
    <row r="902" spans="1:12" x14ac:dyDescent="0.25">
      <c r="A902" s="30" t="s">
        <v>37</v>
      </c>
      <c r="B902" s="19" t="s">
        <v>842</v>
      </c>
      <c r="C902" s="19" t="s">
        <v>10</v>
      </c>
      <c r="D902" s="20">
        <v>11288182</v>
      </c>
      <c r="E902" s="21">
        <v>45717</v>
      </c>
      <c r="F902" s="18">
        <f>MONTH(Data!$E902)</f>
        <v>3</v>
      </c>
      <c r="G902" s="16">
        <f>YEAR(Data!$E902)</f>
        <v>2025</v>
      </c>
      <c r="H902" s="19" t="s">
        <v>11</v>
      </c>
      <c r="I902" s="15" t="str">
        <f t="shared" si="14"/>
        <v>Trường học</v>
      </c>
      <c r="J902" s="15" t="s">
        <v>1285</v>
      </c>
      <c r="K902" s="19" t="s">
        <v>1267</v>
      </c>
      <c r="L902" s="32">
        <f>Data!$D902/10^6</f>
        <v>11.288182000000001</v>
      </c>
    </row>
    <row r="903" spans="1:12" x14ac:dyDescent="0.25">
      <c r="A903" s="30" t="s">
        <v>23</v>
      </c>
      <c r="B903" s="19" t="s">
        <v>869</v>
      </c>
      <c r="C903" s="19" t="s">
        <v>10</v>
      </c>
      <c r="D903" s="20">
        <v>337172727</v>
      </c>
      <c r="E903" s="21">
        <v>45717</v>
      </c>
      <c r="F903" s="18">
        <f>MONTH(Data!$E903)</f>
        <v>3</v>
      </c>
      <c r="G903" s="16">
        <f>YEAR(Data!$E903)</f>
        <v>2025</v>
      </c>
      <c r="H903" s="19" t="s">
        <v>25</v>
      </c>
      <c r="I903" s="15" t="str">
        <f t="shared" si="14"/>
        <v>Trường học</v>
      </c>
      <c r="J903" s="15" t="s">
        <v>1284</v>
      </c>
      <c r="K903" s="19" t="s">
        <v>1267</v>
      </c>
      <c r="L903" s="32">
        <f>Data!$D903/10^6</f>
        <v>337.17272700000001</v>
      </c>
    </row>
    <row r="904" spans="1:12" x14ac:dyDescent="0.25">
      <c r="A904" s="30" t="s">
        <v>17</v>
      </c>
      <c r="B904" s="19" t="s">
        <v>877</v>
      </c>
      <c r="C904" s="19" t="s">
        <v>10</v>
      </c>
      <c r="D904" s="20">
        <v>32950000</v>
      </c>
      <c r="E904" s="21">
        <v>45717</v>
      </c>
      <c r="F904" s="18">
        <f>MONTH(Data!$E904)</f>
        <v>3</v>
      </c>
      <c r="G904" s="16">
        <f>YEAR(Data!$E904)</f>
        <v>2025</v>
      </c>
      <c r="H904" s="19" t="s">
        <v>11</v>
      </c>
      <c r="I904" s="15" t="str">
        <f t="shared" si="14"/>
        <v>Trường học</v>
      </c>
      <c r="J904" s="15" t="s">
        <v>1285</v>
      </c>
      <c r="K904" s="19" t="s">
        <v>1262</v>
      </c>
      <c r="L904" s="32">
        <f>Data!$D904/10^6</f>
        <v>32.950000000000003</v>
      </c>
    </row>
    <row r="905" spans="1:12" x14ac:dyDescent="0.25">
      <c r="A905" s="30" t="s">
        <v>21</v>
      </c>
      <c r="B905" s="19" t="s">
        <v>528</v>
      </c>
      <c r="C905" s="19" t="s">
        <v>149</v>
      </c>
      <c r="D905" s="20">
        <v>27172727</v>
      </c>
      <c r="E905" s="21">
        <v>45717</v>
      </c>
      <c r="F905" s="18">
        <f>MONTH(Data!$E905)</f>
        <v>3</v>
      </c>
      <c r="G905" s="16">
        <f>YEAR(Data!$E905)</f>
        <v>2025</v>
      </c>
      <c r="H905" s="19" t="s">
        <v>22</v>
      </c>
      <c r="I905" s="15" t="str">
        <f t="shared" si="14"/>
        <v>Trường học</v>
      </c>
      <c r="J905" s="15" t="s">
        <v>1284</v>
      </c>
      <c r="K905" s="19" t="s">
        <v>1264</v>
      </c>
      <c r="L905" s="32">
        <f>Data!$D905/10^6</f>
        <v>27.172726999999998</v>
      </c>
    </row>
    <row r="906" spans="1:12" x14ac:dyDescent="0.25">
      <c r="A906" s="29" t="s">
        <v>21</v>
      </c>
      <c r="B906" s="15" t="s">
        <v>253</v>
      </c>
      <c r="C906" s="15" t="s">
        <v>14</v>
      </c>
      <c r="D906" s="16">
        <v>117205182</v>
      </c>
      <c r="E906" s="17">
        <v>45383</v>
      </c>
      <c r="F906" s="18">
        <f>MONTH(Data!$E906)</f>
        <v>4</v>
      </c>
      <c r="G906" s="16">
        <f>YEAR(Data!$E906)</f>
        <v>2024</v>
      </c>
      <c r="H906" s="15" t="s">
        <v>22</v>
      </c>
      <c r="I906" s="15" t="str">
        <f t="shared" si="14"/>
        <v>Bệnh viện</v>
      </c>
      <c r="J906" s="15" t="s">
        <v>1285</v>
      </c>
      <c r="K906" s="15" t="s">
        <v>1266</v>
      </c>
      <c r="L906" s="32">
        <f>Data!$D906/10^6</f>
        <v>117.20518199999999</v>
      </c>
    </row>
    <row r="907" spans="1:12" x14ac:dyDescent="0.25">
      <c r="A907" s="29" t="s">
        <v>36</v>
      </c>
      <c r="B907" s="15" t="s">
        <v>254</v>
      </c>
      <c r="C907" s="15" t="s">
        <v>149</v>
      </c>
      <c r="D907" s="16">
        <v>17454545</v>
      </c>
      <c r="E907" s="17">
        <v>45383</v>
      </c>
      <c r="F907" s="18">
        <f>MONTH(Data!$E907)</f>
        <v>4</v>
      </c>
      <c r="G907" s="16">
        <f>YEAR(Data!$E907)</f>
        <v>2024</v>
      </c>
      <c r="H907" s="15" t="s">
        <v>15</v>
      </c>
      <c r="I907" s="15" t="str">
        <f t="shared" si="14"/>
        <v>Bệnh viện</v>
      </c>
      <c r="J907" s="15" t="s">
        <v>1284</v>
      </c>
      <c r="K907" s="15" t="s">
        <v>1264</v>
      </c>
      <c r="L907" s="32">
        <f>Data!$D907/10^6</f>
        <v>17.454545</v>
      </c>
    </row>
    <row r="908" spans="1:12" x14ac:dyDescent="0.25">
      <c r="A908" s="29" t="s">
        <v>30</v>
      </c>
      <c r="B908" s="15" t="s">
        <v>275</v>
      </c>
      <c r="C908" s="15" t="s">
        <v>14</v>
      </c>
      <c r="D908" s="16">
        <v>44090909</v>
      </c>
      <c r="E908" s="17">
        <v>45383</v>
      </c>
      <c r="F908" s="18">
        <f>MONTH(Data!$E908)</f>
        <v>4</v>
      </c>
      <c r="G908" s="16">
        <f>YEAR(Data!$E908)</f>
        <v>2024</v>
      </c>
      <c r="H908" s="15" t="s">
        <v>32</v>
      </c>
      <c r="I908" s="15" t="str">
        <f t="shared" si="14"/>
        <v>Bệnh viện</v>
      </c>
      <c r="J908" s="15" t="s">
        <v>1285</v>
      </c>
      <c r="K908" s="15" t="s">
        <v>1264</v>
      </c>
      <c r="L908" s="32">
        <f>Data!$D908/10^6</f>
        <v>44.090909000000003</v>
      </c>
    </row>
    <row r="909" spans="1:12" x14ac:dyDescent="0.25">
      <c r="A909" s="29" t="s">
        <v>30</v>
      </c>
      <c r="B909" s="15" t="s">
        <v>275</v>
      </c>
      <c r="C909" s="15" t="s">
        <v>149</v>
      </c>
      <c r="D909" s="16">
        <v>44090909</v>
      </c>
      <c r="E909" s="17">
        <v>45383</v>
      </c>
      <c r="F909" s="18">
        <f>MONTH(Data!$E909)</f>
        <v>4</v>
      </c>
      <c r="G909" s="16">
        <f>YEAR(Data!$E909)</f>
        <v>2024</v>
      </c>
      <c r="H909" s="15" t="s">
        <v>32</v>
      </c>
      <c r="I909" s="15" t="str">
        <f t="shared" si="14"/>
        <v>Bệnh viện</v>
      </c>
      <c r="J909" s="15" t="s">
        <v>1284</v>
      </c>
      <c r="K909" s="15" t="s">
        <v>1264</v>
      </c>
      <c r="L909" s="32">
        <f>Data!$D909/10^6</f>
        <v>44.090909000000003</v>
      </c>
    </row>
    <row r="910" spans="1:12" x14ac:dyDescent="0.25">
      <c r="A910" s="29" t="s">
        <v>85</v>
      </c>
      <c r="B910" s="15" t="s">
        <v>1072</v>
      </c>
      <c r="C910" s="15" t="s">
        <v>10</v>
      </c>
      <c r="D910" s="16">
        <v>460643184</v>
      </c>
      <c r="E910" s="17">
        <v>45383</v>
      </c>
      <c r="F910" s="18">
        <f>MONTH(Data!$E910)</f>
        <v>4</v>
      </c>
      <c r="G910" s="16">
        <f>YEAR(Data!$E910)</f>
        <v>2024</v>
      </c>
      <c r="H910" s="15" t="s">
        <v>15</v>
      </c>
      <c r="I910" s="15" t="str">
        <f t="shared" si="14"/>
        <v>Doanh nghiệp</v>
      </c>
      <c r="J910" s="15" t="s">
        <v>1285</v>
      </c>
      <c r="K910" s="15" t="s">
        <v>1267</v>
      </c>
      <c r="L910" s="32">
        <f>Data!$D910/10^6</f>
        <v>460.64318400000002</v>
      </c>
    </row>
    <row r="911" spans="1:12" x14ac:dyDescent="0.25">
      <c r="A911" s="29" t="s">
        <v>51</v>
      </c>
      <c r="B911" s="15" t="s">
        <v>1098</v>
      </c>
      <c r="C911" s="15" t="s">
        <v>10</v>
      </c>
      <c r="D911" s="16">
        <v>20347273</v>
      </c>
      <c r="E911" s="17">
        <v>45383</v>
      </c>
      <c r="F911" s="18">
        <f>MONTH(Data!$E911)</f>
        <v>4</v>
      </c>
      <c r="G911" s="16">
        <f>YEAR(Data!$E911)</f>
        <v>2024</v>
      </c>
      <c r="H911" s="15" t="s">
        <v>42</v>
      </c>
      <c r="I911" s="15" t="str">
        <f t="shared" si="14"/>
        <v>Doanh nghiệp</v>
      </c>
      <c r="J911" s="15" t="s">
        <v>1284</v>
      </c>
      <c r="K911" s="15" t="s">
        <v>1263</v>
      </c>
      <c r="L911" s="32">
        <f>Data!$D911/10^6</f>
        <v>20.347273000000001</v>
      </c>
    </row>
    <row r="912" spans="1:12" x14ac:dyDescent="0.25">
      <c r="A912" s="29" t="s">
        <v>130</v>
      </c>
      <c r="B912" s="15" t="s">
        <v>1111</v>
      </c>
      <c r="C912" s="15" t="s">
        <v>14</v>
      </c>
      <c r="D912" s="16">
        <v>6597306371</v>
      </c>
      <c r="E912" s="17">
        <v>45383</v>
      </c>
      <c r="F912" s="18">
        <f>MONTH(Data!$E912)</f>
        <v>4</v>
      </c>
      <c r="G912" s="16">
        <f>YEAR(Data!$E912)</f>
        <v>2024</v>
      </c>
      <c r="H912" s="15" t="s">
        <v>22</v>
      </c>
      <c r="I912" s="15" t="str">
        <f t="shared" si="14"/>
        <v>Doanh nghiệp</v>
      </c>
      <c r="J912" s="15" t="s">
        <v>1285</v>
      </c>
      <c r="K912" s="15" t="s">
        <v>1266</v>
      </c>
      <c r="L912" s="32">
        <f>Data!$D912/10^6</f>
        <v>6597.3063709999997</v>
      </c>
    </row>
    <row r="913" spans="1:12" x14ac:dyDescent="0.25">
      <c r="A913" s="29" t="s">
        <v>130</v>
      </c>
      <c r="B913" s="15" t="s">
        <v>1112</v>
      </c>
      <c r="C913" s="15" t="s">
        <v>14</v>
      </c>
      <c r="D913" s="16">
        <v>4981513935</v>
      </c>
      <c r="E913" s="17">
        <v>45383</v>
      </c>
      <c r="F913" s="18">
        <f>MONTH(Data!$E913)</f>
        <v>4</v>
      </c>
      <c r="G913" s="16">
        <f>YEAR(Data!$E913)</f>
        <v>2024</v>
      </c>
      <c r="H913" s="15" t="s">
        <v>22</v>
      </c>
      <c r="I913" s="15" t="str">
        <f t="shared" si="14"/>
        <v>Doanh nghiệp</v>
      </c>
      <c r="J913" s="15" t="s">
        <v>1284</v>
      </c>
      <c r="K913" s="15" t="s">
        <v>1266</v>
      </c>
      <c r="L913" s="32">
        <f>Data!$D913/10^6</f>
        <v>4981.5139349999999</v>
      </c>
    </row>
    <row r="914" spans="1:12" x14ac:dyDescent="0.25">
      <c r="A914" s="29" t="s">
        <v>107</v>
      </c>
      <c r="B914" s="15" t="s">
        <v>1123</v>
      </c>
      <c r="C914" s="15" t="s">
        <v>46</v>
      </c>
      <c r="D914" s="16">
        <v>60317931</v>
      </c>
      <c r="E914" s="17">
        <v>45383</v>
      </c>
      <c r="F914" s="18">
        <f>MONTH(Data!$E914)</f>
        <v>4</v>
      </c>
      <c r="G914" s="16">
        <f>YEAR(Data!$E914)</f>
        <v>2024</v>
      </c>
      <c r="H914" s="15" t="s">
        <v>42</v>
      </c>
      <c r="I914" s="15" t="str">
        <f t="shared" si="14"/>
        <v>Doanh nghiệp</v>
      </c>
      <c r="J914" s="15" t="s">
        <v>1285</v>
      </c>
      <c r="K914" s="15" t="s">
        <v>1265</v>
      </c>
      <c r="L914" s="32">
        <f>Data!$D914/10^6</f>
        <v>60.317931000000002</v>
      </c>
    </row>
    <row r="915" spans="1:12" x14ac:dyDescent="0.25">
      <c r="A915" s="29" t="s">
        <v>107</v>
      </c>
      <c r="B915" s="15" t="s">
        <v>1025</v>
      </c>
      <c r="C915" s="15" t="s">
        <v>149</v>
      </c>
      <c r="D915" s="16">
        <v>54219399</v>
      </c>
      <c r="E915" s="17">
        <v>45383</v>
      </c>
      <c r="F915" s="18">
        <f>MONTH(Data!$E915)</f>
        <v>4</v>
      </c>
      <c r="G915" s="16">
        <f>YEAR(Data!$E915)</f>
        <v>2024</v>
      </c>
      <c r="H915" s="15" t="s">
        <v>42</v>
      </c>
      <c r="I915" s="15" t="str">
        <f t="shared" si="14"/>
        <v>Doanh nghiệp</v>
      </c>
      <c r="J915" s="15" t="s">
        <v>1284</v>
      </c>
      <c r="K915" s="15" t="s">
        <v>1265</v>
      </c>
      <c r="L915" s="32">
        <f>Data!$D915/10^6</f>
        <v>54.219399000000003</v>
      </c>
    </row>
    <row r="916" spans="1:12" x14ac:dyDescent="0.25">
      <c r="A916" s="29" t="s">
        <v>107</v>
      </c>
      <c r="B916" s="15" t="s">
        <v>1026</v>
      </c>
      <c r="C916" s="15" t="s">
        <v>149</v>
      </c>
      <c r="D916" s="16">
        <v>39376425</v>
      </c>
      <c r="E916" s="17">
        <v>45383</v>
      </c>
      <c r="F916" s="18">
        <f>MONTH(Data!$E916)</f>
        <v>4</v>
      </c>
      <c r="G916" s="16">
        <f>YEAR(Data!$E916)</f>
        <v>2024</v>
      </c>
      <c r="H916" s="15" t="s">
        <v>42</v>
      </c>
      <c r="I916" s="15" t="str">
        <f t="shared" si="14"/>
        <v>Doanh nghiệp</v>
      </c>
      <c r="J916" s="15" t="s">
        <v>1285</v>
      </c>
      <c r="K916" s="15" t="s">
        <v>1265</v>
      </c>
      <c r="L916" s="32">
        <f>Data!$D916/10^6</f>
        <v>39.376424999999998</v>
      </c>
    </row>
    <row r="917" spans="1:12" x14ac:dyDescent="0.25">
      <c r="A917" s="29" t="s">
        <v>107</v>
      </c>
      <c r="B917" s="15" t="s">
        <v>1027</v>
      </c>
      <c r="C917" s="15" t="s">
        <v>149</v>
      </c>
      <c r="D917" s="16">
        <v>35701756</v>
      </c>
      <c r="E917" s="17">
        <v>45383</v>
      </c>
      <c r="F917" s="18">
        <f>MONTH(Data!$E917)</f>
        <v>4</v>
      </c>
      <c r="G917" s="16">
        <f>YEAR(Data!$E917)</f>
        <v>2024</v>
      </c>
      <c r="H917" s="15" t="s">
        <v>42</v>
      </c>
      <c r="I917" s="15" t="str">
        <f t="shared" si="14"/>
        <v>Doanh nghiệp</v>
      </c>
      <c r="J917" s="15" t="s">
        <v>1284</v>
      </c>
      <c r="K917" s="15" t="s">
        <v>1265</v>
      </c>
      <c r="L917" s="32">
        <f>Data!$D917/10^6</f>
        <v>35.701756000000003</v>
      </c>
    </row>
    <row r="918" spans="1:12" x14ac:dyDescent="0.25">
      <c r="A918" s="29" t="s">
        <v>107</v>
      </c>
      <c r="B918" s="15" t="s">
        <v>1028</v>
      </c>
      <c r="C918" s="15" t="s">
        <v>149</v>
      </c>
      <c r="D918" s="16">
        <v>7601482</v>
      </c>
      <c r="E918" s="17">
        <v>45383</v>
      </c>
      <c r="F918" s="18">
        <f>MONTH(Data!$E918)</f>
        <v>4</v>
      </c>
      <c r="G918" s="16">
        <f>YEAR(Data!$E918)</f>
        <v>2024</v>
      </c>
      <c r="H918" s="15" t="s">
        <v>42</v>
      </c>
      <c r="I918" s="15" t="str">
        <f t="shared" si="14"/>
        <v>Doanh nghiệp</v>
      </c>
      <c r="J918" s="15" t="s">
        <v>1285</v>
      </c>
      <c r="K918" s="15" t="s">
        <v>1265</v>
      </c>
      <c r="L918" s="32">
        <f>Data!$D918/10^6</f>
        <v>7.6014819999999999</v>
      </c>
    </row>
    <row r="919" spans="1:12" x14ac:dyDescent="0.25">
      <c r="A919" s="29" t="s">
        <v>255</v>
      </c>
      <c r="B919" s="15" t="s">
        <v>1039</v>
      </c>
      <c r="C919" s="15" t="s">
        <v>14</v>
      </c>
      <c r="D919" s="16">
        <v>75059091</v>
      </c>
      <c r="E919" s="17">
        <v>45383</v>
      </c>
      <c r="F919" s="18">
        <f>MONTH(Data!$E919)</f>
        <v>4</v>
      </c>
      <c r="G919" s="16">
        <f>YEAR(Data!$E919)</f>
        <v>2024</v>
      </c>
      <c r="H919" s="15" t="s">
        <v>11</v>
      </c>
      <c r="I919" s="15" t="str">
        <f t="shared" si="14"/>
        <v>Doanh nghiệp</v>
      </c>
      <c r="J919" s="15" t="s">
        <v>1284</v>
      </c>
      <c r="K919" s="15" t="s">
        <v>1264</v>
      </c>
      <c r="L919" s="32">
        <f>Data!$D919/10^6</f>
        <v>75.059090999999995</v>
      </c>
    </row>
    <row r="920" spans="1:12" x14ac:dyDescent="0.25">
      <c r="A920" s="29" t="s">
        <v>255</v>
      </c>
      <c r="B920" s="15" t="s">
        <v>1076</v>
      </c>
      <c r="C920" s="15" t="s">
        <v>10</v>
      </c>
      <c r="D920" s="16">
        <v>37054545</v>
      </c>
      <c r="E920" s="17">
        <v>45383</v>
      </c>
      <c r="F920" s="18">
        <f>MONTH(Data!$E920)</f>
        <v>4</v>
      </c>
      <c r="G920" s="16">
        <f>YEAR(Data!$E920)</f>
        <v>2024</v>
      </c>
      <c r="H920" s="15" t="s">
        <v>11</v>
      </c>
      <c r="I920" s="15" t="str">
        <f t="shared" si="14"/>
        <v>Doanh nghiệp</v>
      </c>
      <c r="J920" s="15" t="s">
        <v>1285</v>
      </c>
      <c r="K920" s="15" t="s">
        <v>1263</v>
      </c>
      <c r="L920" s="32">
        <f>Data!$D920/10^6</f>
        <v>37.054544999999997</v>
      </c>
    </row>
    <row r="921" spans="1:12" x14ac:dyDescent="0.25">
      <c r="A921" s="29" t="s">
        <v>45</v>
      </c>
      <c r="B921" s="15" t="s">
        <v>1084</v>
      </c>
      <c r="C921" s="15" t="s">
        <v>14</v>
      </c>
      <c r="D921" s="16">
        <v>136225455</v>
      </c>
      <c r="E921" s="17">
        <v>45383</v>
      </c>
      <c r="F921" s="18">
        <f>MONTH(Data!$E921)</f>
        <v>4</v>
      </c>
      <c r="G921" s="16">
        <f>YEAR(Data!$E921)</f>
        <v>2024</v>
      </c>
      <c r="H921" s="15" t="s">
        <v>29</v>
      </c>
      <c r="I921" s="15" t="str">
        <f t="shared" si="14"/>
        <v>Doanh nghiệp</v>
      </c>
      <c r="J921" s="15" t="s">
        <v>1284</v>
      </c>
      <c r="K921" s="15" t="s">
        <v>1264</v>
      </c>
      <c r="L921" s="32">
        <f>Data!$D921/10^6</f>
        <v>136.22545500000001</v>
      </c>
    </row>
    <row r="922" spans="1:12" x14ac:dyDescent="0.25">
      <c r="A922" s="29" t="s">
        <v>74</v>
      </c>
      <c r="B922" s="15" t="s">
        <v>1091</v>
      </c>
      <c r="C922" s="15" t="s">
        <v>149</v>
      </c>
      <c r="D922" s="16">
        <v>19351636</v>
      </c>
      <c r="E922" s="17">
        <v>45383</v>
      </c>
      <c r="F922" s="18">
        <f>MONTH(Data!$E922)</f>
        <v>4</v>
      </c>
      <c r="G922" s="16">
        <f>YEAR(Data!$E922)</f>
        <v>2024</v>
      </c>
      <c r="H922" s="15" t="s">
        <v>11</v>
      </c>
      <c r="I922" s="15" t="str">
        <f t="shared" si="14"/>
        <v>Doanh nghiệp</v>
      </c>
      <c r="J922" s="15" t="s">
        <v>1285</v>
      </c>
      <c r="K922" s="15" t="s">
        <v>1263</v>
      </c>
      <c r="L922" s="32">
        <f>Data!$D922/10^6</f>
        <v>19.351635999999999</v>
      </c>
    </row>
    <row r="923" spans="1:12" x14ac:dyDescent="0.25">
      <c r="A923" s="29" t="s">
        <v>74</v>
      </c>
      <c r="B923" s="15" t="s">
        <v>1097</v>
      </c>
      <c r="C923" s="15" t="s">
        <v>149</v>
      </c>
      <c r="D923" s="16">
        <v>233280000</v>
      </c>
      <c r="E923" s="17">
        <v>45383</v>
      </c>
      <c r="F923" s="18">
        <f>MONTH(Data!$E923)</f>
        <v>4</v>
      </c>
      <c r="G923" s="16">
        <f>YEAR(Data!$E923)</f>
        <v>2024</v>
      </c>
      <c r="H923" s="15" t="s">
        <v>11</v>
      </c>
      <c r="I923" s="15" t="str">
        <f t="shared" si="14"/>
        <v>Doanh nghiệp</v>
      </c>
      <c r="J923" s="15" t="s">
        <v>1284</v>
      </c>
      <c r="K923" s="15" t="s">
        <v>1262</v>
      </c>
      <c r="L923" s="32">
        <f>Data!$D923/10^6</f>
        <v>233.28</v>
      </c>
    </row>
    <row r="924" spans="1:12" x14ac:dyDescent="0.25">
      <c r="A924" s="29" t="s">
        <v>23</v>
      </c>
      <c r="B924" s="15" t="s">
        <v>1101</v>
      </c>
      <c r="C924" s="15" t="s">
        <v>46</v>
      </c>
      <c r="D924" s="16">
        <v>672174315</v>
      </c>
      <c r="E924" s="17">
        <v>45383</v>
      </c>
      <c r="F924" s="18">
        <f>MONTH(Data!$E924)</f>
        <v>4</v>
      </c>
      <c r="G924" s="16">
        <f>YEAR(Data!$E924)</f>
        <v>2024</v>
      </c>
      <c r="H924" s="15" t="s">
        <v>25</v>
      </c>
      <c r="I924" s="15" t="str">
        <f t="shared" si="14"/>
        <v>Doanh nghiệp</v>
      </c>
      <c r="J924" s="15" t="s">
        <v>1285</v>
      </c>
      <c r="K924" s="15" t="s">
        <v>1265</v>
      </c>
      <c r="L924" s="32">
        <f>Data!$D924/10^6</f>
        <v>672.17431499999998</v>
      </c>
    </row>
    <row r="925" spans="1:12" x14ac:dyDescent="0.25">
      <c r="A925" s="29" t="s">
        <v>107</v>
      </c>
      <c r="B925" s="15" t="s">
        <v>1113</v>
      </c>
      <c r="C925" s="15" t="s">
        <v>149</v>
      </c>
      <c r="D925" s="16">
        <v>18006545</v>
      </c>
      <c r="E925" s="17">
        <v>45383</v>
      </c>
      <c r="F925" s="18">
        <f>MONTH(Data!$E925)</f>
        <v>4</v>
      </c>
      <c r="G925" s="16">
        <f>YEAR(Data!$E925)</f>
        <v>2024</v>
      </c>
      <c r="H925" s="15" t="s">
        <v>42</v>
      </c>
      <c r="I925" s="15" t="str">
        <f t="shared" si="14"/>
        <v>Doanh nghiệp</v>
      </c>
      <c r="J925" s="15" t="s">
        <v>1284</v>
      </c>
      <c r="K925" s="15" t="s">
        <v>1275</v>
      </c>
      <c r="L925" s="32">
        <f>Data!$D925/10^6</f>
        <v>18.006544999999999</v>
      </c>
    </row>
    <row r="926" spans="1:12" x14ac:dyDescent="0.25">
      <c r="A926" s="29" t="s">
        <v>73</v>
      </c>
      <c r="B926" s="15" t="s">
        <v>1032</v>
      </c>
      <c r="C926" s="15" t="s">
        <v>10</v>
      </c>
      <c r="D926" s="16">
        <v>56911000</v>
      </c>
      <c r="E926" s="17">
        <v>45383</v>
      </c>
      <c r="F926" s="18">
        <f>MONTH(Data!$E926)</f>
        <v>4</v>
      </c>
      <c r="G926" s="16">
        <f>YEAR(Data!$E926)</f>
        <v>2024</v>
      </c>
      <c r="H926" s="15" t="s">
        <v>32</v>
      </c>
      <c r="I926" s="15" t="str">
        <f t="shared" si="14"/>
        <v>Doanh nghiệp</v>
      </c>
      <c r="J926" s="15" t="s">
        <v>1285</v>
      </c>
      <c r="K926" s="15" t="s">
        <v>1278</v>
      </c>
      <c r="L926" s="32">
        <f>Data!$D926/10^6</f>
        <v>56.911000000000001</v>
      </c>
    </row>
    <row r="927" spans="1:12" x14ac:dyDescent="0.25">
      <c r="A927" s="29" t="s">
        <v>107</v>
      </c>
      <c r="B927" s="15" t="s">
        <v>1045</v>
      </c>
      <c r="C927" s="15" t="s">
        <v>149</v>
      </c>
      <c r="D927" s="16">
        <v>357564044</v>
      </c>
      <c r="E927" s="17">
        <v>45383</v>
      </c>
      <c r="F927" s="18">
        <f>MONTH(Data!$E927)</f>
        <v>4</v>
      </c>
      <c r="G927" s="16">
        <f>YEAR(Data!$E927)</f>
        <v>2024</v>
      </c>
      <c r="H927" s="15" t="s">
        <v>42</v>
      </c>
      <c r="I927" s="15" t="str">
        <f t="shared" si="14"/>
        <v>Doanh nghiệp</v>
      </c>
      <c r="J927" s="15" t="s">
        <v>1284</v>
      </c>
      <c r="K927" s="15" t="s">
        <v>1265</v>
      </c>
      <c r="L927" s="32">
        <f>Data!$D927/10^6</f>
        <v>357.56404400000002</v>
      </c>
    </row>
    <row r="928" spans="1:12" x14ac:dyDescent="0.25">
      <c r="A928" s="29" t="s">
        <v>48</v>
      </c>
      <c r="B928" s="15" t="s">
        <v>1047</v>
      </c>
      <c r="C928" s="15" t="s">
        <v>10</v>
      </c>
      <c r="D928" s="16">
        <v>16333182</v>
      </c>
      <c r="E928" s="17">
        <v>45383</v>
      </c>
      <c r="F928" s="18">
        <f>MONTH(Data!$E928)</f>
        <v>4</v>
      </c>
      <c r="G928" s="16">
        <f>YEAR(Data!$E928)</f>
        <v>2024</v>
      </c>
      <c r="H928" s="15" t="s">
        <v>25</v>
      </c>
      <c r="I928" s="15" t="str">
        <f t="shared" si="14"/>
        <v>Doanh nghiệp</v>
      </c>
      <c r="J928" s="15" t="s">
        <v>1285</v>
      </c>
      <c r="K928" s="15" t="s">
        <v>1263</v>
      </c>
      <c r="L928" s="32">
        <f>Data!$D928/10^6</f>
        <v>16.333182000000001</v>
      </c>
    </row>
    <row r="929" spans="1:12" x14ac:dyDescent="0.25">
      <c r="A929" s="29" t="s">
        <v>30</v>
      </c>
      <c r="B929" s="15" t="s">
        <v>1067</v>
      </c>
      <c r="C929" s="15" t="s">
        <v>10</v>
      </c>
      <c r="D929" s="16">
        <v>58798636</v>
      </c>
      <c r="E929" s="17">
        <v>45383</v>
      </c>
      <c r="F929" s="18">
        <f>MONTH(Data!$E929)</f>
        <v>4</v>
      </c>
      <c r="G929" s="16">
        <f>YEAR(Data!$E929)</f>
        <v>2024</v>
      </c>
      <c r="H929" s="15" t="s">
        <v>32</v>
      </c>
      <c r="I929" s="15" t="str">
        <f t="shared" si="14"/>
        <v>Doanh nghiệp</v>
      </c>
      <c r="J929" s="15" t="s">
        <v>1284</v>
      </c>
      <c r="K929" s="15" t="s">
        <v>1263</v>
      </c>
      <c r="L929" s="32">
        <f>Data!$D929/10^6</f>
        <v>58.798636000000002</v>
      </c>
    </row>
    <row r="930" spans="1:12" x14ac:dyDescent="0.25">
      <c r="A930" s="29" t="s">
        <v>43</v>
      </c>
      <c r="B930" s="15" t="s">
        <v>1071</v>
      </c>
      <c r="C930" s="15" t="s">
        <v>149</v>
      </c>
      <c r="D930" s="16">
        <v>12545455</v>
      </c>
      <c r="E930" s="17">
        <v>45383</v>
      </c>
      <c r="F930" s="18">
        <f>MONTH(Data!$E930)</f>
        <v>4</v>
      </c>
      <c r="G930" s="16">
        <f>YEAR(Data!$E930)</f>
        <v>2024</v>
      </c>
      <c r="H930" s="15" t="s">
        <v>35</v>
      </c>
      <c r="I930" s="15" t="str">
        <f t="shared" si="14"/>
        <v>Doanh nghiệp</v>
      </c>
      <c r="J930" s="15" t="s">
        <v>1285</v>
      </c>
      <c r="K930" s="15" t="s">
        <v>1264</v>
      </c>
      <c r="L930" s="32">
        <f>Data!$D930/10^6</f>
        <v>12.545455</v>
      </c>
    </row>
    <row r="931" spans="1:12" x14ac:dyDescent="0.25">
      <c r="A931" s="29" t="s">
        <v>43</v>
      </c>
      <c r="B931" s="15" t="s">
        <v>1072</v>
      </c>
      <c r="C931" s="15" t="s">
        <v>149</v>
      </c>
      <c r="D931" s="16">
        <v>12545455</v>
      </c>
      <c r="E931" s="17">
        <v>45383</v>
      </c>
      <c r="F931" s="18">
        <f>MONTH(Data!$E931)</f>
        <v>4</v>
      </c>
      <c r="G931" s="16">
        <f>YEAR(Data!$E931)</f>
        <v>2024</v>
      </c>
      <c r="H931" s="15" t="s">
        <v>35</v>
      </c>
      <c r="I931" s="15" t="str">
        <f t="shared" si="14"/>
        <v>Doanh nghiệp</v>
      </c>
      <c r="J931" s="15" t="s">
        <v>1284</v>
      </c>
      <c r="K931" s="15" t="s">
        <v>1264</v>
      </c>
      <c r="L931" s="32">
        <f>Data!$D931/10^6</f>
        <v>12.545455</v>
      </c>
    </row>
    <row r="932" spans="1:12" x14ac:dyDescent="0.25">
      <c r="A932" s="29" t="s">
        <v>102</v>
      </c>
      <c r="B932" s="15" t="s">
        <v>1039</v>
      </c>
      <c r="C932" s="15" t="s">
        <v>10</v>
      </c>
      <c r="D932" s="16">
        <v>221468273</v>
      </c>
      <c r="E932" s="17">
        <v>45383</v>
      </c>
      <c r="F932" s="18">
        <f>MONTH(Data!$E932)</f>
        <v>4</v>
      </c>
      <c r="G932" s="16">
        <f>YEAR(Data!$E932)</f>
        <v>2024</v>
      </c>
      <c r="H932" s="15" t="s">
        <v>22</v>
      </c>
      <c r="I932" s="15" t="str">
        <f t="shared" si="14"/>
        <v>Doanh nghiệp</v>
      </c>
      <c r="J932" s="15" t="s">
        <v>1285</v>
      </c>
      <c r="K932" s="15" t="s">
        <v>1263</v>
      </c>
      <c r="L932" s="32">
        <f>Data!$D932/10^6</f>
        <v>221.46827300000001</v>
      </c>
    </row>
    <row r="933" spans="1:12" x14ac:dyDescent="0.25">
      <c r="A933" s="29" t="s">
        <v>68</v>
      </c>
      <c r="B933" s="15" t="s">
        <v>1056</v>
      </c>
      <c r="C933" s="15" t="s">
        <v>149</v>
      </c>
      <c r="D933" s="16">
        <v>35720000</v>
      </c>
      <c r="E933" s="17">
        <v>45383</v>
      </c>
      <c r="F933" s="18">
        <f>MONTH(Data!$E933)</f>
        <v>4</v>
      </c>
      <c r="G933" s="16">
        <f>YEAR(Data!$E933)</f>
        <v>2024</v>
      </c>
      <c r="H933" s="15" t="s">
        <v>22</v>
      </c>
      <c r="I933" s="15" t="str">
        <f t="shared" si="14"/>
        <v>Doanh nghiệp</v>
      </c>
      <c r="J933" s="15" t="s">
        <v>1284</v>
      </c>
      <c r="K933" s="15" t="s">
        <v>1262</v>
      </c>
      <c r="L933" s="32">
        <f>Data!$D933/10^6</f>
        <v>35.72</v>
      </c>
    </row>
    <row r="934" spans="1:12" x14ac:dyDescent="0.25">
      <c r="A934" s="29" t="s">
        <v>72</v>
      </c>
      <c r="B934" s="15" t="s">
        <v>1072</v>
      </c>
      <c r="C934" s="15" t="s">
        <v>10</v>
      </c>
      <c r="D934" s="16">
        <v>24029091</v>
      </c>
      <c r="E934" s="17">
        <v>45383</v>
      </c>
      <c r="F934" s="18">
        <f>MONTH(Data!$E934)</f>
        <v>4</v>
      </c>
      <c r="G934" s="16">
        <f>YEAR(Data!$E934)</f>
        <v>2024</v>
      </c>
      <c r="H934" s="15" t="s">
        <v>22</v>
      </c>
      <c r="I934" s="15" t="str">
        <f t="shared" si="14"/>
        <v>Doanh nghiệp</v>
      </c>
      <c r="J934" s="15" t="s">
        <v>1285</v>
      </c>
      <c r="K934" s="15" t="s">
        <v>1262</v>
      </c>
      <c r="L934" s="32">
        <f>Data!$D934/10^6</f>
        <v>24.029091000000001</v>
      </c>
    </row>
    <row r="935" spans="1:12" x14ac:dyDescent="0.25">
      <c r="A935" s="29" t="s">
        <v>30</v>
      </c>
      <c r="B935" s="15" t="s">
        <v>1095</v>
      </c>
      <c r="C935" s="15" t="s">
        <v>10</v>
      </c>
      <c r="D935" s="16">
        <v>143681818</v>
      </c>
      <c r="E935" s="17">
        <v>45383</v>
      </c>
      <c r="F935" s="18">
        <f>MONTH(Data!$E935)</f>
        <v>4</v>
      </c>
      <c r="G935" s="16">
        <f>YEAR(Data!$E935)</f>
        <v>2024</v>
      </c>
      <c r="H935" s="15" t="s">
        <v>32</v>
      </c>
      <c r="I935" s="15" t="str">
        <f t="shared" si="14"/>
        <v>Doanh nghiệp</v>
      </c>
      <c r="J935" s="15" t="s">
        <v>1284</v>
      </c>
      <c r="K935" s="15" t="s">
        <v>1267</v>
      </c>
      <c r="L935" s="32">
        <f>Data!$D935/10^6</f>
        <v>143.68181799999999</v>
      </c>
    </row>
    <row r="936" spans="1:12" x14ac:dyDescent="0.25">
      <c r="A936" s="29" t="s">
        <v>92</v>
      </c>
      <c r="B936" s="15" t="s">
        <v>1112</v>
      </c>
      <c r="C936" s="15" t="s">
        <v>14</v>
      </c>
      <c r="D936" s="16">
        <v>37580227</v>
      </c>
      <c r="E936" s="17">
        <v>45383</v>
      </c>
      <c r="F936" s="18">
        <f>MONTH(Data!$E936)</f>
        <v>4</v>
      </c>
      <c r="G936" s="16">
        <f>YEAR(Data!$E936)</f>
        <v>2024</v>
      </c>
      <c r="H936" s="15" t="s">
        <v>29</v>
      </c>
      <c r="I936" s="15" t="str">
        <f t="shared" si="14"/>
        <v>Doanh nghiệp</v>
      </c>
      <c r="J936" s="15" t="s">
        <v>1285</v>
      </c>
      <c r="K936" s="15" t="s">
        <v>1275</v>
      </c>
      <c r="L936" s="32">
        <f>Data!$D936/10^6</f>
        <v>37.580227000000001</v>
      </c>
    </row>
    <row r="937" spans="1:12" x14ac:dyDescent="0.25">
      <c r="A937" s="29" t="s">
        <v>8</v>
      </c>
      <c r="B937" s="15" t="s">
        <v>1025</v>
      </c>
      <c r="C937" s="15" t="s">
        <v>10</v>
      </c>
      <c r="D937" s="16">
        <v>296375909</v>
      </c>
      <c r="E937" s="17">
        <v>45383</v>
      </c>
      <c r="F937" s="18">
        <f>MONTH(Data!$E937)</f>
        <v>4</v>
      </c>
      <c r="G937" s="16">
        <f>YEAR(Data!$E937)</f>
        <v>2024</v>
      </c>
      <c r="H937" s="15" t="s">
        <v>11</v>
      </c>
      <c r="I937" s="15" t="str">
        <f t="shared" si="14"/>
        <v>Doanh nghiệp</v>
      </c>
      <c r="J937" s="15" t="s">
        <v>1284</v>
      </c>
      <c r="K937" s="15" t="s">
        <v>1262</v>
      </c>
      <c r="L937" s="32">
        <f>Data!$D937/10^6</f>
        <v>296.37590899999998</v>
      </c>
    </row>
    <row r="938" spans="1:12" x14ac:dyDescent="0.25">
      <c r="A938" s="29" t="s">
        <v>30</v>
      </c>
      <c r="B938" s="15" t="s">
        <v>1043</v>
      </c>
      <c r="C938" s="15" t="s">
        <v>10</v>
      </c>
      <c r="D938" s="16">
        <v>42401409</v>
      </c>
      <c r="E938" s="17">
        <v>45383</v>
      </c>
      <c r="F938" s="18">
        <f>MONTH(Data!$E938)</f>
        <v>4</v>
      </c>
      <c r="G938" s="16">
        <f>YEAR(Data!$E938)</f>
        <v>2024</v>
      </c>
      <c r="H938" s="15" t="s">
        <v>32</v>
      </c>
      <c r="I938" s="15" t="str">
        <f t="shared" si="14"/>
        <v>Doanh nghiệp</v>
      </c>
      <c r="J938" s="15" t="s">
        <v>1285</v>
      </c>
      <c r="K938" s="15" t="s">
        <v>1262</v>
      </c>
      <c r="L938" s="32">
        <f>Data!$D938/10^6</f>
        <v>42.401409000000001</v>
      </c>
    </row>
    <row r="939" spans="1:12" x14ac:dyDescent="0.25">
      <c r="A939" s="29" t="s">
        <v>89</v>
      </c>
      <c r="B939" s="15" t="s">
        <v>1051</v>
      </c>
      <c r="C939" s="15" t="s">
        <v>14</v>
      </c>
      <c r="D939" s="16">
        <v>1727273</v>
      </c>
      <c r="E939" s="17">
        <v>45383</v>
      </c>
      <c r="F939" s="18">
        <f>MONTH(Data!$E939)</f>
        <v>4</v>
      </c>
      <c r="G939" s="16">
        <f>YEAR(Data!$E939)</f>
        <v>2024</v>
      </c>
      <c r="H939" s="15" t="s">
        <v>11</v>
      </c>
      <c r="I939" s="15" t="str">
        <f t="shared" si="14"/>
        <v>Doanh nghiệp</v>
      </c>
      <c r="J939" s="15" t="s">
        <v>1284</v>
      </c>
      <c r="K939" s="15" t="s">
        <v>1264</v>
      </c>
      <c r="L939" s="32">
        <f>Data!$D939/10^6</f>
        <v>1.7272730000000001</v>
      </c>
    </row>
    <row r="940" spans="1:12" x14ac:dyDescent="0.25">
      <c r="A940" s="29" t="s">
        <v>89</v>
      </c>
      <c r="B940" s="15" t="s">
        <v>1052</v>
      </c>
      <c r="C940" s="15" t="s">
        <v>14</v>
      </c>
      <c r="D940" s="16">
        <v>20000000</v>
      </c>
      <c r="E940" s="17">
        <v>45383</v>
      </c>
      <c r="F940" s="18">
        <f>MONTH(Data!$E940)</f>
        <v>4</v>
      </c>
      <c r="G940" s="16">
        <f>YEAR(Data!$E940)</f>
        <v>2024</v>
      </c>
      <c r="H940" s="15" t="s">
        <v>11</v>
      </c>
      <c r="I940" s="15" t="str">
        <f t="shared" si="14"/>
        <v>Doanh nghiệp</v>
      </c>
      <c r="J940" s="15" t="s">
        <v>1285</v>
      </c>
      <c r="K940" s="15" t="s">
        <v>1264</v>
      </c>
      <c r="L940" s="32">
        <f>Data!$D940/10^6</f>
        <v>20</v>
      </c>
    </row>
    <row r="941" spans="1:12" x14ac:dyDescent="0.25">
      <c r="A941" s="29" t="s">
        <v>98</v>
      </c>
      <c r="B941" s="15" t="s">
        <v>1081</v>
      </c>
      <c r="C941" s="15" t="s">
        <v>10</v>
      </c>
      <c r="D941" s="16">
        <v>2411000000</v>
      </c>
      <c r="E941" s="17">
        <v>45383</v>
      </c>
      <c r="F941" s="18">
        <f>MONTH(Data!$E941)</f>
        <v>4</v>
      </c>
      <c r="G941" s="16">
        <f>YEAR(Data!$E941)</f>
        <v>2024</v>
      </c>
      <c r="H941" s="15" t="s">
        <v>11</v>
      </c>
      <c r="I941" s="15" t="str">
        <f t="shared" si="14"/>
        <v>Doanh nghiệp</v>
      </c>
      <c r="J941" s="15" t="s">
        <v>1284</v>
      </c>
      <c r="K941" s="15" t="s">
        <v>1267</v>
      </c>
      <c r="L941" s="32">
        <f>Data!$D941/10^6</f>
        <v>2411</v>
      </c>
    </row>
    <row r="942" spans="1:12" x14ac:dyDescent="0.25">
      <c r="A942" s="29" t="s">
        <v>52</v>
      </c>
      <c r="B942" s="15" t="s">
        <v>1097</v>
      </c>
      <c r="C942" s="15" t="s">
        <v>46</v>
      </c>
      <c r="D942" s="16">
        <v>852732840</v>
      </c>
      <c r="E942" s="17">
        <v>45383</v>
      </c>
      <c r="F942" s="18">
        <f>MONTH(Data!$E942)</f>
        <v>4</v>
      </c>
      <c r="G942" s="16">
        <f>YEAR(Data!$E942)</f>
        <v>2024</v>
      </c>
      <c r="H942" s="15" t="s">
        <v>35</v>
      </c>
      <c r="I942" s="15" t="str">
        <f t="shared" si="14"/>
        <v>Doanh nghiệp</v>
      </c>
      <c r="J942" s="15" t="s">
        <v>1285</v>
      </c>
      <c r="K942" s="15" t="s">
        <v>1265</v>
      </c>
      <c r="L942" s="32">
        <f>Data!$D942/10^6</f>
        <v>852.73284000000001</v>
      </c>
    </row>
    <row r="943" spans="1:12" x14ac:dyDescent="0.25">
      <c r="A943" s="29" t="s">
        <v>119</v>
      </c>
      <c r="B943" s="15" t="s">
        <v>1106</v>
      </c>
      <c r="C943" s="15" t="s">
        <v>46</v>
      </c>
      <c r="D943" s="16">
        <v>81702163</v>
      </c>
      <c r="E943" s="17">
        <v>45383</v>
      </c>
      <c r="F943" s="18">
        <f>MONTH(Data!$E943)</f>
        <v>4</v>
      </c>
      <c r="G943" s="16">
        <f>YEAR(Data!$E943)</f>
        <v>2024</v>
      </c>
      <c r="H943" s="15" t="s">
        <v>35</v>
      </c>
      <c r="I943" s="15" t="str">
        <f t="shared" si="14"/>
        <v>Doanh nghiệp</v>
      </c>
      <c r="J943" s="15" t="s">
        <v>1284</v>
      </c>
      <c r="K943" s="15" t="s">
        <v>1265</v>
      </c>
      <c r="L943" s="32">
        <f>Data!$D943/10^6</f>
        <v>81.702162999999999</v>
      </c>
    </row>
    <row r="944" spans="1:12" x14ac:dyDescent="0.25">
      <c r="A944" s="29" t="s">
        <v>107</v>
      </c>
      <c r="B944" s="15" t="s">
        <v>1110</v>
      </c>
      <c r="C944" s="15" t="s">
        <v>46</v>
      </c>
      <c r="D944" s="16">
        <v>10850000000</v>
      </c>
      <c r="E944" s="17">
        <v>45383</v>
      </c>
      <c r="F944" s="18">
        <f>MONTH(Data!$E944)</f>
        <v>4</v>
      </c>
      <c r="G944" s="16">
        <f>YEAR(Data!$E944)</f>
        <v>2024</v>
      </c>
      <c r="H944" s="15" t="s">
        <v>42</v>
      </c>
      <c r="I944" s="15" t="str">
        <f t="shared" si="14"/>
        <v>Doanh nghiệp</v>
      </c>
      <c r="J944" s="15" t="s">
        <v>1285</v>
      </c>
      <c r="K944" s="15" t="s">
        <v>1265</v>
      </c>
      <c r="L944" s="32">
        <f>Data!$D944/10^6</f>
        <v>10850</v>
      </c>
    </row>
    <row r="945" spans="1:12" x14ac:dyDescent="0.25">
      <c r="A945" s="29" t="s">
        <v>51</v>
      </c>
      <c r="B945" s="15" t="s">
        <v>1111</v>
      </c>
      <c r="C945" s="15" t="s">
        <v>10</v>
      </c>
      <c r="D945" s="16">
        <v>75760000</v>
      </c>
      <c r="E945" s="17">
        <v>45383</v>
      </c>
      <c r="F945" s="18">
        <f>MONTH(Data!$E945)</f>
        <v>4</v>
      </c>
      <c r="G945" s="16">
        <f>YEAR(Data!$E945)</f>
        <v>2024</v>
      </c>
      <c r="H945" s="15" t="s">
        <v>42</v>
      </c>
      <c r="I945" s="15" t="str">
        <f t="shared" si="14"/>
        <v>Doanh nghiệp</v>
      </c>
      <c r="J945" s="15" t="s">
        <v>1284</v>
      </c>
      <c r="K945" s="15" t="s">
        <v>1262</v>
      </c>
      <c r="L945" s="32">
        <f>Data!$D945/10^6</f>
        <v>75.760000000000005</v>
      </c>
    </row>
    <row r="946" spans="1:12" x14ac:dyDescent="0.25">
      <c r="A946" s="29" t="s">
        <v>78</v>
      </c>
      <c r="B946" s="15" t="s">
        <v>1121</v>
      </c>
      <c r="C946" s="15" t="s">
        <v>10</v>
      </c>
      <c r="D946" s="16">
        <v>25450000</v>
      </c>
      <c r="E946" s="17">
        <v>45383</v>
      </c>
      <c r="F946" s="18">
        <f>MONTH(Data!$E946)</f>
        <v>4</v>
      </c>
      <c r="G946" s="16">
        <f>YEAR(Data!$E946)</f>
        <v>2024</v>
      </c>
      <c r="H946" s="15" t="s">
        <v>15</v>
      </c>
      <c r="I946" s="15" t="str">
        <f t="shared" si="14"/>
        <v>Doanh nghiệp</v>
      </c>
      <c r="J946" s="15" t="s">
        <v>1285</v>
      </c>
      <c r="K946" s="15" t="s">
        <v>1263</v>
      </c>
      <c r="L946" s="32">
        <f>Data!$D946/10^6</f>
        <v>25.45</v>
      </c>
    </row>
    <row r="947" spans="1:12" x14ac:dyDescent="0.25">
      <c r="A947" s="29" t="s">
        <v>78</v>
      </c>
      <c r="B947" s="15" t="s">
        <v>1122</v>
      </c>
      <c r="C947" s="15" t="s">
        <v>14</v>
      </c>
      <c r="D947" s="16">
        <v>21300000</v>
      </c>
      <c r="E947" s="17">
        <v>45383</v>
      </c>
      <c r="F947" s="18">
        <f>MONTH(Data!$E947)</f>
        <v>4</v>
      </c>
      <c r="G947" s="16">
        <f>YEAR(Data!$E947)</f>
        <v>2024</v>
      </c>
      <c r="H947" s="15" t="s">
        <v>15</v>
      </c>
      <c r="I947" s="15" t="str">
        <f t="shared" si="14"/>
        <v>Doanh nghiệp</v>
      </c>
      <c r="J947" s="15" t="s">
        <v>1284</v>
      </c>
      <c r="K947" s="15" t="s">
        <v>1275</v>
      </c>
      <c r="L947" s="32">
        <f>Data!$D947/10^6</f>
        <v>21.3</v>
      </c>
    </row>
    <row r="948" spans="1:12" x14ac:dyDescent="0.25">
      <c r="A948" s="29" t="s">
        <v>78</v>
      </c>
      <c r="B948" s="15" t="s">
        <v>1123</v>
      </c>
      <c r="C948" s="15" t="s">
        <v>10</v>
      </c>
      <c r="D948" s="16">
        <v>38181818</v>
      </c>
      <c r="E948" s="17">
        <v>45383</v>
      </c>
      <c r="F948" s="18">
        <f>MONTH(Data!$E948)</f>
        <v>4</v>
      </c>
      <c r="G948" s="16">
        <f>YEAR(Data!$E948)</f>
        <v>2024</v>
      </c>
      <c r="H948" s="15" t="s">
        <v>15</v>
      </c>
      <c r="I948" s="15" t="str">
        <f t="shared" si="14"/>
        <v>Doanh nghiệp</v>
      </c>
      <c r="J948" s="15" t="s">
        <v>1285</v>
      </c>
      <c r="K948" s="15" t="s">
        <v>1263</v>
      </c>
      <c r="L948" s="32">
        <f>Data!$D948/10^6</f>
        <v>38.181818</v>
      </c>
    </row>
    <row r="949" spans="1:12" x14ac:dyDescent="0.25">
      <c r="A949" s="29" t="s">
        <v>30</v>
      </c>
      <c r="B949" s="15" t="s">
        <v>1036</v>
      </c>
      <c r="C949" s="15" t="s">
        <v>10</v>
      </c>
      <c r="D949" s="16">
        <v>76566364</v>
      </c>
      <c r="E949" s="17">
        <v>45383</v>
      </c>
      <c r="F949" s="18">
        <f>MONTH(Data!$E949)</f>
        <v>4</v>
      </c>
      <c r="G949" s="16">
        <f>YEAR(Data!$E949)</f>
        <v>2024</v>
      </c>
      <c r="H949" s="15" t="s">
        <v>32</v>
      </c>
      <c r="I949" s="15" t="str">
        <f t="shared" si="14"/>
        <v>Doanh nghiệp</v>
      </c>
      <c r="J949" s="15" t="s">
        <v>1284</v>
      </c>
      <c r="K949" s="15" t="s">
        <v>1263</v>
      </c>
      <c r="L949" s="32">
        <f>Data!$D949/10^6</f>
        <v>76.566363999999993</v>
      </c>
    </row>
    <row r="950" spans="1:12" x14ac:dyDescent="0.25">
      <c r="A950" s="29" t="s">
        <v>191</v>
      </c>
      <c r="B950" s="15" t="s">
        <v>1045</v>
      </c>
      <c r="C950" s="15" t="s">
        <v>46</v>
      </c>
      <c r="D950" s="16">
        <v>542160000</v>
      </c>
      <c r="E950" s="17">
        <v>45383</v>
      </c>
      <c r="F950" s="18">
        <f>MONTH(Data!$E950)</f>
        <v>4</v>
      </c>
      <c r="G950" s="16">
        <f>YEAR(Data!$E950)</f>
        <v>2024</v>
      </c>
      <c r="H950" s="15" t="s">
        <v>35</v>
      </c>
      <c r="I950" s="15" t="str">
        <f t="shared" si="14"/>
        <v>Doanh nghiệp</v>
      </c>
      <c r="J950" s="15" t="s">
        <v>1285</v>
      </c>
      <c r="K950" s="15" t="s">
        <v>1265</v>
      </c>
      <c r="L950" s="32">
        <f>Data!$D950/10^6</f>
        <v>542.16</v>
      </c>
    </row>
    <row r="951" spans="1:12" x14ac:dyDescent="0.25">
      <c r="A951" s="29" t="s">
        <v>36</v>
      </c>
      <c r="B951" s="15" t="s">
        <v>1031</v>
      </c>
      <c r="C951" s="15" t="s">
        <v>14</v>
      </c>
      <c r="D951" s="16">
        <v>19036364</v>
      </c>
      <c r="E951" s="17">
        <v>45383</v>
      </c>
      <c r="F951" s="18">
        <f>MONTH(Data!$E951)</f>
        <v>4</v>
      </c>
      <c r="G951" s="16">
        <f>YEAR(Data!$E951)</f>
        <v>2024</v>
      </c>
      <c r="H951" s="15" t="s">
        <v>15</v>
      </c>
      <c r="I951" s="15" t="str">
        <f t="shared" si="14"/>
        <v>Doanh nghiệp</v>
      </c>
      <c r="J951" s="15" t="s">
        <v>1284</v>
      </c>
      <c r="K951" s="15" t="s">
        <v>1277</v>
      </c>
      <c r="L951" s="32">
        <f>Data!$D951/10^6</f>
        <v>19.036363999999999</v>
      </c>
    </row>
    <row r="952" spans="1:12" x14ac:dyDescent="0.25">
      <c r="A952" s="29" t="s">
        <v>73</v>
      </c>
      <c r="B952" s="15" t="s">
        <v>1077</v>
      </c>
      <c r="C952" s="15" t="s">
        <v>10</v>
      </c>
      <c r="D952" s="16">
        <v>24754545</v>
      </c>
      <c r="E952" s="17">
        <v>45383</v>
      </c>
      <c r="F952" s="18">
        <f>MONTH(Data!$E952)</f>
        <v>4</v>
      </c>
      <c r="G952" s="16">
        <f>YEAR(Data!$E952)</f>
        <v>2024</v>
      </c>
      <c r="H952" s="15" t="s">
        <v>32</v>
      </c>
      <c r="I952" s="15" t="str">
        <f t="shared" si="14"/>
        <v>Doanh nghiệp</v>
      </c>
      <c r="J952" s="15" t="s">
        <v>1285</v>
      </c>
      <c r="K952" s="15" t="s">
        <v>1263</v>
      </c>
      <c r="L952" s="32">
        <f>Data!$D952/10^6</f>
        <v>24.754545</v>
      </c>
    </row>
    <row r="953" spans="1:12" x14ac:dyDescent="0.25">
      <c r="A953" s="29" t="s">
        <v>100</v>
      </c>
      <c r="B953" s="15" t="s">
        <v>1078</v>
      </c>
      <c r="C953" s="15" t="s">
        <v>10</v>
      </c>
      <c r="D953" s="16">
        <v>729672145</v>
      </c>
      <c r="E953" s="17">
        <v>45383</v>
      </c>
      <c r="F953" s="18">
        <f>MONTH(Data!$E953)</f>
        <v>4</v>
      </c>
      <c r="G953" s="16">
        <f>YEAR(Data!$E953)</f>
        <v>2024</v>
      </c>
      <c r="H953" s="15" t="s">
        <v>42</v>
      </c>
      <c r="I953" s="15" t="str">
        <f t="shared" si="14"/>
        <v>Doanh nghiệp</v>
      </c>
      <c r="J953" s="15" t="s">
        <v>1284</v>
      </c>
      <c r="K953" s="15" t="s">
        <v>1263</v>
      </c>
      <c r="L953" s="32">
        <f>Data!$D953/10^6</f>
        <v>729.672145</v>
      </c>
    </row>
    <row r="954" spans="1:12" x14ac:dyDescent="0.25">
      <c r="A954" s="29" t="s">
        <v>23</v>
      </c>
      <c r="B954" s="15" t="s">
        <v>1066</v>
      </c>
      <c r="C954" s="15" t="s">
        <v>10</v>
      </c>
      <c r="D954" s="16">
        <v>27440000</v>
      </c>
      <c r="E954" s="17">
        <v>45383</v>
      </c>
      <c r="F954" s="18">
        <f>MONTH(Data!$E954)</f>
        <v>4</v>
      </c>
      <c r="G954" s="16">
        <f>YEAR(Data!$E954)</f>
        <v>2024</v>
      </c>
      <c r="H954" s="15" t="s">
        <v>25</v>
      </c>
      <c r="I954" s="15" t="str">
        <f t="shared" si="14"/>
        <v>Doanh nghiệp</v>
      </c>
      <c r="J954" s="15" t="s">
        <v>1285</v>
      </c>
      <c r="K954" s="15" t="s">
        <v>1262</v>
      </c>
      <c r="L954" s="32">
        <f>Data!$D954/10^6</f>
        <v>27.44</v>
      </c>
    </row>
    <row r="955" spans="1:12" x14ac:dyDescent="0.25">
      <c r="A955" s="29" t="s">
        <v>85</v>
      </c>
      <c r="B955" s="15" t="s">
        <v>1072</v>
      </c>
      <c r="C955" s="15" t="s">
        <v>10</v>
      </c>
      <c r="D955" s="16">
        <v>55183727</v>
      </c>
      <c r="E955" s="17">
        <v>45383</v>
      </c>
      <c r="F955" s="18">
        <f>MONTH(Data!$E955)</f>
        <v>4</v>
      </c>
      <c r="G955" s="16">
        <f>YEAR(Data!$E955)</f>
        <v>2024</v>
      </c>
      <c r="H955" s="15" t="s">
        <v>15</v>
      </c>
      <c r="I955" s="15" t="str">
        <f t="shared" si="14"/>
        <v>Doanh nghiệp</v>
      </c>
      <c r="J955" s="15" t="s">
        <v>1284</v>
      </c>
      <c r="K955" s="15" t="s">
        <v>1263</v>
      </c>
      <c r="L955" s="32">
        <f>Data!$D955/10^6</f>
        <v>55.183726999999998</v>
      </c>
    </row>
    <row r="956" spans="1:12" x14ac:dyDescent="0.25">
      <c r="A956" s="29" t="s">
        <v>255</v>
      </c>
      <c r="B956" s="15" t="s">
        <v>1083</v>
      </c>
      <c r="C956" s="15" t="s">
        <v>14</v>
      </c>
      <c r="D956" s="16">
        <v>500863151</v>
      </c>
      <c r="E956" s="17">
        <v>45383</v>
      </c>
      <c r="F956" s="18">
        <f>MONTH(Data!$E956)</f>
        <v>4</v>
      </c>
      <c r="G956" s="16">
        <f>YEAR(Data!$E956)</f>
        <v>2024</v>
      </c>
      <c r="H956" s="15" t="s">
        <v>11</v>
      </c>
      <c r="I956" s="15" t="str">
        <f t="shared" si="14"/>
        <v>Doanh nghiệp</v>
      </c>
      <c r="J956" s="15" t="s">
        <v>1285</v>
      </c>
      <c r="K956" s="15" t="s">
        <v>1273</v>
      </c>
      <c r="L956" s="32">
        <f>Data!$D956/10^6</f>
        <v>500.86315100000002</v>
      </c>
    </row>
    <row r="957" spans="1:12" x14ac:dyDescent="0.25">
      <c r="A957" s="29" t="s">
        <v>65</v>
      </c>
      <c r="B957" s="15" t="s">
        <v>1085</v>
      </c>
      <c r="C957" s="15" t="s">
        <v>14</v>
      </c>
      <c r="D957" s="16">
        <v>91964545</v>
      </c>
      <c r="E957" s="17">
        <v>45383</v>
      </c>
      <c r="F957" s="18">
        <f>MONTH(Data!$E957)</f>
        <v>4</v>
      </c>
      <c r="G957" s="16">
        <f>YEAR(Data!$E957)</f>
        <v>2024</v>
      </c>
      <c r="H957" s="15" t="s">
        <v>25</v>
      </c>
      <c r="I957" s="15" t="str">
        <f t="shared" si="14"/>
        <v>Doanh nghiệp</v>
      </c>
      <c r="J957" s="15" t="s">
        <v>1284</v>
      </c>
      <c r="K957" s="15" t="s">
        <v>1275</v>
      </c>
      <c r="L957" s="32">
        <f>Data!$D957/10^6</f>
        <v>91.964545000000001</v>
      </c>
    </row>
    <row r="958" spans="1:12" x14ac:dyDescent="0.25">
      <c r="A958" s="29" t="s">
        <v>33</v>
      </c>
      <c r="B958" s="15" t="s">
        <v>1110</v>
      </c>
      <c r="C958" s="15" t="s">
        <v>14</v>
      </c>
      <c r="D958" s="16">
        <v>272800000</v>
      </c>
      <c r="E958" s="17">
        <v>45383</v>
      </c>
      <c r="F958" s="18">
        <f>MONTH(Data!$E958)</f>
        <v>4</v>
      </c>
      <c r="G958" s="16">
        <f>YEAR(Data!$E958)</f>
        <v>2024</v>
      </c>
      <c r="H958" s="15" t="s">
        <v>35</v>
      </c>
      <c r="I958" s="15" t="str">
        <f t="shared" si="14"/>
        <v>Doanh nghiệp</v>
      </c>
      <c r="J958" s="15" t="s">
        <v>1285</v>
      </c>
      <c r="K958" s="15" t="s">
        <v>1264</v>
      </c>
      <c r="L958" s="32">
        <f>Data!$D958/10^6</f>
        <v>272.8</v>
      </c>
    </row>
    <row r="959" spans="1:12" x14ac:dyDescent="0.25">
      <c r="A959" s="29" t="s">
        <v>74</v>
      </c>
      <c r="B959" s="15" t="s">
        <v>1043</v>
      </c>
      <c r="C959" s="15" t="s">
        <v>149</v>
      </c>
      <c r="D959" s="16">
        <v>693370836</v>
      </c>
      <c r="E959" s="17">
        <v>45383</v>
      </c>
      <c r="F959" s="18">
        <f>MONTH(Data!$E959)</f>
        <v>4</v>
      </c>
      <c r="G959" s="16">
        <f>YEAR(Data!$E959)</f>
        <v>2024</v>
      </c>
      <c r="H959" s="15" t="s">
        <v>11</v>
      </c>
      <c r="I959" s="15" t="str">
        <f t="shared" si="14"/>
        <v>Doanh nghiệp</v>
      </c>
      <c r="J959" s="15" t="s">
        <v>1284</v>
      </c>
      <c r="K959" s="15" t="s">
        <v>1262</v>
      </c>
      <c r="L959" s="32">
        <f>Data!$D959/10^6</f>
        <v>693.37083600000005</v>
      </c>
    </row>
    <row r="960" spans="1:12" x14ac:dyDescent="0.25">
      <c r="A960" s="29" t="s">
        <v>74</v>
      </c>
      <c r="B960" s="15" t="s">
        <v>1044</v>
      </c>
      <c r="C960" s="15" t="s">
        <v>149</v>
      </c>
      <c r="D960" s="16">
        <v>796246684</v>
      </c>
      <c r="E960" s="17">
        <v>45383</v>
      </c>
      <c r="F960" s="18">
        <f>MONTH(Data!$E960)</f>
        <v>4</v>
      </c>
      <c r="G960" s="16">
        <f>YEAR(Data!$E960)</f>
        <v>2024</v>
      </c>
      <c r="H960" s="15" t="s">
        <v>11</v>
      </c>
      <c r="I960" s="15" t="str">
        <f t="shared" si="14"/>
        <v>Doanh nghiệp</v>
      </c>
      <c r="J960" s="15" t="s">
        <v>1285</v>
      </c>
      <c r="K960" s="15" t="s">
        <v>1273</v>
      </c>
      <c r="L960" s="32">
        <f>Data!$D960/10^6</f>
        <v>796.24668399999996</v>
      </c>
    </row>
    <row r="961" spans="1:12" x14ac:dyDescent="0.25">
      <c r="A961" s="29" t="s">
        <v>74</v>
      </c>
      <c r="B961" s="15" t="s">
        <v>1045</v>
      </c>
      <c r="C961" s="15" t="s">
        <v>14</v>
      </c>
      <c r="D961" s="16">
        <v>1785710388</v>
      </c>
      <c r="E961" s="17">
        <v>45383</v>
      </c>
      <c r="F961" s="18">
        <f>MONTH(Data!$E961)</f>
        <v>4</v>
      </c>
      <c r="G961" s="16">
        <f>YEAR(Data!$E961)</f>
        <v>2024</v>
      </c>
      <c r="H961" s="15" t="s">
        <v>11</v>
      </c>
      <c r="I961" s="15" t="str">
        <f t="shared" si="14"/>
        <v>Doanh nghiệp</v>
      </c>
      <c r="J961" s="15" t="s">
        <v>1284</v>
      </c>
      <c r="K961" s="15" t="s">
        <v>1273</v>
      </c>
      <c r="L961" s="32">
        <f>Data!$D961/10^6</f>
        <v>1785.710388</v>
      </c>
    </row>
    <row r="962" spans="1:12" x14ac:dyDescent="0.25">
      <c r="A962" s="29" t="s">
        <v>72</v>
      </c>
      <c r="B962" s="15" t="s">
        <v>1067</v>
      </c>
      <c r="C962" s="15" t="s">
        <v>46</v>
      </c>
      <c r="D962" s="16">
        <v>117500000</v>
      </c>
      <c r="E962" s="17">
        <v>45383</v>
      </c>
      <c r="F962" s="18">
        <f>MONTH(Data!$E962)</f>
        <v>4</v>
      </c>
      <c r="G962" s="16">
        <f>YEAR(Data!$E962)</f>
        <v>2024</v>
      </c>
      <c r="H962" s="15" t="s">
        <v>22</v>
      </c>
      <c r="I962" s="15" t="str">
        <f t="shared" si="14"/>
        <v>Doanh nghiệp</v>
      </c>
      <c r="J962" s="15" t="s">
        <v>1285</v>
      </c>
      <c r="K962" s="15" t="s">
        <v>1265</v>
      </c>
      <c r="L962" s="32">
        <f>Data!$D962/10^6</f>
        <v>117.5</v>
      </c>
    </row>
    <row r="963" spans="1:12" x14ac:dyDescent="0.25">
      <c r="A963" s="29" t="s">
        <v>33</v>
      </c>
      <c r="B963" s="15" t="s">
        <v>1068</v>
      </c>
      <c r="C963" s="15" t="s">
        <v>10</v>
      </c>
      <c r="D963" s="16">
        <v>120926600</v>
      </c>
      <c r="E963" s="17">
        <v>45383</v>
      </c>
      <c r="F963" s="18">
        <f>MONTH(Data!$E963)</f>
        <v>4</v>
      </c>
      <c r="G963" s="16">
        <f>YEAR(Data!$E963)</f>
        <v>2024</v>
      </c>
      <c r="H963" s="15" t="s">
        <v>35</v>
      </c>
      <c r="I963" s="15" t="str">
        <f t="shared" ref="I963:I1026" si="15">IF(ISNUMBER(SEARCH("Công ty",$B963)),"Doanh nghiệp",IF(ISNUMBER(SEARCH("Doanh nghiệp",$B963)),"Doanh nghiệp",IF(ISNUMBER(SEARCH("Tập đoàn",$B963)),"Doanh nghiệp",
IF(ISNUMBER(SEARCH("Bệnh viện",$B963)),"Bệnh viện",
IF(ISNUMBER(SEARCH("Ngân hàng",$B963)),"Ngân hàng",IF(ISNUMBER(SEARCH("trường",$B963)),"Trường học",IF(ISNUMBER(SEARCH("học viện",$B963)),"Trường học",
IF(ISNUMBER(SEARCH("Bộ",$B963)),"Sở ban ngành",IF(ISNUMBER(SEARCH("Đoàn",$B963)),"Sở ban ngành",IF(ISNUMBER(SEARCH("Phòng",$B963)),"Sở ban ngành",IF(ISNUMBER(SEARCH("UBND",$B963)),"Sở ban ngành",IF(ISNUMBER(SEARCH("ủy ban",$B963)),"Sở ban ngành",IF(ISNUMBER(SEARCH("công an",$B963)),"Sở ban ngành",IF(ISNUMBER(SEARCH("sở",$B963)),"Sở ban ngành",IF(ISNUMBER(SEARCH("thôn",$B963)),"Sở ban ngành",IF(ISNUMBER(SEARCH("xã",$B963)),"Sở ban ngành",IF(ISNUMBER(SEARCH("quân khu",$B963)),"Sở ban ngành",IF(ISNUMBER(SEARCH("cục",$B963)),"Sở ban ngành",IF(ISNUMBER(SEARCH("viện",$B963)),"Sở ban ngành",IF(ISNUMBER(SEARCH("quỹ",$B963)),"Sở ban ngành",IF(ISNUMBER(SEARCH("trung tâm",$B963)),"Sở ban ngành",IF(ISNUMBER(SEARCH("quân chủng",$B963)),"Sở ban ngành",IF(ISNUMBER(SEARCH("hội",$B963)),"Sở ban ngành",
"Khác")))))))))))))))))))))))</f>
        <v>Doanh nghiệp</v>
      </c>
      <c r="J963" s="15" t="s">
        <v>1284</v>
      </c>
      <c r="K963" s="15" t="s">
        <v>1262</v>
      </c>
      <c r="L963" s="32">
        <f>Data!$D963/10^6</f>
        <v>120.92659999999999</v>
      </c>
    </row>
    <row r="964" spans="1:12" x14ac:dyDescent="0.25">
      <c r="A964" s="29" t="s">
        <v>51</v>
      </c>
      <c r="B964" s="15" t="s">
        <v>1070</v>
      </c>
      <c r="C964" s="15" t="s">
        <v>149</v>
      </c>
      <c r="D964" s="16">
        <v>14874545</v>
      </c>
      <c r="E964" s="17">
        <v>45383</v>
      </c>
      <c r="F964" s="18">
        <f>MONTH(Data!$E964)</f>
        <v>4</v>
      </c>
      <c r="G964" s="16">
        <f>YEAR(Data!$E964)</f>
        <v>2024</v>
      </c>
      <c r="H964" s="15" t="s">
        <v>42</v>
      </c>
      <c r="I964" s="15" t="str">
        <f t="shared" si="15"/>
        <v>Doanh nghiệp</v>
      </c>
      <c r="J964" s="15" t="s">
        <v>1285</v>
      </c>
      <c r="K964" s="15" t="s">
        <v>1262</v>
      </c>
      <c r="L964" s="32">
        <f>Data!$D964/10^6</f>
        <v>14.874544999999999</v>
      </c>
    </row>
    <row r="965" spans="1:12" x14ac:dyDescent="0.25">
      <c r="A965" s="29" t="s">
        <v>51</v>
      </c>
      <c r="B965" s="15" t="s">
        <v>1071</v>
      </c>
      <c r="C965" s="15" t="s">
        <v>149</v>
      </c>
      <c r="D965" s="16">
        <v>41864727</v>
      </c>
      <c r="E965" s="17">
        <v>45383</v>
      </c>
      <c r="F965" s="18">
        <f>MONTH(Data!$E965)</f>
        <v>4</v>
      </c>
      <c r="G965" s="16">
        <f>YEAR(Data!$E965)</f>
        <v>2024</v>
      </c>
      <c r="H965" s="15" t="s">
        <v>42</v>
      </c>
      <c r="I965" s="15" t="str">
        <f t="shared" si="15"/>
        <v>Doanh nghiệp</v>
      </c>
      <c r="J965" s="15" t="s">
        <v>1284</v>
      </c>
      <c r="K965" s="15" t="s">
        <v>1262</v>
      </c>
      <c r="L965" s="32">
        <f>Data!$D965/10^6</f>
        <v>41.864727000000002</v>
      </c>
    </row>
    <row r="966" spans="1:12" x14ac:dyDescent="0.25">
      <c r="A966" s="29" t="s">
        <v>160</v>
      </c>
      <c r="B966" s="15" t="s">
        <v>1085</v>
      </c>
      <c r="C966" s="15" t="s">
        <v>14</v>
      </c>
      <c r="D966" s="16">
        <v>143446244</v>
      </c>
      <c r="E966" s="17">
        <v>45383</v>
      </c>
      <c r="F966" s="18">
        <f>MONTH(Data!$E966)</f>
        <v>4</v>
      </c>
      <c r="G966" s="16">
        <f>YEAR(Data!$E966)</f>
        <v>2024</v>
      </c>
      <c r="H966" s="15" t="s">
        <v>35</v>
      </c>
      <c r="I966" s="15" t="str">
        <f t="shared" si="15"/>
        <v>Doanh nghiệp</v>
      </c>
      <c r="J966" s="15" t="s">
        <v>1285</v>
      </c>
      <c r="K966" s="15" t="s">
        <v>1264</v>
      </c>
      <c r="L966" s="32">
        <f>Data!$D966/10^6</f>
        <v>143.44624400000001</v>
      </c>
    </row>
    <row r="967" spans="1:12" x14ac:dyDescent="0.25">
      <c r="A967" s="29" t="s">
        <v>62</v>
      </c>
      <c r="B967" s="15" t="s">
        <v>1090</v>
      </c>
      <c r="C967" s="15" t="s">
        <v>149</v>
      </c>
      <c r="D967" s="16">
        <v>430586330</v>
      </c>
      <c r="E967" s="17">
        <v>45383</v>
      </c>
      <c r="F967" s="18">
        <f>MONTH(Data!$E967)</f>
        <v>4</v>
      </c>
      <c r="G967" s="16">
        <f>YEAR(Data!$E967)</f>
        <v>2024</v>
      </c>
      <c r="H967" s="15" t="s">
        <v>15</v>
      </c>
      <c r="I967" s="15" t="str">
        <f t="shared" si="15"/>
        <v>Doanh nghiệp</v>
      </c>
      <c r="J967" s="15" t="s">
        <v>1284</v>
      </c>
      <c r="K967" s="15" t="s">
        <v>1265</v>
      </c>
      <c r="L967" s="32">
        <f>Data!$D967/10^6</f>
        <v>430.58632999999998</v>
      </c>
    </row>
    <row r="968" spans="1:12" x14ac:dyDescent="0.25">
      <c r="A968" s="29" t="s">
        <v>116</v>
      </c>
      <c r="B968" s="15" t="s">
        <v>1026</v>
      </c>
      <c r="C968" s="15" t="s">
        <v>10</v>
      </c>
      <c r="D968" s="16">
        <v>18335000</v>
      </c>
      <c r="E968" s="17">
        <v>45383</v>
      </c>
      <c r="F968" s="18">
        <f>MONTH(Data!$E968)</f>
        <v>4</v>
      </c>
      <c r="G968" s="16">
        <f>YEAR(Data!$E968)</f>
        <v>2024</v>
      </c>
      <c r="H968" s="15" t="s">
        <v>15</v>
      </c>
      <c r="I968" s="15" t="str">
        <f t="shared" si="15"/>
        <v>Doanh nghiệp</v>
      </c>
      <c r="J968" s="15" t="s">
        <v>1285</v>
      </c>
      <c r="K968" s="15" t="s">
        <v>1263</v>
      </c>
      <c r="L968" s="32">
        <f>Data!$D968/10^6</f>
        <v>18.335000000000001</v>
      </c>
    </row>
    <row r="969" spans="1:12" x14ac:dyDescent="0.25">
      <c r="A969" s="29" t="s">
        <v>54</v>
      </c>
      <c r="B969" s="15" t="s">
        <v>1030</v>
      </c>
      <c r="C969" s="15" t="s">
        <v>10</v>
      </c>
      <c r="D969" s="16">
        <v>36981818</v>
      </c>
      <c r="E969" s="17">
        <v>45383</v>
      </c>
      <c r="F969" s="18">
        <f>MONTH(Data!$E969)</f>
        <v>4</v>
      </c>
      <c r="G969" s="16">
        <f>YEAR(Data!$E969)</f>
        <v>2024</v>
      </c>
      <c r="H969" s="15" t="s">
        <v>15</v>
      </c>
      <c r="I969" s="15" t="str">
        <f t="shared" si="15"/>
        <v>Doanh nghiệp</v>
      </c>
      <c r="J969" s="15" t="s">
        <v>1284</v>
      </c>
      <c r="K969" s="15" t="s">
        <v>1263</v>
      </c>
      <c r="L969" s="32">
        <f>Data!$D969/10^6</f>
        <v>36.981817999999997</v>
      </c>
    </row>
    <row r="970" spans="1:12" x14ac:dyDescent="0.25">
      <c r="A970" s="29" t="s">
        <v>68</v>
      </c>
      <c r="B970" s="15" t="s">
        <v>1039</v>
      </c>
      <c r="C970" s="15" t="s">
        <v>10</v>
      </c>
      <c r="D970" s="16">
        <v>828660918</v>
      </c>
      <c r="E970" s="17">
        <v>45383</v>
      </c>
      <c r="F970" s="18">
        <f>MONTH(Data!$E970)</f>
        <v>4</v>
      </c>
      <c r="G970" s="16">
        <f>YEAR(Data!$E970)</f>
        <v>2024</v>
      </c>
      <c r="H970" s="15" t="s">
        <v>22</v>
      </c>
      <c r="I970" s="15" t="str">
        <f t="shared" si="15"/>
        <v>Doanh nghiệp</v>
      </c>
      <c r="J970" s="15" t="s">
        <v>1285</v>
      </c>
      <c r="K970" s="15" t="s">
        <v>1263</v>
      </c>
      <c r="L970" s="32">
        <f>Data!$D970/10^6</f>
        <v>828.66091800000004</v>
      </c>
    </row>
    <row r="971" spans="1:12" x14ac:dyDescent="0.25">
      <c r="A971" s="29" t="s">
        <v>92</v>
      </c>
      <c r="B971" s="15" t="s">
        <v>1047</v>
      </c>
      <c r="C971" s="15" t="s">
        <v>14</v>
      </c>
      <c r="D971" s="16">
        <v>128005636</v>
      </c>
      <c r="E971" s="17">
        <v>45383</v>
      </c>
      <c r="F971" s="18">
        <f>MONTH(Data!$E971)</f>
        <v>4</v>
      </c>
      <c r="G971" s="16">
        <f>YEAR(Data!$E971)</f>
        <v>2024</v>
      </c>
      <c r="H971" s="15" t="s">
        <v>29</v>
      </c>
      <c r="I971" s="15" t="str">
        <f t="shared" si="15"/>
        <v>Doanh nghiệp</v>
      </c>
      <c r="J971" s="15" t="s">
        <v>1284</v>
      </c>
      <c r="K971" s="15" t="s">
        <v>1275</v>
      </c>
      <c r="L971" s="32">
        <f>Data!$D971/10^6</f>
        <v>128.00563600000001</v>
      </c>
    </row>
    <row r="972" spans="1:12" x14ac:dyDescent="0.25">
      <c r="A972" s="29" t="s">
        <v>37</v>
      </c>
      <c r="B972" s="15" t="s">
        <v>1064</v>
      </c>
      <c r="C972" s="15" t="s">
        <v>14</v>
      </c>
      <c r="D972" s="16">
        <v>53707273</v>
      </c>
      <c r="E972" s="17">
        <v>45383</v>
      </c>
      <c r="F972" s="18">
        <f>MONTH(Data!$E972)</f>
        <v>4</v>
      </c>
      <c r="G972" s="16">
        <f>YEAR(Data!$E972)</f>
        <v>2024</v>
      </c>
      <c r="H972" s="15" t="s">
        <v>11</v>
      </c>
      <c r="I972" s="15" t="str">
        <f t="shared" si="15"/>
        <v>Doanh nghiệp</v>
      </c>
      <c r="J972" s="15" t="s">
        <v>1285</v>
      </c>
      <c r="K972" s="15" t="s">
        <v>1264</v>
      </c>
      <c r="L972" s="32">
        <f>Data!$D972/10^6</f>
        <v>53.707273000000001</v>
      </c>
    </row>
    <row r="973" spans="1:12" x14ac:dyDescent="0.25">
      <c r="A973" s="29" t="s">
        <v>30</v>
      </c>
      <c r="B973" s="15" t="s">
        <v>1072</v>
      </c>
      <c r="C973" s="15" t="s">
        <v>10</v>
      </c>
      <c r="D973" s="16">
        <v>16575455</v>
      </c>
      <c r="E973" s="17">
        <v>45383</v>
      </c>
      <c r="F973" s="18">
        <f>MONTH(Data!$E973)</f>
        <v>4</v>
      </c>
      <c r="G973" s="16">
        <f>YEAR(Data!$E973)</f>
        <v>2024</v>
      </c>
      <c r="H973" s="15" t="s">
        <v>32</v>
      </c>
      <c r="I973" s="15" t="str">
        <f t="shared" si="15"/>
        <v>Doanh nghiệp</v>
      </c>
      <c r="J973" s="15" t="s">
        <v>1284</v>
      </c>
      <c r="K973" s="15" t="s">
        <v>1263</v>
      </c>
      <c r="L973" s="32">
        <f>Data!$D973/10^6</f>
        <v>16.575455000000002</v>
      </c>
    </row>
    <row r="974" spans="1:12" x14ac:dyDescent="0.25">
      <c r="A974" s="29" t="s">
        <v>102</v>
      </c>
      <c r="B974" s="15" t="s">
        <v>1095</v>
      </c>
      <c r="C974" s="15" t="s">
        <v>10</v>
      </c>
      <c r="D974" s="16">
        <v>15638000</v>
      </c>
      <c r="E974" s="17">
        <v>45383</v>
      </c>
      <c r="F974" s="18">
        <f>MONTH(Data!$E974)</f>
        <v>4</v>
      </c>
      <c r="G974" s="16">
        <f>YEAR(Data!$E974)</f>
        <v>2024</v>
      </c>
      <c r="H974" s="15" t="s">
        <v>22</v>
      </c>
      <c r="I974" s="15" t="str">
        <f t="shared" si="15"/>
        <v>Doanh nghiệp</v>
      </c>
      <c r="J974" s="15" t="s">
        <v>1285</v>
      </c>
      <c r="K974" s="15" t="s">
        <v>1263</v>
      </c>
      <c r="L974" s="32">
        <f>Data!$D974/10^6</f>
        <v>15.638</v>
      </c>
    </row>
    <row r="975" spans="1:12" x14ac:dyDescent="0.25">
      <c r="A975" s="29" t="s">
        <v>52</v>
      </c>
      <c r="B975" s="15" t="s">
        <v>1026</v>
      </c>
      <c r="C975" s="15" t="s">
        <v>10</v>
      </c>
      <c r="D975" s="16">
        <v>31968000</v>
      </c>
      <c r="E975" s="17">
        <v>45383</v>
      </c>
      <c r="F975" s="18">
        <f>MONTH(Data!$E975)</f>
        <v>4</v>
      </c>
      <c r="G975" s="16">
        <f>YEAR(Data!$E975)</f>
        <v>2024</v>
      </c>
      <c r="H975" s="15" t="s">
        <v>35</v>
      </c>
      <c r="I975" s="15" t="str">
        <f t="shared" si="15"/>
        <v>Doanh nghiệp</v>
      </c>
      <c r="J975" s="15" t="s">
        <v>1284</v>
      </c>
      <c r="K975" s="15" t="s">
        <v>1263</v>
      </c>
      <c r="L975" s="32">
        <f>Data!$D975/10^6</f>
        <v>31.968</v>
      </c>
    </row>
    <row r="976" spans="1:12" x14ac:dyDescent="0.25">
      <c r="A976" s="29" t="s">
        <v>102</v>
      </c>
      <c r="B976" s="15" t="s">
        <v>1067</v>
      </c>
      <c r="C976" s="15" t="s">
        <v>10</v>
      </c>
      <c r="D976" s="16">
        <v>9942727</v>
      </c>
      <c r="E976" s="17">
        <v>45383</v>
      </c>
      <c r="F976" s="18">
        <f>MONTH(Data!$E976)</f>
        <v>4</v>
      </c>
      <c r="G976" s="16">
        <f>YEAR(Data!$E976)</f>
        <v>2024</v>
      </c>
      <c r="H976" s="15" t="s">
        <v>22</v>
      </c>
      <c r="I976" s="15" t="str">
        <f t="shared" si="15"/>
        <v>Doanh nghiệp</v>
      </c>
      <c r="J976" s="15" t="s">
        <v>1285</v>
      </c>
      <c r="K976" s="15" t="s">
        <v>1262</v>
      </c>
      <c r="L976" s="32">
        <f>Data!$D976/10^6</f>
        <v>9.9427269999999996</v>
      </c>
    </row>
    <row r="977" spans="1:12" x14ac:dyDescent="0.25">
      <c r="A977" s="29" t="s">
        <v>65</v>
      </c>
      <c r="B977" s="15" t="s">
        <v>1100</v>
      </c>
      <c r="C977" s="15" t="s">
        <v>14</v>
      </c>
      <c r="D977" s="16">
        <v>113907854</v>
      </c>
      <c r="E977" s="17">
        <v>45383</v>
      </c>
      <c r="F977" s="18">
        <f>MONTH(Data!$E977)</f>
        <v>4</v>
      </c>
      <c r="G977" s="16">
        <f>YEAR(Data!$E977)</f>
        <v>2024</v>
      </c>
      <c r="H977" s="15" t="s">
        <v>25</v>
      </c>
      <c r="I977" s="15" t="str">
        <f t="shared" si="15"/>
        <v>Doanh nghiệp</v>
      </c>
      <c r="J977" s="15" t="s">
        <v>1284</v>
      </c>
      <c r="K977" s="15" t="s">
        <v>1266</v>
      </c>
      <c r="L977" s="32">
        <f>Data!$D977/10^6</f>
        <v>113.907854</v>
      </c>
    </row>
    <row r="978" spans="1:12" x14ac:dyDescent="0.25">
      <c r="A978" s="29" t="s">
        <v>268</v>
      </c>
      <c r="B978" s="15" t="s">
        <v>1110</v>
      </c>
      <c r="C978" s="15" t="s">
        <v>10</v>
      </c>
      <c r="D978" s="16">
        <v>29936364</v>
      </c>
      <c r="E978" s="17">
        <v>45383</v>
      </c>
      <c r="F978" s="18">
        <f>MONTH(Data!$E978)</f>
        <v>4</v>
      </c>
      <c r="G978" s="16">
        <f>YEAR(Data!$E978)</f>
        <v>2024</v>
      </c>
      <c r="H978" s="15" t="s">
        <v>25</v>
      </c>
      <c r="I978" s="15" t="str">
        <f t="shared" si="15"/>
        <v>Doanh nghiệp</v>
      </c>
      <c r="J978" s="15" t="s">
        <v>1285</v>
      </c>
      <c r="K978" s="15" t="s">
        <v>1263</v>
      </c>
      <c r="L978" s="32">
        <f>Data!$D978/10^6</f>
        <v>29.936364000000001</v>
      </c>
    </row>
    <row r="979" spans="1:12" x14ac:dyDescent="0.25">
      <c r="A979" s="29" t="s">
        <v>51</v>
      </c>
      <c r="B979" s="15" t="s">
        <v>1120</v>
      </c>
      <c r="C979" s="15" t="s">
        <v>10</v>
      </c>
      <c r="D979" s="16">
        <v>41647045</v>
      </c>
      <c r="E979" s="17">
        <v>45383</v>
      </c>
      <c r="F979" s="18">
        <f>MONTH(Data!$E979)</f>
        <v>4</v>
      </c>
      <c r="G979" s="16">
        <f>YEAR(Data!$E979)</f>
        <v>2024</v>
      </c>
      <c r="H979" s="15" t="s">
        <v>42</v>
      </c>
      <c r="I979" s="15" t="str">
        <f t="shared" si="15"/>
        <v>Doanh nghiệp</v>
      </c>
      <c r="J979" s="15" t="s">
        <v>1284</v>
      </c>
      <c r="K979" s="15" t="s">
        <v>1262</v>
      </c>
      <c r="L979" s="32">
        <f>Data!$D979/10^6</f>
        <v>41.647044999999999</v>
      </c>
    </row>
    <row r="980" spans="1:12" x14ac:dyDescent="0.25">
      <c r="A980" s="29" t="s">
        <v>98</v>
      </c>
      <c r="B980" s="15" t="s">
        <v>1112</v>
      </c>
      <c r="C980" s="15" t="s">
        <v>10</v>
      </c>
      <c r="D980" s="16">
        <v>59924000</v>
      </c>
      <c r="E980" s="17">
        <v>45383</v>
      </c>
      <c r="F980" s="18">
        <f>MONTH(Data!$E980)</f>
        <v>4</v>
      </c>
      <c r="G980" s="16">
        <f>YEAR(Data!$E980)</f>
        <v>2024</v>
      </c>
      <c r="H980" s="15" t="s">
        <v>11</v>
      </c>
      <c r="I980" s="15" t="str">
        <f t="shared" si="15"/>
        <v>Doanh nghiệp</v>
      </c>
      <c r="J980" s="15" t="s">
        <v>1285</v>
      </c>
      <c r="K980" s="15" t="s">
        <v>1272</v>
      </c>
      <c r="L980" s="32">
        <f>Data!$D980/10^6</f>
        <v>59.923999999999999</v>
      </c>
    </row>
    <row r="981" spans="1:12" x14ac:dyDescent="0.25">
      <c r="A981" s="29" t="s">
        <v>36</v>
      </c>
      <c r="B981" s="15" t="s">
        <v>1150</v>
      </c>
      <c r="C981" s="15" t="s">
        <v>10</v>
      </c>
      <c r="D981" s="16">
        <v>12900000</v>
      </c>
      <c r="E981" s="17">
        <v>45383</v>
      </c>
      <c r="F981" s="18">
        <f>MONTH(Data!$E981)</f>
        <v>4</v>
      </c>
      <c r="G981" s="16">
        <f>YEAR(Data!$E981)</f>
        <v>2024</v>
      </c>
      <c r="H981" s="15" t="s">
        <v>15</v>
      </c>
      <c r="I981" s="15" t="str">
        <f t="shared" si="15"/>
        <v>Doanh nghiệp</v>
      </c>
      <c r="J981" s="15" t="s">
        <v>1284</v>
      </c>
      <c r="K981" s="15" t="s">
        <v>1263</v>
      </c>
      <c r="L981" s="32">
        <f>Data!$D981/10^6</f>
        <v>12.9</v>
      </c>
    </row>
    <row r="982" spans="1:12" x14ac:dyDescent="0.25">
      <c r="A982" s="29" t="s">
        <v>23</v>
      </c>
      <c r="B982" s="15" t="s">
        <v>1126</v>
      </c>
      <c r="C982" s="15" t="s">
        <v>46</v>
      </c>
      <c r="D982" s="16">
        <v>490755549</v>
      </c>
      <c r="E982" s="17">
        <v>45383</v>
      </c>
      <c r="F982" s="18">
        <f>MONTH(Data!$E982)</f>
        <v>4</v>
      </c>
      <c r="G982" s="16">
        <f>YEAR(Data!$E982)</f>
        <v>2024</v>
      </c>
      <c r="H982" s="15" t="s">
        <v>25</v>
      </c>
      <c r="I982" s="15" t="str">
        <f t="shared" si="15"/>
        <v>Doanh nghiệp</v>
      </c>
      <c r="J982" s="15" t="s">
        <v>1285</v>
      </c>
      <c r="K982" s="15" t="s">
        <v>1265</v>
      </c>
      <c r="L982" s="32">
        <f>Data!$D982/10^6</f>
        <v>490.75554899999997</v>
      </c>
    </row>
    <row r="983" spans="1:12" x14ac:dyDescent="0.25">
      <c r="A983" s="29" t="s">
        <v>79</v>
      </c>
      <c r="B983" s="15" t="s">
        <v>1152</v>
      </c>
      <c r="C983" s="15" t="s">
        <v>14</v>
      </c>
      <c r="D983" s="16">
        <v>163144800</v>
      </c>
      <c r="E983" s="17">
        <v>45383</v>
      </c>
      <c r="F983" s="18">
        <f>MONTH(Data!$E983)</f>
        <v>4</v>
      </c>
      <c r="G983" s="16">
        <f>YEAR(Data!$E983)</f>
        <v>2024</v>
      </c>
      <c r="H983" s="15" t="s">
        <v>15</v>
      </c>
      <c r="I983" s="15" t="str">
        <f t="shared" si="15"/>
        <v>Doanh nghiệp</v>
      </c>
      <c r="J983" s="15" t="s">
        <v>1284</v>
      </c>
      <c r="K983" s="15" t="s">
        <v>1273</v>
      </c>
      <c r="L983" s="32">
        <f>Data!$D983/10^6</f>
        <v>163.1448</v>
      </c>
    </row>
    <row r="984" spans="1:12" x14ac:dyDescent="0.25">
      <c r="A984" s="29" t="s">
        <v>91</v>
      </c>
      <c r="B984" s="15" t="s">
        <v>1127</v>
      </c>
      <c r="C984" s="15" t="s">
        <v>14</v>
      </c>
      <c r="D984" s="16">
        <v>245431970</v>
      </c>
      <c r="E984" s="17">
        <v>45383</v>
      </c>
      <c r="F984" s="18">
        <f>MONTH(Data!$E984)</f>
        <v>4</v>
      </c>
      <c r="G984" s="16">
        <f>YEAR(Data!$E984)</f>
        <v>2024</v>
      </c>
      <c r="H984" s="15" t="s">
        <v>42</v>
      </c>
      <c r="I984" s="15" t="str">
        <f t="shared" si="15"/>
        <v>Doanh nghiệp</v>
      </c>
      <c r="J984" s="15" t="s">
        <v>1285</v>
      </c>
      <c r="K984" s="15" t="s">
        <v>1266</v>
      </c>
      <c r="L984" s="32">
        <f>Data!$D984/10^6</f>
        <v>245.43197000000001</v>
      </c>
    </row>
    <row r="985" spans="1:12" x14ac:dyDescent="0.25">
      <c r="A985" s="29" t="s">
        <v>73</v>
      </c>
      <c r="B985" s="15" t="s">
        <v>1134</v>
      </c>
      <c r="C985" s="15" t="s">
        <v>10</v>
      </c>
      <c r="D985" s="16">
        <v>15347727</v>
      </c>
      <c r="E985" s="17">
        <v>45383</v>
      </c>
      <c r="F985" s="18">
        <f>MONTH(Data!$E985)</f>
        <v>4</v>
      </c>
      <c r="G985" s="16">
        <f>YEAR(Data!$E985)</f>
        <v>2024</v>
      </c>
      <c r="H985" s="15" t="s">
        <v>32</v>
      </c>
      <c r="I985" s="15" t="str">
        <f t="shared" si="15"/>
        <v>Doanh nghiệp</v>
      </c>
      <c r="J985" s="15" t="s">
        <v>1284</v>
      </c>
      <c r="K985" s="15" t="s">
        <v>1263</v>
      </c>
      <c r="L985" s="32">
        <f>Data!$D985/10^6</f>
        <v>15.347727000000001</v>
      </c>
    </row>
    <row r="986" spans="1:12" x14ac:dyDescent="0.25">
      <c r="A986" s="29" t="s">
        <v>73</v>
      </c>
      <c r="B986" s="15" t="s">
        <v>1136</v>
      </c>
      <c r="C986" s="15" t="s">
        <v>41</v>
      </c>
      <c r="D986" s="16">
        <v>68181818</v>
      </c>
      <c r="E986" s="17">
        <v>45383</v>
      </c>
      <c r="F986" s="18">
        <f>MONTH(Data!$E986)</f>
        <v>4</v>
      </c>
      <c r="G986" s="16">
        <f>YEAR(Data!$E986)</f>
        <v>2024</v>
      </c>
      <c r="H986" s="15" t="s">
        <v>32</v>
      </c>
      <c r="I986" s="15" t="str">
        <f t="shared" si="15"/>
        <v>Doanh nghiệp</v>
      </c>
      <c r="J986" s="15" t="s">
        <v>1285</v>
      </c>
      <c r="K986" s="15" t="s">
        <v>1270</v>
      </c>
      <c r="L986" s="32">
        <f>Data!$D986/10^6</f>
        <v>68.181818000000007</v>
      </c>
    </row>
    <row r="987" spans="1:12" x14ac:dyDescent="0.25">
      <c r="A987" s="29" t="s">
        <v>85</v>
      </c>
      <c r="B987" s="15" t="s">
        <v>1141</v>
      </c>
      <c r="C987" s="15" t="s">
        <v>10</v>
      </c>
      <c r="D987" s="16">
        <v>56327236</v>
      </c>
      <c r="E987" s="17">
        <v>45383</v>
      </c>
      <c r="F987" s="18">
        <f>MONTH(Data!$E987)</f>
        <v>4</v>
      </c>
      <c r="G987" s="16">
        <f>YEAR(Data!$E987)</f>
        <v>2024</v>
      </c>
      <c r="H987" s="15" t="s">
        <v>15</v>
      </c>
      <c r="I987" s="15" t="str">
        <f t="shared" si="15"/>
        <v>Doanh nghiệp</v>
      </c>
      <c r="J987" s="15" t="s">
        <v>1284</v>
      </c>
      <c r="K987" s="15" t="s">
        <v>1263</v>
      </c>
      <c r="L987" s="32">
        <f>Data!$D987/10^6</f>
        <v>56.327235999999999</v>
      </c>
    </row>
    <row r="988" spans="1:12" x14ac:dyDescent="0.25">
      <c r="A988" s="29" t="s">
        <v>8</v>
      </c>
      <c r="B988" s="15" t="s">
        <v>1144</v>
      </c>
      <c r="C988" s="15" t="s">
        <v>10</v>
      </c>
      <c r="D988" s="16">
        <v>36320000</v>
      </c>
      <c r="E988" s="17">
        <v>45383</v>
      </c>
      <c r="F988" s="18">
        <f>MONTH(Data!$E988)</f>
        <v>4</v>
      </c>
      <c r="G988" s="16">
        <f>YEAR(Data!$E988)</f>
        <v>2024</v>
      </c>
      <c r="H988" s="15" t="s">
        <v>11</v>
      </c>
      <c r="I988" s="15" t="str">
        <f t="shared" si="15"/>
        <v>Doanh nghiệp</v>
      </c>
      <c r="J988" s="15" t="s">
        <v>1285</v>
      </c>
      <c r="K988" s="15" t="s">
        <v>1263</v>
      </c>
      <c r="L988" s="32">
        <f>Data!$D988/10^6</f>
        <v>36.32</v>
      </c>
    </row>
    <row r="989" spans="1:12" x14ac:dyDescent="0.25">
      <c r="A989" s="29" t="s">
        <v>36</v>
      </c>
      <c r="B989" s="15" t="s">
        <v>1150</v>
      </c>
      <c r="C989" s="15" t="s">
        <v>14</v>
      </c>
      <c r="D989" s="16">
        <v>9090909</v>
      </c>
      <c r="E989" s="17">
        <v>45383</v>
      </c>
      <c r="F989" s="18">
        <f>MONTH(Data!$E989)</f>
        <v>4</v>
      </c>
      <c r="G989" s="16">
        <f>YEAR(Data!$E989)</f>
        <v>2024</v>
      </c>
      <c r="H989" s="15" t="s">
        <v>15</v>
      </c>
      <c r="I989" s="15" t="str">
        <f t="shared" si="15"/>
        <v>Doanh nghiệp</v>
      </c>
      <c r="J989" s="15" t="s">
        <v>1284</v>
      </c>
      <c r="K989" s="15" t="s">
        <v>1277</v>
      </c>
      <c r="L989" s="32">
        <f>Data!$D989/10^6</f>
        <v>9.0909089999999999</v>
      </c>
    </row>
    <row r="990" spans="1:12" x14ac:dyDescent="0.25">
      <c r="A990" s="29" t="s">
        <v>73</v>
      </c>
      <c r="B990" s="15" t="s">
        <v>1135</v>
      </c>
      <c r="C990" s="15" t="s">
        <v>149</v>
      </c>
      <c r="D990" s="16">
        <v>40234545</v>
      </c>
      <c r="E990" s="17">
        <v>45383</v>
      </c>
      <c r="F990" s="18">
        <f>MONTH(Data!$E990)</f>
        <v>4</v>
      </c>
      <c r="G990" s="16">
        <f>YEAR(Data!$E990)</f>
        <v>2024</v>
      </c>
      <c r="H990" s="15" t="s">
        <v>32</v>
      </c>
      <c r="I990" s="15" t="str">
        <f t="shared" si="15"/>
        <v>Doanh nghiệp</v>
      </c>
      <c r="J990" s="15" t="s">
        <v>1285</v>
      </c>
      <c r="K990" s="15" t="s">
        <v>1262</v>
      </c>
      <c r="L990" s="32">
        <f>Data!$D990/10^6</f>
        <v>40.234544999999997</v>
      </c>
    </row>
    <row r="991" spans="1:12" x14ac:dyDescent="0.25">
      <c r="A991" s="29" t="s">
        <v>98</v>
      </c>
      <c r="B991" s="15" t="s">
        <v>1133</v>
      </c>
      <c r="C991" s="15" t="s">
        <v>10</v>
      </c>
      <c r="D991" s="16">
        <v>1779540000</v>
      </c>
      <c r="E991" s="17">
        <v>45383</v>
      </c>
      <c r="F991" s="18">
        <f>MONTH(Data!$E991)</f>
        <v>4</v>
      </c>
      <c r="G991" s="16">
        <f>YEAR(Data!$E991)</f>
        <v>2024</v>
      </c>
      <c r="H991" s="15" t="s">
        <v>11</v>
      </c>
      <c r="I991" s="15" t="str">
        <f t="shared" si="15"/>
        <v>Doanh nghiệp</v>
      </c>
      <c r="J991" s="15" t="s">
        <v>1284</v>
      </c>
      <c r="K991" s="15" t="s">
        <v>1267</v>
      </c>
      <c r="L991" s="32">
        <f>Data!$D991/10^6</f>
        <v>1779.54</v>
      </c>
    </row>
    <row r="992" spans="1:12" x14ac:dyDescent="0.25">
      <c r="A992" s="29" t="s">
        <v>8</v>
      </c>
      <c r="B992" s="15" t="s">
        <v>1137</v>
      </c>
      <c r="C992" s="15" t="s">
        <v>46</v>
      </c>
      <c r="D992" s="16">
        <v>90021200</v>
      </c>
      <c r="E992" s="17">
        <v>45383</v>
      </c>
      <c r="F992" s="18">
        <f>MONTH(Data!$E992)</f>
        <v>4</v>
      </c>
      <c r="G992" s="16">
        <f>YEAR(Data!$E992)</f>
        <v>2024</v>
      </c>
      <c r="H992" s="15" t="s">
        <v>11</v>
      </c>
      <c r="I992" s="15" t="str">
        <f t="shared" si="15"/>
        <v>Doanh nghiệp</v>
      </c>
      <c r="J992" s="15" t="s">
        <v>1285</v>
      </c>
      <c r="K992" s="15" t="s">
        <v>1271</v>
      </c>
      <c r="L992" s="32">
        <f>Data!$D992/10^6</f>
        <v>90.021199999999993</v>
      </c>
    </row>
    <row r="993" spans="1:12" x14ac:dyDescent="0.25">
      <c r="A993" s="29" t="s">
        <v>23</v>
      </c>
      <c r="B993" s="15" t="s">
        <v>1138</v>
      </c>
      <c r="C993" s="15" t="s">
        <v>46</v>
      </c>
      <c r="D993" s="16">
        <v>43330905</v>
      </c>
      <c r="E993" s="17">
        <v>45383</v>
      </c>
      <c r="F993" s="18">
        <f>MONTH(Data!$E993)</f>
        <v>4</v>
      </c>
      <c r="G993" s="16">
        <f>YEAR(Data!$E993)</f>
        <v>2024</v>
      </c>
      <c r="H993" s="15" t="s">
        <v>25</v>
      </c>
      <c r="I993" s="15" t="str">
        <f t="shared" si="15"/>
        <v>Doanh nghiệp</v>
      </c>
      <c r="J993" s="15" t="s">
        <v>1284</v>
      </c>
      <c r="K993" s="15" t="s">
        <v>1271</v>
      </c>
      <c r="L993" s="32">
        <f>Data!$D993/10^6</f>
        <v>43.330905000000001</v>
      </c>
    </row>
    <row r="994" spans="1:12" x14ac:dyDescent="0.25">
      <c r="A994" s="29" t="s">
        <v>55</v>
      </c>
      <c r="B994" s="15" t="s">
        <v>1145</v>
      </c>
      <c r="C994" s="15" t="s">
        <v>14</v>
      </c>
      <c r="D994" s="16">
        <v>137104545</v>
      </c>
      <c r="E994" s="17">
        <v>45383</v>
      </c>
      <c r="F994" s="18">
        <f>MONTH(Data!$E994)</f>
        <v>4</v>
      </c>
      <c r="G994" s="16">
        <f>YEAR(Data!$E994)</f>
        <v>2024</v>
      </c>
      <c r="H994" s="15" t="s">
        <v>15</v>
      </c>
      <c r="I994" s="15" t="str">
        <f t="shared" si="15"/>
        <v>Doanh nghiệp</v>
      </c>
      <c r="J994" s="15" t="s">
        <v>1285</v>
      </c>
      <c r="K994" s="15" t="s">
        <v>1264</v>
      </c>
      <c r="L994" s="32">
        <f>Data!$D994/10^6</f>
        <v>137.104545</v>
      </c>
    </row>
    <row r="995" spans="1:12" x14ac:dyDescent="0.25">
      <c r="A995" s="29" t="s">
        <v>55</v>
      </c>
      <c r="B995" s="15" t="s">
        <v>1145</v>
      </c>
      <c r="C995" s="15" t="s">
        <v>10</v>
      </c>
      <c r="D995" s="16">
        <v>96387482</v>
      </c>
      <c r="E995" s="17">
        <v>45383</v>
      </c>
      <c r="F995" s="18">
        <f>MONTH(Data!$E995)</f>
        <v>4</v>
      </c>
      <c r="G995" s="16">
        <f>YEAR(Data!$E995)</f>
        <v>2024</v>
      </c>
      <c r="H995" s="15" t="s">
        <v>15</v>
      </c>
      <c r="I995" s="15" t="str">
        <f t="shared" si="15"/>
        <v>Doanh nghiệp</v>
      </c>
      <c r="J995" s="15" t="s">
        <v>1284</v>
      </c>
      <c r="K995" s="15" t="s">
        <v>1262</v>
      </c>
      <c r="L995" s="32">
        <f>Data!$D995/10^6</f>
        <v>96.387482000000006</v>
      </c>
    </row>
    <row r="996" spans="1:12" x14ac:dyDescent="0.25">
      <c r="A996" s="29" t="s">
        <v>255</v>
      </c>
      <c r="B996" s="15" t="s">
        <v>1164</v>
      </c>
      <c r="C996" s="15" t="s">
        <v>14</v>
      </c>
      <c r="D996" s="16">
        <v>149456000</v>
      </c>
      <c r="E996" s="17">
        <v>45383</v>
      </c>
      <c r="F996" s="18">
        <f>MONTH(Data!$E996)</f>
        <v>4</v>
      </c>
      <c r="G996" s="16">
        <f>YEAR(Data!$E996)</f>
        <v>2024</v>
      </c>
      <c r="H996" s="15" t="s">
        <v>11</v>
      </c>
      <c r="I996" s="15" t="str">
        <f t="shared" si="15"/>
        <v>Doanh nghiệp</v>
      </c>
      <c r="J996" s="15" t="s">
        <v>1285</v>
      </c>
      <c r="K996" s="15" t="s">
        <v>1264</v>
      </c>
      <c r="L996" s="32">
        <f>Data!$D996/10^6</f>
        <v>149.45599999999999</v>
      </c>
    </row>
    <row r="997" spans="1:12" x14ac:dyDescent="0.25">
      <c r="A997" s="29" t="s">
        <v>64</v>
      </c>
      <c r="B997" s="15" t="s">
        <v>1173</v>
      </c>
      <c r="C997" s="15" t="s">
        <v>10</v>
      </c>
      <c r="D997" s="16">
        <v>680697909</v>
      </c>
      <c r="E997" s="17">
        <v>45383</v>
      </c>
      <c r="F997" s="18">
        <f>MONTH(Data!$E997)</f>
        <v>4</v>
      </c>
      <c r="G997" s="16">
        <f>YEAR(Data!$E997)</f>
        <v>2024</v>
      </c>
      <c r="H997" s="15" t="s">
        <v>29</v>
      </c>
      <c r="I997" s="15" t="str">
        <f t="shared" si="15"/>
        <v>Doanh nghiệp</v>
      </c>
      <c r="J997" s="15" t="s">
        <v>1284</v>
      </c>
      <c r="K997" s="15" t="s">
        <v>1263</v>
      </c>
      <c r="L997" s="32">
        <f>Data!$D997/10^6</f>
        <v>680.69790899999998</v>
      </c>
    </row>
    <row r="998" spans="1:12" x14ac:dyDescent="0.25">
      <c r="A998" s="29" t="s">
        <v>47</v>
      </c>
      <c r="B998" s="15" t="s">
        <v>1177</v>
      </c>
      <c r="C998" s="15" t="s">
        <v>14</v>
      </c>
      <c r="D998" s="16">
        <v>40068000</v>
      </c>
      <c r="E998" s="17">
        <v>45383</v>
      </c>
      <c r="F998" s="18">
        <f>MONTH(Data!$E998)</f>
        <v>4</v>
      </c>
      <c r="G998" s="16">
        <f>YEAR(Data!$E998)</f>
        <v>2024</v>
      </c>
      <c r="H998" s="15" t="s">
        <v>29</v>
      </c>
      <c r="I998" s="15" t="str">
        <f t="shared" si="15"/>
        <v>Doanh nghiệp</v>
      </c>
      <c r="J998" s="15" t="s">
        <v>1285</v>
      </c>
      <c r="K998" s="15" t="s">
        <v>1275</v>
      </c>
      <c r="L998" s="32">
        <f>Data!$D998/10^6</f>
        <v>40.067999999999998</v>
      </c>
    </row>
    <row r="999" spans="1:12" x14ac:dyDescent="0.25">
      <c r="A999" s="29" t="s">
        <v>56</v>
      </c>
      <c r="B999" s="15" t="s">
        <v>1179</v>
      </c>
      <c r="C999" s="15" t="s">
        <v>10</v>
      </c>
      <c r="D999" s="16">
        <v>33776364</v>
      </c>
      <c r="E999" s="17">
        <v>45383</v>
      </c>
      <c r="F999" s="18">
        <f>MONTH(Data!$E999)</f>
        <v>4</v>
      </c>
      <c r="G999" s="16">
        <f>YEAR(Data!$E999)</f>
        <v>2024</v>
      </c>
      <c r="H999" s="15" t="s">
        <v>25</v>
      </c>
      <c r="I999" s="15" t="str">
        <f t="shared" si="15"/>
        <v>Doanh nghiệp</v>
      </c>
      <c r="J999" s="15" t="s">
        <v>1284</v>
      </c>
      <c r="K999" s="15" t="s">
        <v>1267</v>
      </c>
      <c r="L999" s="32">
        <f>Data!$D999/10^6</f>
        <v>33.776364000000001</v>
      </c>
    </row>
    <row r="1000" spans="1:12" x14ac:dyDescent="0.25">
      <c r="A1000" s="29" t="s">
        <v>54</v>
      </c>
      <c r="B1000" s="15" t="s">
        <v>1189</v>
      </c>
      <c r="C1000" s="15" t="s">
        <v>149</v>
      </c>
      <c r="D1000" s="16">
        <v>27232126</v>
      </c>
      <c r="E1000" s="17">
        <v>45383</v>
      </c>
      <c r="F1000" s="18">
        <f>MONTH(Data!$E1000)</f>
        <v>4</v>
      </c>
      <c r="G1000" s="16">
        <f>YEAR(Data!$E1000)</f>
        <v>2024</v>
      </c>
      <c r="H1000" s="15" t="s">
        <v>15</v>
      </c>
      <c r="I1000" s="15" t="str">
        <f t="shared" si="15"/>
        <v>Doanh nghiệp</v>
      </c>
      <c r="J1000" s="15" t="s">
        <v>1285</v>
      </c>
      <c r="K1000" s="15" t="s">
        <v>1266</v>
      </c>
      <c r="L1000" s="32">
        <f>Data!$D1000/10^6</f>
        <v>27.232126000000001</v>
      </c>
    </row>
    <row r="1001" spans="1:12" x14ac:dyDescent="0.25">
      <c r="A1001" s="29" t="s">
        <v>95</v>
      </c>
      <c r="B1001" s="15" t="s">
        <v>1194</v>
      </c>
      <c r="C1001" s="15" t="s">
        <v>10</v>
      </c>
      <c r="D1001" s="16">
        <v>42000000</v>
      </c>
      <c r="E1001" s="17">
        <v>45383</v>
      </c>
      <c r="F1001" s="18">
        <f>MONTH(Data!$E1001)</f>
        <v>4</v>
      </c>
      <c r="G1001" s="16">
        <f>YEAR(Data!$E1001)</f>
        <v>2024</v>
      </c>
      <c r="H1001" s="15" t="s">
        <v>35</v>
      </c>
      <c r="I1001" s="15" t="str">
        <f t="shared" si="15"/>
        <v>Doanh nghiệp</v>
      </c>
      <c r="J1001" s="15" t="s">
        <v>1284</v>
      </c>
      <c r="K1001" s="15" t="s">
        <v>1263</v>
      </c>
      <c r="L1001" s="32">
        <f>Data!$D1001/10^6</f>
        <v>42</v>
      </c>
    </row>
    <row r="1002" spans="1:12" x14ac:dyDescent="0.25">
      <c r="A1002" s="29" t="s">
        <v>95</v>
      </c>
      <c r="B1002" s="15" t="s">
        <v>1195</v>
      </c>
      <c r="C1002" s="15" t="s">
        <v>10</v>
      </c>
      <c r="D1002" s="16">
        <v>30094545</v>
      </c>
      <c r="E1002" s="17">
        <v>45383</v>
      </c>
      <c r="F1002" s="18">
        <f>MONTH(Data!$E1002)</f>
        <v>4</v>
      </c>
      <c r="G1002" s="16">
        <f>YEAR(Data!$E1002)</f>
        <v>2024</v>
      </c>
      <c r="H1002" s="15" t="s">
        <v>35</v>
      </c>
      <c r="I1002" s="15" t="str">
        <f t="shared" si="15"/>
        <v>Doanh nghiệp</v>
      </c>
      <c r="J1002" s="15" t="s">
        <v>1285</v>
      </c>
      <c r="K1002" s="15" t="s">
        <v>1278</v>
      </c>
      <c r="L1002" s="32">
        <f>Data!$D1002/10^6</f>
        <v>30.094545</v>
      </c>
    </row>
    <row r="1003" spans="1:12" x14ac:dyDescent="0.25">
      <c r="A1003" s="29" t="s">
        <v>95</v>
      </c>
      <c r="B1003" s="15" t="s">
        <v>1196</v>
      </c>
      <c r="C1003" s="15" t="s">
        <v>10</v>
      </c>
      <c r="D1003" s="16">
        <v>78000000</v>
      </c>
      <c r="E1003" s="17">
        <v>45383</v>
      </c>
      <c r="F1003" s="18">
        <f>MONTH(Data!$E1003)</f>
        <v>4</v>
      </c>
      <c r="G1003" s="16">
        <f>YEAR(Data!$E1003)</f>
        <v>2024</v>
      </c>
      <c r="H1003" s="15" t="s">
        <v>35</v>
      </c>
      <c r="I1003" s="15" t="str">
        <f t="shared" si="15"/>
        <v>Doanh nghiệp</v>
      </c>
      <c r="J1003" s="15" t="s">
        <v>1284</v>
      </c>
      <c r="K1003" s="15" t="s">
        <v>1263</v>
      </c>
      <c r="L1003" s="32">
        <f>Data!$D1003/10^6</f>
        <v>78</v>
      </c>
    </row>
    <row r="1004" spans="1:12" x14ac:dyDescent="0.25">
      <c r="A1004" s="29" t="s">
        <v>30</v>
      </c>
      <c r="B1004" s="15" t="s">
        <v>1215</v>
      </c>
      <c r="C1004" s="15" t="s">
        <v>149</v>
      </c>
      <c r="D1004" s="16">
        <v>19793455</v>
      </c>
      <c r="E1004" s="17">
        <v>45383</v>
      </c>
      <c r="F1004" s="18">
        <f>MONTH(Data!$E1004)</f>
        <v>4</v>
      </c>
      <c r="G1004" s="16">
        <f>YEAR(Data!$E1004)</f>
        <v>2024</v>
      </c>
      <c r="H1004" s="15" t="s">
        <v>32</v>
      </c>
      <c r="I1004" s="15" t="str">
        <f t="shared" si="15"/>
        <v>Doanh nghiệp</v>
      </c>
      <c r="J1004" s="15" t="s">
        <v>1285</v>
      </c>
      <c r="K1004" s="15" t="s">
        <v>1275</v>
      </c>
      <c r="L1004" s="32">
        <f>Data!$D1004/10^6</f>
        <v>19.793455000000002</v>
      </c>
    </row>
    <row r="1005" spans="1:12" x14ac:dyDescent="0.25">
      <c r="A1005" s="29" t="s">
        <v>45</v>
      </c>
      <c r="B1005" s="15" t="s">
        <v>1248</v>
      </c>
      <c r="C1005" s="15" t="s">
        <v>46</v>
      </c>
      <c r="D1005" s="16">
        <v>42909091</v>
      </c>
      <c r="E1005" s="17">
        <v>45383</v>
      </c>
      <c r="F1005" s="18">
        <f>MONTH(Data!$E1005)</f>
        <v>4</v>
      </c>
      <c r="G1005" s="16">
        <f>YEAR(Data!$E1005)</f>
        <v>2024</v>
      </c>
      <c r="H1005" s="15" t="s">
        <v>29</v>
      </c>
      <c r="I1005" s="15" t="str">
        <f t="shared" si="15"/>
        <v>Doanh nghiệp</v>
      </c>
      <c r="J1005" s="15" t="s">
        <v>1284</v>
      </c>
      <c r="K1005" s="15" t="s">
        <v>1271</v>
      </c>
      <c r="L1005" s="32">
        <f>Data!$D1005/10^6</f>
        <v>42.909090999999997</v>
      </c>
    </row>
    <row r="1006" spans="1:12" x14ac:dyDescent="0.25">
      <c r="A1006" s="29" t="s">
        <v>37</v>
      </c>
      <c r="B1006" s="15" t="s">
        <v>1249</v>
      </c>
      <c r="C1006" s="15" t="s">
        <v>10</v>
      </c>
      <c r="D1006" s="16">
        <v>13915000</v>
      </c>
      <c r="E1006" s="17">
        <v>45383</v>
      </c>
      <c r="F1006" s="18">
        <f>MONTH(Data!$E1006)</f>
        <v>4</v>
      </c>
      <c r="G1006" s="16">
        <f>YEAR(Data!$E1006)</f>
        <v>2024</v>
      </c>
      <c r="H1006" s="15" t="s">
        <v>11</v>
      </c>
      <c r="I1006" s="15" t="str">
        <f t="shared" si="15"/>
        <v>Doanh nghiệp</v>
      </c>
      <c r="J1006" s="15" t="s">
        <v>1285</v>
      </c>
      <c r="K1006" s="15" t="s">
        <v>1263</v>
      </c>
      <c r="L1006" s="32">
        <f>Data!$D1006/10^6</f>
        <v>13.914999999999999</v>
      </c>
    </row>
    <row r="1007" spans="1:12" x14ac:dyDescent="0.25">
      <c r="A1007" s="29" t="s">
        <v>30</v>
      </c>
      <c r="B1007" s="15" t="s">
        <v>1249</v>
      </c>
      <c r="C1007" s="15" t="s">
        <v>41</v>
      </c>
      <c r="D1007" s="16">
        <v>40909091</v>
      </c>
      <c r="E1007" s="17">
        <v>45383</v>
      </c>
      <c r="F1007" s="18">
        <f>MONTH(Data!$E1007)</f>
        <v>4</v>
      </c>
      <c r="G1007" s="16">
        <f>YEAR(Data!$E1007)</f>
        <v>2024</v>
      </c>
      <c r="H1007" s="15" t="s">
        <v>32</v>
      </c>
      <c r="I1007" s="15" t="str">
        <f t="shared" si="15"/>
        <v>Doanh nghiệp</v>
      </c>
      <c r="J1007" s="15" t="s">
        <v>1284</v>
      </c>
      <c r="K1007" s="15" t="s">
        <v>1269</v>
      </c>
      <c r="L1007" s="32">
        <f>Data!$D1007/10^6</f>
        <v>40.909090999999997</v>
      </c>
    </row>
    <row r="1008" spans="1:12" x14ac:dyDescent="0.25">
      <c r="A1008" s="29" t="s">
        <v>52</v>
      </c>
      <c r="B1008" s="15" t="s">
        <v>1248</v>
      </c>
      <c r="C1008" s="15" t="s">
        <v>10</v>
      </c>
      <c r="D1008" s="16">
        <v>156156410</v>
      </c>
      <c r="E1008" s="17">
        <v>45383</v>
      </c>
      <c r="F1008" s="18">
        <f>MONTH(Data!$E1008)</f>
        <v>4</v>
      </c>
      <c r="G1008" s="16">
        <f>YEAR(Data!$E1008)</f>
        <v>2024</v>
      </c>
      <c r="H1008" s="15" t="s">
        <v>35</v>
      </c>
      <c r="I1008" s="15" t="str">
        <f t="shared" si="15"/>
        <v>Doanh nghiệp</v>
      </c>
      <c r="J1008" s="15" t="s">
        <v>1285</v>
      </c>
      <c r="K1008" s="15" t="s">
        <v>1263</v>
      </c>
      <c r="L1008" s="32">
        <f>Data!$D1008/10^6</f>
        <v>156.15640999999999</v>
      </c>
    </row>
    <row r="1009" spans="1:12" x14ac:dyDescent="0.25">
      <c r="A1009" s="29" t="s">
        <v>87</v>
      </c>
      <c r="B1009" s="15" t="s">
        <v>1075</v>
      </c>
      <c r="C1009" s="15" t="s">
        <v>46</v>
      </c>
      <c r="D1009" s="16">
        <v>43909091</v>
      </c>
      <c r="E1009" s="17">
        <v>45383</v>
      </c>
      <c r="F1009" s="18">
        <f>MONTH(Data!$E1009)</f>
        <v>4</v>
      </c>
      <c r="G1009" s="16">
        <f>YEAR(Data!$E1009)</f>
        <v>2024</v>
      </c>
      <c r="H1009" s="15" t="s">
        <v>29</v>
      </c>
      <c r="I1009" s="15" t="str">
        <f t="shared" si="15"/>
        <v>Doanh nghiệp</v>
      </c>
      <c r="J1009" s="15" t="s">
        <v>1284</v>
      </c>
      <c r="K1009" s="15" t="s">
        <v>1271</v>
      </c>
      <c r="L1009" s="32">
        <f>Data!$D1009/10^6</f>
        <v>43.909090999999997</v>
      </c>
    </row>
    <row r="1010" spans="1:12" x14ac:dyDescent="0.25">
      <c r="A1010" s="29" t="s">
        <v>87</v>
      </c>
      <c r="B1010" s="15" t="s">
        <v>1076</v>
      </c>
      <c r="C1010" s="15" t="s">
        <v>46</v>
      </c>
      <c r="D1010" s="16">
        <v>11454545</v>
      </c>
      <c r="E1010" s="17">
        <v>45383</v>
      </c>
      <c r="F1010" s="18">
        <f>MONTH(Data!$E1010)</f>
        <v>4</v>
      </c>
      <c r="G1010" s="16">
        <f>YEAR(Data!$E1010)</f>
        <v>2024</v>
      </c>
      <c r="H1010" s="15" t="s">
        <v>29</v>
      </c>
      <c r="I1010" s="15" t="str">
        <f t="shared" si="15"/>
        <v>Doanh nghiệp</v>
      </c>
      <c r="J1010" s="15" t="s">
        <v>1285</v>
      </c>
      <c r="K1010" s="15" t="s">
        <v>1271</v>
      </c>
      <c r="L1010" s="32">
        <f>Data!$D1010/10^6</f>
        <v>11.454545</v>
      </c>
    </row>
    <row r="1011" spans="1:12" x14ac:dyDescent="0.25">
      <c r="A1011" s="29" t="s">
        <v>87</v>
      </c>
      <c r="B1011" s="15" t="s">
        <v>1077</v>
      </c>
      <c r="C1011" s="15" t="s">
        <v>46</v>
      </c>
      <c r="D1011" s="16">
        <v>34363636</v>
      </c>
      <c r="E1011" s="17">
        <v>45383</v>
      </c>
      <c r="F1011" s="18">
        <f>MONTH(Data!$E1011)</f>
        <v>4</v>
      </c>
      <c r="G1011" s="16">
        <f>YEAR(Data!$E1011)</f>
        <v>2024</v>
      </c>
      <c r="H1011" s="15" t="s">
        <v>29</v>
      </c>
      <c r="I1011" s="15" t="str">
        <f t="shared" si="15"/>
        <v>Doanh nghiệp</v>
      </c>
      <c r="J1011" s="15" t="s">
        <v>1284</v>
      </c>
      <c r="K1011" s="15" t="s">
        <v>1271</v>
      </c>
      <c r="L1011" s="32">
        <f>Data!$D1011/10^6</f>
        <v>34.363636</v>
      </c>
    </row>
    <row r="1012" spans="1:12" x14ac:dyDescent="0.25">
      <c r="A1012" s="29" t="s">
        <v>87</v>
      </c>
      <c r="B1012" s="15" t="s">
        <v>1078</v>
      </c>
      <c r="C1012" s="15" t="s">
        <v>46</v>
      </c>
      <c r="D1012" s="16">
        <v>209783636</v>
      </c>
      <c r="E1012" s="17">
        <v>45383</v>
      </c>
      <c r="F1012" s="18">
        <f>MONTH(Data!$E1012)</f>
        <v>4</v>
      </c>
      <c r="G1012" s="16">
        <f>YEAR(Data!$E1012)</f>
        <v>2024</v>
      </c>
      <c r="H1012" s="15" t="s">
        <v>29</v>
      </c>
      <c r="I1012" s="15" t="str">
        <f t="shared" si="15"/>
        <v>Doanh nghiệp</v>
      </c>
      <c r="J1012" s="15" t="s">
        <v>1285</v>
      </c>
      <c r="K1012" s="15" t="s">
        <v>1271</v>
      </c>
      <c r="L1012" s="32">
        <f>Data!$D1012/10^6</f>
        <v>209.783636</v>
      </c>
    </row>
    <row r="1013" spans="1:12" x14ac:dyDescent="0.25">
      <c r="A1013" s="29" t="s">
        <v>87</v>
      </c>
      <c r="B1013" s="15" t="s">
        <v>1079</v>
      </c>
      <c r="C1013" s="15" t="s">
        <v>46</v>
      </c>
      <c r="D1013" s="16">
        <v>234409091</v>
      </c>
      <c r="E1013" s="17">
        <v>45383</v>
      </c>
      <c r="F1013" s="18">
        <f>MONTH(Data!$E1013)</f>
        <v>4</v>
      </c>
      <c r="G1013" s="16">
        <f>YEAR(Data!$E1013)</f>
        <v>2024</v>
      </c>
      <c r="H1013" s="15" t="s">
        <v>29</v>
      </c>
      <c r="I1013" s="15" t="str">
        <f t="shared" si="15"/>
        <v>Doanh nghiệp</v>
      </c>
      <c r="J1013" s="15" t="s">
        <v>1284</v>
      </c>
      <c r="K1013" s="15" t="s">
        <v>1271</v>
      </c>
      <c r="L1013" s="32">
        <f>Data!$D1013/10^6</f>
        <v>234.40909099999999</v>
      </c>
    </row>
    <row r="1014" spans="1:12" x14ac:dyDescent="0.25">
      <c r="A1014" s="29" t="s">
        <v>39</v>
      </c>
      <c r="B1014" s="15" t="s">
        <v>1123</v>
      </c>
      <c r="C1014" s="15" t="s">
        <v>10</v>
      </c>
      <c r="D1014" s="16">
        <v>16350000</v>
      </c>
      <c r="E1014" s="17">
        <v>45383</v>
      </c>
      <c r="F1014" s="18">
        <f>MONTH(Data!$E1014)</f>
        <v>4</v>
      </c>
      <c r="G1014" s="16">
        <f>YEAR(Data!$E1014)</f>
        <v>2024</v>
      </c>
      <c r="H1014" s="15" t="s">
        <v>42</v>
      </c>
      <c r="I1014" s="15" t="str">
        <f t="shared" si="15"/>
        <v>Doanh nghiệp</v>
      </c>
      <c r="J1014" s="15" t="s">
        <v>1285</v>
      </c>
      <c r="K1014" s="15" t="s">
        <v>1263</v>
      </c>
      <c r="L1014" s="32">
        <f>Data!$D1014/10^6</f>
        <v>16.350000000000001</v>
      </c>
    </row>
    <row r="1015" spans="1:12" x14ac:dyDescent="0.25">
      <c r="A1015" s="29" t="s">
        <v>102</v>
      </c>
      <c r="B1015" s="15" t="s">
        <v>262</v>
      </c>
      <c r="C1015" s="15" t="s">
        <v>41</v>
      </c>
      <c r="D1015" s="16">
        <v>37861818</v>
      </c>
      <c r="E1015" s="17">
        <v>45383</v>
      </c>
      <c r="F1015" s="18">
        <f>MONTH(Data!$E1015)</f>
        <v>4</v>
      </c>
      <c r="G1015" s="16">
        <f>YEAR(Data!$E1015)</f>
        <v>2024</v>
      </c>
      <c r="H1015" s="15" t="s">
        <v>22</v>
      </c>
      <c r="I1015" s="15" t="str">
        <f t="shared" si="15"/>
        <v>Sở ban ngành</v>
      </c>
      <c r="J1015" s="15" t="s">
        <v>1284</v>
      </c>
      <c r="K1015" s="15" t="s">
        <v>1270</v>
      </c>
      <c r="L1015" s="32">
        <f>Data!$D1015/10^6</f>
        <v>37.861818</v>
      </c>
    </row>
    <row r="1016" spans="1:12" x14ac:dyDescent="0.25">
      <c r="A1016" s="29" t="s">
        <v>45</v>
      </c>
      <c r="B1016" s="15" t="s">
        <v>279</v>
      </c>
      <c r="C1016" s="15" t="s">
        <v>149</v>
      </c>
      <c r="D1016" s="16">
        <v>13018182</v>
      </c>
      <c r="E1016" s="17">
        <v>45383</v>
      </c>
      <c r="F1016" s="18">
        <f>MONTH(Data!$E1016)</f>
        <v>4</v>
      </c>
      <c r="G1016" s="16">
        <f>YEAR(Data!$E1016)</f>
        <v>2024</v>
      </c>
      <c r="H1016" s="15" t="s">
        <v>29</v>
      </c>
      <c r="I1016" s="15" t="str">
        <f t="shared" si="15"/>
        <v>Sở ban ngành</v>
      </c>
      <c r="J1016" s="15" t="s">
        <v>1285</v>
      </c>
      <c r="K1016" s="15" t="s">
        <v>1263</v>
      </c>
      <c r="L1016" s="32">
        <f>Data!$D1016/10^6</f>
        <v>13.018181999999999</v>
      </c>
    </row>
    <row r="1017" spans="1:12" x14ac:dyDescent="0.25">
      <c r="A1017" s="29" t="s">
        <v>109</v>
      </c>
      <c r="B1017" s="15" t="s">
        <v>261</v>
      </c>
      <c r="C1017" s="15" t="s">
        <v>10</v>
      </c>
      <c r="D1017" s="16">
        <v>262360309</v>
      </c>
      <c r="E1017" s="17">
        <v>45383</v>
      </c>
      <c r="F1017" s="18">
        <f>MONTH(Data!$E1017)</f>
        <v>4</v>
      </c>
      <c r="G1017" s="16">
        <f>YEAR(Data!$E1017)</f>
        <v>2024</v>
      </c>
      <c r="H1017" s="15" t="s">
        <v>22</v>
      </c>
      <c r="I1017" s="15" t="str">
        <f t="shared" si="15"/>
        <v>Sở ban ngành</v>
      </c>
      <c r="J1017" s="15" t="s">
        <v>1284</v>
      </c>
      <c r="K1017" s="15" t="s">
        <v>1276</v>
      </c>
      <c r="L1017" s="32">
        <f>Data!$D1017/10^6</f>
        <v>262.36030899999997</v>
      </c>
    </row>
    <row r="1018" spans="1:12" x14ac:dyDescent="0.25">
      <c r="A1018" s="29" t="s">
        <v>56</v>
      </c>
      <c r="B1018" s="15" t="s">
        <v>249</v>
      </c>
      <c r="C1018" s="15" t="s">
        <v>10</v>
      </c>
      <c r="D1018" s="16">
        <v>88940000</v>
      </c>
      <c r="E1018" s="17">
        <v>45383</v>
      </c>
      <c r="F1018" s="18">
        <f>MONTH(Data!$E1018)</f>
        <v>4</v>
      </c>
      <c r="G1018" s="16">
        <f>YEAR(Data!$E1018)</f>
        <v>2024</v>
      </c>
      <c r="H1018" s="15" t="s">
        <v>25</v>
      </c>
      <c r="I1018" s="15" t="str">
        <f t="shared" si="15"/>
        <v>Sở ban ngành</v>
      </c>
      <c r="J1018" s="15" t="s">
        <v>1285</v>
      </c>
      <c r="K1018" s="15" t="s">
        <v>1263</v>
      </c>
      <c r="L1018" s="32">
        <f>Data!$D1018/10^6</f>
        <v>88.94</v>
      </c>
    </row>
    <row r="1019" spans="1:12" x14ac:dyDescent="0.25">
      <c r="A1019" s="29" t="s">
        <v>62</v>
      </c>
      <c r="B1019" s="15" t="s">
        <v>292</v>
      </c>
      <c r="C1019" s="15" t="s">
        <v>10</v>
      </c>
      <c r="D1019" s="16">
        <v>71272727</v>
      </c>
      <c r="E1019" s="17">
        <v>45383</v>
      </c>
      <c r="F1019" s="18">
        <f>MONTH(Data!$E1019)</f>
        <v>4</v>
      </c>
      <c r="G1019" s="16">
        <f>YEAR(Data!$E1019)</f>
        <v>2024</v>
      </c>
      <c r="H1019" s="15" t="s">
        <v>15</v>
      </c>
      <c r="I1019" s="15" t="str">
        <f t="shared" si="15"/>
        <v>Sở ban ngành</v>
      </c>
      <c r="J1019" s="15" t="s">
        <v>1284</v>
      </c>
      <c r="K1019" s="15" t="s">
        <v>1267</v>
      </c>
      <c r="L1019" s="32">
        <f>Data!$D1019/10^6</f>
        <v>71.272727000000003</v>
      </c>
    </row>
    <row r="1020" spans="1:12" x14ac:dyDescent="0.25">
      <c r="A1020" s="29" t="s">
        <v>74</v>
      </c>
      <c r="B1020" s="15" t="s">
        <v>289</v>
      </c>
      <c r="C1020" s="15" t="s">
        <v>149</v>
      </c>
      <c r="D1020" s="16">
        <v>83264073</v>
      </c>
      <c r="E1020" s="17">
        <v>45383</v>
      </c>
      <c r="F1020" s="18">
        <f>MONTH(Data!$E1020)</f>
        <v>4</v>
      </c>
      <c r="G1020" s="16">
        <f>YEAR(Data!$E1020)</f>
        <v>2024</v>
      </c>
      <c r="H1020" s="15" t="s">
        <v>11</v>
      </c>
      <c r="I1020" s="15" t="str">
        <f t="shared" si="15"/>
        <v>Sở ban ngành</v>
      </c>
      <c r="J1020" s="15" t="s">
        <v>1285</v>
      </c>
      <c r="K1020" s="15" t="s">
        <v>1264</v>
      </c>
      <c r="L1020" s="32">
        <f>Data!$D1020/10^6</f>
        <v>83.264072999999996</v>
      </c>
    </row>
    <row r="1021" spans="1:12" x14ac:dyDescent="0.25">
      <c r="A1021" s="29" t="s">
        <v>17</v>
      </c>
      <c r="B1021" s="15" t="s">
        <v>286</v>
      </c>
      <c r="C1021" s="15" t="s">
        <v>10</v>
      </c>
      <c r="D1021" s="16">
        <v>21900000</v>
      </c>
      <c r="E1021" s="17">
        <v>45383</v>
      </c>
      <c r="F1021" s="18">
        <f>MONTH(Data!$E1021)</f>
        <v>4</v>
      </c>
      <c r="G1021" s="16">
        <f>YEAR(Data!$E1021)</f>
        <v>2024</v>
      </c>
      <c r="H1021" s="15" t="s">
        <v>11</v>
      </c>
      <c r="I1021" s="15" t="str">
        <f t="shared" si="15"/>
        <v>Sở ban ngành</v>
      </c>
      <c r="J1021" s="15" t="s">
        <v>1284</v>
      </c>
      <c r="K1021" s="15" t="s">
        <v>1267</v>
      </c>
      <c r="L1021" s="32">
        <f>Data!$D1021/10^6</f>
        <v>21.9</v>
      </c>
    </row>
    <row r="1022" spans="1:12" x14ac:dyDescent="0.25">
      <c r="A1022" s="29" t="s">
        <v>68</v>
      </c>
      <c r="B1022" s="15" t="s">
        <v>265</v>
      </c>
      <c r="C1022" s="15" t="s">
        <v>10</v>
      </c>
      <c r="D1022" s="16">
        <v>45181818</v>
      </c>
      <c r="E1022" s="17">
        <v>45383</v>
      </c>
      <c r="F1022" s="18">
        <f>MONTH(Data!$E1022)</f>
        <v>4</v>
      </c>
      <c r="G1022" s="16">
        <f>YEAR(Data!$E1022)</f>
        <v>2024</v>
      </c>
      <c r="H1022" s="15" t="s">
        <v>22</v>
      </c>
      <c r="I1022" s="15" t="str">
        <f t="shared" si="15"/>
        <v>Sở ban ngành</v>
      </c>
      <c r="J1022" s="15" t="s">
        <v>1285</v>
      </c>
      <c r="K1022" s="15" t="s">
        <v>1267</v>
      </c>
      <c r="L1022" s="32">
        <f>Data!$D1022/10^6</f>
        <v>45.181818</v>
      </c>
    </row>
    <row r="1023" spans="1:12" x14ac:dyDescent="0.25">
      <c r="A1023" s="29" t="s">
        <v>68</v>
      </c>
      <c r="B1023" s="15" t="s">
        <v>263</v>
      </c>
      <c r="C1023" s="15" t="s">
        <v>10</v>
      </c>
      <c r="D1023" s="16">
        <v>45181818</v>
      </c>
      <c r="E1023" s="17">
        <v>45383</v>
      </c>
      <c r="F1023" s="18">
        <f>MONTH(Data!$E1023)</f>
        <v>4</v>
      </c>
      <c r="G1023" s="16">
        <f>YEAR(Data!$E1023)</f>
        <v>2024</v>
      </c>
      <c r="H1023" s="15" t="s">
        <v>22</v>
      </c>
      <c r="I1023" s="15" t="str">
        <f t="shared" si="15"/>
        <v>Sở ban ngành</v>
      </c>
      <c r="J1023" s="15" t="s">
        <v>1284</v>
      </c>
      <c r="K1023" s="15" t="s">
        <v>1267</v>
      </c>
      <c r="L1023" s="32">
        <f>Data!$D1023/10^6</f>
        <v>45.181818</v>
      </c>
    </row>
    <row r="1024" spans="1:12" x14ac:dyDescent="0.25">
      <c r="A1024" s="29" t="s">
        <v>37</v>
      </c>
      <c r="B1024" s="15" t="s">
        <v>274</v>
      </c>
      <c r="C1024" s="15" t="s">
        <v>46</v>
      </c>
      <c r="D1024" s="16">
        <v>22727273</v>
      </c>
      <c r="E1024" s="17">
        <v>45383</v>
      </c>
      <c r="F1024" s="18">
        <f>MONTH(Data!$E1024)</f>
        <v>4</v>
      </c>
      <c r="G1024" s="16">
        <f>YEAR(Data!$E1024)</f>
        <v>2024</v>
      </c>
      <c r="H1024" s="15" t="s">
        <v>11</v>
      </c>
      <c r="I1024" s="15" t="str">
        <f t="shared" si="15"/>
        <v>Sở ban ngành</v>
      </c>
      <c r="J1024" s="15" t="s">
        <v>1285</v>
      </c>
      <c r="K1024" s="15" t="s">
        <v>1271</v>
      </c>
      <c r="L1024" s="32">
        <f>Data!$D1024/10^6</f>
        <v>22.727273</v>
      </c>
    </row>
    <row r="1025" spans="1:12" x14ac:dyDescent="0.25">
      <c r="A1025" s="29" t="s">
        <v>37</v>
      </c>
      <c r="B1025" s="15" t="s">
        <v>280</v>
      </c>
      <c r="C1025" s="15" t="s">
        <v>46</v>
      </c>
      <c r="D1025" s="16">
        <v>22727273</v>
      </c>
      <c r="E1025" s="17">
        <v>45383</v>
      </c>
      <c r="F1025" s="18">
        <f>MONTH(Data!$E1025)</f>
        <v>4</v>
      </c>
      <c r="G1025" s="16">
        <f>YEAR(Data!$E1025)</f>
        <v>2024</v>
      </c>
      <c r="H1025" s="15" t="s">
        <v>11</v>
      </c>
      <c r="I1025" s="15" t="str">
        <f t="shared" si="15"/>
        <v>Sở ban ngành</v>
      </c>
      <c r="J1025" s="15" t="s">
        <v>1284</v>
      </c>
      <c r="K1025" s="15" t="s">
        <v>1271</v>
      </c>
      <c r="L1025" s="32">
        <f>Data!$D1025/10^6</f>
        <v>22.727273</v>
      </c>
    </row>
    <row r="1026" spans="1:12" x14ac:dyDescent="0.25">
      <c r="A1026" s="29" t="s">
        <v>17</v>
      </c>
      <c r="B1026" s="15" t="s">
        <v>285</v>
      </c>
      <c r="C1026" s="15" t="s">
        <v>41</v>
      </c>
      <c r="D1026" s="16">
        <v>32727273</v>
      </c>
      <c r="E1026" s="17">
        <v>45383</v>
      </c>
      <c r="F1026" s="18">
        <f>MONTH(Data!$E1026)</f>
        <v>4</v>
      </c>
      <c r="G1026" s="16">
        <f>YEAR(Data!$E1026)</f>
        <v>2024</v>
      </c>
      <c r="H1026" s="15" t="s">
        <v>11</v>
      </c>
      <c r="I1026" s="15" t="str">
        <f t="shared" si="15"/>
        <v>Sở ban ngành</v>
      </c>
      <c r="J1026" s="15" t="s">
        <v>1285</v>
      </c>
      <c r="K1026" s="15" t="s">
        <v>1270</v>
      </c>
      <c r="L1026" s="32">
        <f>Data!$D1026/10^6</f>
        <v>32.727272999999997</v>
      </c>
    </row>
    <row r="1027" spans="1:12" x14ac:dyDescent="0.25">
      <c r="A1027" s="29" t="s">
        <v>73</v>
      </c>
      <c r="B1027" s="15" t="s">
        <v>293</v>
      </c>
      <c r="C1027" s="15" t="s">
        <v>149</v>
      </c>
      <c r="D1027" s="16">
        <v>18027273</v>
      </c>
      <c r="E1027" s="17">
        <v>45383</v>
      </c>
      <c r="F1027" s="18">
        <f>MONTH(Data!$E1027)</f>
        <v>4</v>
      </c>
      <c r="G1027" s="16">
        <f>YEAR(Data!$E1027)</f>
        <v>2024</v>
      </c>
      <c r="H1027" s="15" t="s">
        <v>32</v>
      </c>
      <c r="I1027" s="15" t="str">
        <f t="shared" ref="I1027:I1090" si="16">IF(ISNUMBER(SEARCH("Công ty",$B1027)),"Doanh nghiệp",IF(ISNUMBER(SEARCH("Doanh nghiệp",$B1027)),"Doanh nghiệp",IF(ISNUMBER(SEARCH("Tập đoàn",$B1027)),"Doanh nghiệp",
IF(ISNUMBER(SEARCH("Bệnh viện",$B1027)),"Bệnh viện",
IF(ISNUMBER(SEARCH("Ngân hàng",$B1027)),"Ngân hàng",IF(ISNUMBER(SEARCH("trường",$B1027)),"Trường học",IF(ISNUMBER(SEARCH("học viện",$B1027)),"Trường học",
IF(ISNUMBER(SEARCH("Bộ",$B1027)),"Sở ban ngành",IF(ISNUMBER(SEARCH("Đoàn",$B1027)),"Sở ban ngành",IF(ISNUMBER(SEARCH("Phòng",$B1027)),"Sở ban ngành",IF(ISNUMBER(SEARCH("UBND",$B1027)),"Sở ban ngành",IF(ISNUMBER(SEARCH("ủy ban",$B1027)),"Sở ban ngành",IF(ISNUMBER(SEARCH("công an",$B1027)),"Sở ban ngành",IF(ISNUMBER(SEARCH("sở",$B1027)),"Sở ban ngành",IF(ISNUMBER(SEARCH("thôn",$B1027)),"Sở ban ngành",IF(ISNUMBER(SEARCH("xã",$B1027)),"Sở ban ngành",IF(ISNUMBER(SEARCH("quân khu",$B1027)),"Sở ban ngành",IF(ISNUMBER(SEARCH("cục",$B1027)),"Sở ban ngành",IF(ISNUMBER(SEARCH("viện",$B1027)),"Sở ban ngành",IF(ISNUMBER(SEARCH("quỹ",$B1027)),"Sở ban ngành",IF(ISNUMBER(SEARCH("trung tâm",$B1027)),"Sở ban ngành",IF(ISNUMBER(SEARCH("quân chủng",$B1027)),"Sở ban ngành",IF(ISNUMBER(SEARCH("hội",$B1027)),"Sở ban ngành",
"Khác")))))))))))))))))))))))</f>
        <v>Sở ban ngành</v>
      </c>
      <c r="J1027" s="15" t="s">
        <v>1284</v>
      </c>
      <c r="K1027" s="15" t="s">
        <v>1262</v>
      </c>
      <c r="L1027" s="32">
        <f>Data!$D1027/10^6</f>
        <v>18.027273000000001</v>
      </c>
    </row>
    <row r="1028" spans="1:12" x14ac:dyDescent="0.25">
      <c r="A1028" s="29" t="s">
        <v>37</v>
      </c>
      <c r="B1028" s="15" t="s">
        <v>273</v>
      </c>
      <c r="C1028" s="15" t="s">
        <v>46</v>
      </c>
      <c r="D1028" s="16">
        <v>22727273</v>
      </c>
      <c r="E1028" s="17">
        <v>45383</v>
      </c>
      <c r="F1028" s="18">
        <f>MONTH(Data!$E1028)</f>
        <v>4</v>
      </c>
      <c r="G1028" s="16">
        <f>YEAR(Data!$E1028)</f>
        <v>2024</v>
      </c>
      <c r="H1028" s="15" t="s">
        <v>11</v>
      </c>
      <c r="I1028" s="15" t="str">
        <f t="shared" si="16"/>
        <v>Sở ban ngành</v>
      </c>
      <c r="J1028" s="15" t="s">
        <v>1285</v>
      </c>
      <c r="K1028" s="15" t="s">
        <v>1271</v>
      </c>
      <c r="L1028" s="32">
        <f>Data!$D1028/10^6</f>
        <v>22.727273</v>
      </c>
    </row>
    <row r="1029" spans="1:12" x14ac:dyDescent="0.25">
      <c r="A1029" s="29" t="s">
        <v>37</v>
      </c>
      <c r="B1029" s="15" t="s">
        <v>273</v>
      </c>
      <c r="C1029" s="15" t="s">
        <v>46</v>
      </c>
      <c r="D1029" s="16">
        <v>18181818</v>
      </c>
      <c r="E1029" s="17">
        <v>45383</v>
      </c>
      <c r="F1029" s="18">
        <f>MONTH(Data!$E1029)</f>
        <v>4</v>
      </c>
      <c r="G1029" s="16">
        <f>YEAR(Data!$E1029)</f>
        <v>2024</v>
      </c>
      <c r="H1029" s="15" t="s">
        <v>11</v>
      </c>
      <c r="I1029" s="15" t="str">
        <f t="shared" si="16"/>
        <v>Sở ban ngành</v>
      </c>
      <c r="J1029" s="15" t="s">
        <v>1284</v>
      </c>
      <c r="K1029" s="15" t="s">
        <v>1271</v>
      </c>
      <c r="L1029" s="32">
        <f>Data!$D1029/10^6</f>
        <v>18.181818</v>
      </c>
    </row>
    <row r="1030" spans="1:12" x14ac:dyDescent="0.25">
      <c r="A1030" s="29" t="s">
        <v>37</v>
      </c>
      <c r="B1030" s="15" t="s">
        <v>282</v>
      </c>
      <c r="C1030" s="15" t="s">
        <v>46</v>
      </c>
      <c r="D1030" s="16">
        <v>22727273</v>
      </c>
      <c r="E1030" s="17">
        <v>45383</v>
      </c>
      <c r="F1030" s="18">
        <f>MONTH(Data!$E1030)</f>
        <v>4</v>
      </c>
      <c r="G1030" s="16">
        <f>YEAR(Data!$E1030)</f>
        <v>2024</v>
      </c>
      <c r="H1030" s="15" t="s">
        <v>11</v>
      </c>
      <c r="I1030" s="15" t="str">
        <f t="shared" si="16"/>
        <v>Sở ban ngành</v>
      </c>
      <c r="J1030" s="15" t="s">
        <v>1285</v>
      </c>
      <c r="K1030" s="15" t="s">
        <v>1271</v>
      </c>
      <c r="L1030" s="32">
        <f>Data!$D1030/10^6</f>
        <v>22.727273</v>
      </c>
    </row>
    <row r="1031" spans="1:12" x14ac:dyDescent="0.25">
      <c r="A1031" s="29" t="s">
        <v>127</v>
      </c>
      <c r="B1031" s="15" t="s">
        <v>252</v>
      </c>
      <c r="C1031" s="15" t="s">
        <v>14</v>
      </c>
      <c r="D1031" s="16">
        <v>313149091</v>
      </c>
      <c r="E1031" s="17">
        <v>45383</v>
      </c>
      <c r="F1031" s="18">
        <f>MONTH(Data!$E1031)</f>
        <v>4</v>
      </c>
      <c r="G1031" s="16">
        <f>YEAR(Data!$E1031)</f>
        <v>2024</v>
      </c>
      <c r="H1031" s="15" t="s">
        <v>32</v>
      </c>
      <c r="I1031" s="15" t="str">
        <f t="shared" si="16"/>
        <v>Sở ban ngành</v>
      </c>
      <c r="J1031" s="15" t="s">
        <v>1284</v>
      </c>
      <c r="K1031" s="15" t="s">
        <v>1266</v>
      </c>
      <c r="L1031" s="32">
        <f>Data!$D1031/10^6</f>
        <v>313.149091</v>
      </c>
    </row>
    <row r="1032" spans="1:12" x14ac:dyDescent="0.25">
      <c r="A1032" s="29" t="s">
        <v>95</v>
      </c>
      <c r="B1032" s="15" t="s">
        <v>257</v>
      </c>
      <c r="C1032" s="15" t="s">
        <v>10</v>
      </c>
      <c r="D1032" s="16">
        <v>75420000</v>
      </c>
      <c r="E1032" s="17">
        <v>45383</v>
      </c>
      <c r="F1032" s="18">
        <f>MONTH(Data!$E1032)</f>
        <v>4</v>
      </c>
      <c r="G1032" s="16">
        <f>YEAR(Data!$E1032)</f>
        <v>2024</v>
      </c>
      <c r="H1032" s="15" t="s">
        <v>35</v>
      </c>
      <c r="I1032" s="15" t="str">
        <f t="shared" si="16"/>
        <v>Sở ban ngành</v>
      </c>
      <c r="J1032" s="15" t="s">
        <v>1285</v>
      </c>
      <c r="K1032" s="15" t="s">
        <v>1263</v>
      </c>
      <c r="L1032" s="32">
        <f>Data!$D1032/10^6</f>
        <v>75.42</v>
      </c>
    </row>
    <row r="1033" spans="1:12" x14ac:dyDescent="0.25">
      <c r="A1033" s="29" t="s">
        <v>127</v>
      </c>
      <c r="B1033" s="15" t="s">
        <v>251</v>
      </c>
      <c r="C1033" s="15" t="s">
        <v>10</v>
      </c>
      <c r="D1033" s="16">
        <v>79090909</v>
      </c>
      <c r="E1033" s="17">
        <v>45383</v>
      </c>
      <c r="F1033" s="18">
        <f>MONTH(Data!$E1033)</f>
        <v>4</v>
      </c>
      <c r="G1033" s="16">
        <f>YEAR(Data!$E1033)</f>
        <v>2024</v>
      </c>
      <c r="H1033" s="15" t="s">
        <v>32</v>
      </c>
      <c r="I1033" s="15" t="str">
        <f t="shared" si="16"/>
        <v>Sở ban ngành</v>
      </c>
      <c r="J1033" s="15" t="s">
        <v>1284</v>
      </c>
      <c r="K1033" s="15" t="s">
        <v>1267</v>
      </c>
      <c r="L1033" s="32">
        <f>Data!$D1033/10^6</f>
        <v>79.090908999999996</v>
      </c>
    </row>
    <row r="1034" spans="1:12" x14ac:dyDescent="0.25">
      <c r="A1034" s="29" t="s">
        <v>68</v>
      </c>
      <c r="B1034" s="15" t="s">
        <v>260</v>
      </c>
      <c r="C1034" s="15" t="s">
        <v>10</v>
      </c>
      <c r="D1034" s="16">
        <v>45181818</v>
      </c>
      <c r="E1034" s="17">
        <v>45383</v>
      </c>
      <c r="F1034" s="18">
        <f>MONTH(Data!$E1034)</f>
        <v>4</v>
      </c>
      <c r="G1034" s="16">
        <f>YEAR(Data!$E1034)</f>
        <v>2024</v>
      </c>
      <c r="H1034" s="15" t="s">
        <v>22</v>
      </c>
      <c r="I1034" s="15" t="str">
        <f t="shared" si="16"/>
        <v>Sở ban ngành</v>
      </c>
      <c r="J1034" s="15" t="s">
        <v>1285</v>
      </c>
      <c r="K1034" s="15" t="s">
        <v>1267</v>
      </c>
      <c r="L1034" s="32">
        <f>Data!$D1034/10^6</f>
        <v>45.181818</v>
      </c>
    </row>
    <row r="1035" spans="1:12" x14ac:dyDescent="0.25">
      <c r="A1035" s="29" t="s">
        <v>68</v>
      </c>
      <c r="B1035" s="15" t="s">
        <v>69</v>
      </c>
      <c r="C1035" s="15" t="s">
        <v>10</v>
      </c>
      <c r="D1035" s="16">
        <v>45181818</v>
      </c>
      <c r="E1035" s="17">
        <v>45383</v>
      </c>
      <c r="F1035" s="18">
        <f>MONTH(Data!$E1035)</f>
        <v>4</v>
      </c>
      <c r="G1035" s="16">
        <f>YEAR(Data!$E1035)</f>
        <v>2024</v>
      </c>
      <c r="H1035" s="15" t="s">
        <v>22</v>
      </c>
      <c r="I1035" s="15" t="str">
        <f t="shared" si="16"/>
        <v>Sở ban ngành</v>
      </c>
      <c r="J1035" s="15" t="s">
        <v>1284</v>
      </c>
      <c r="K1035" s="15" t="s">
        <v>1267</v>
      </c>
      <c r="L1035" s="32">
        <f>Data!$D1035/10^6</f>
        <v>45.181818</v>
      </c>
    </row>
    <row r="1036" spans="1:12" x14ac:dyDescent="0.25">
      <c r="A1036" s="29" t="s">
        <v>68</v>
      </c>
      <c r="B1036" s="15" t="s">
        <v>70</v>
      </c>
      <c r="C1036" s="15" t="s">
        <v>10</v>
      </c>
      <c r="D1036" s="16">
        <v>45181818</v>
      </c>
      <c r="E1036" s="17">
        <v>45383</v>
      </c>
      <c r="F1036" s="18">
        <f>MONTH(Data!$E1036)</f>
        <v>4</v>
      </c>
      <c r="G1036" s="16">
        <f>YEAR(Data!$E1036)</f>
        <v>2024</v>
      </c>
      <c r="H1036" s="15" t="s">
        <v>22</v>
      </c>
      <c r="I1036" s="15" t="str">
        <f t="shared" si="16"/>
        <v>Sở ban ngành</v>
      </c>
      <c r="J1036" s="15" t="s">
        <v>1285</v>
      </c>
      <c r="K1036" s="15" t="s">
        <v>1267</v>
      </c>
      <c r="L1036" s="32">
        <f>Data!$D1036/10^6</f>
        <v>45.181818</v>
      </c>
    </row>
    <row r="1037" spans="1:12" x14ac:dyDescent="0.25">
      <c r="A1037" s="29" t="s">
        <v>37</v>
      </c>
      <c r="B1037" s="15" t="s">
        <v>271</v>
      </c>
      <c r="C1037" s="15" t="s">
        <v>46</v>
      </c>
      <c r="D1037" s="16">
        <v>22727273</v>
      </c>
      <c r="E1037" s="17">
        <v>45383</v>
      </c>
      <c r="F1037" s="18">
        <f>MONTH(Data!$E1037)</f>
        <v>4</v>
      </c>
      <c r="G1037" s="16">
        <f>YEAR(Data!$E1037)</f>
        <v>2024</v>
      </c>
      <c r="H1037" s="15" t="s">
        <v>11</v>
      </c>
      <c r="I1037" s="15" t="str">
        <f t="shared" si="16"/>
        <v>Sở ban ngành</v>
      </c>
      <c r="J1037" s="15" t="s">
        <v>1284</v>
      </c>
      <c r="K1037" s="15" t="s">
        <v>1271</v>
      </c>
      <c r="L1037" s="32">
        <f>Data!$D1037/10^6</f>
        <v>22.727273</v>
      </c>
    </row>
    <row r="1038" spans="1:12" x14ac:dyDescent="0.25">
      <c r="A1038" s="29" t="s">
        <v>37</v>
      </c>
      <c r="B1038" s="15" t="s">
        <v>270</v>
      </c>
      <c r="C1038" s="15" t="s">
        <v>46</v>
      </c>
      <c r="D1038" s="16">
        <v>22727273</v>
      </c>
      <c r="E1038" s="17">
        <v>45383</v>
      </c>
      <c r="F1038" s="18">
        <f>MONTH(Data!$E1038)</f>
        <v>4</v>
      </c>
      <c r="G1038" s="16">
        <f>YEAR(Data!$E1038)</f>
        <v>2024</v>
      </c>
      <c r="H1038" s="15" t="s">
        <v>11</v>
      </c>
      <c r="I1038" s="15" t="str">
        <f t="shared" si="16"/>
        <v>Sở ban ngành</v>
      </c>
      <c r="J1038" s="15" t="s">
        <v>1285</v>
      </c>
      <c r="K1038" s="15" t="s">
        <v>1271</v>
      </c>
      <c r="L1038" s="32">
        <f>Data!$D1038/10^6</f>
        <v>22.727273</v>
      </c>
    </row>
    <row r="1039" spans="1:12" x14ac:dyDescent="0.25">
      <c r="A1039" s="29" t="s">
        <v>95</v>
      </c>
      <c r="B1039" s="15" t="s">
        <v>264</v>
      </c>
      <c r="C1039" s="15" t="s">
        <v>10</v>
      </c>
      <c r="D1039" s="16">
        <v>39263636</v>
      </c>
      <c r="E1039" s="17">
        <v>45383</v>
      </c>
      <c r="F1039" s="18">
        <f>MONTH(Data!$E1039)</f>
        <v>4</v>
      </c>
      <c r="G1039" s="16">
        <f>YEAR(Data!$E1039)</f>
        <v>2024</v>
      </c>
      <c r="H1039" s="15" t="s">
        <v>35</v>
      </c>
      <c r="I1039" s="15" t="str">
        <f t="shared" si="16"/>
        <v>Sở ban ngành</v>
      </c>
      <c r="J1039" s="15" t="s">
        <v>1284</v>
      </c>
      <c r="K1039" s="15" t="s">
        <v>1278</v>
      </c>
      <c r="L1039" s="32">
        <f>Data!$D1039/10^6</f>
        <v>39.263635999999998</v>
      </c>
    </row>
    <row r="1040" spans="1:12" x14ac:dyDescent="0.25">
      <c r="A1040" s="29" t="s">
        <v>37</v>
      </c>
      <c r="B1040" s="15" t="s">
        <v>272</v>
      </c>
      <c r="C1040" s="15" t="s">
        <v>46</v>
      </c>
      <c r="D1040" s="16">
        <v>22727273</v>
      </c>
      <c r="E1040" s="17">
        <v>45383</v>
      </c>
      <c r="F1040" s="18">
        <f>MONTH(Data!$E1040)</f>
        <v>4</v>
      </c>
      <c r="G1040" s="16">
        <f>YEAR(Data!$E1040)</f>
        <v>2024</v>
      </c>
      <c r="H1040" s="15" t="s">
        <v>11</v>
      </c>
      <c r="I1040" s="15" t="str">
        <f t="shared" si="16"/>
        <v>Sở ban ngành</v>
      </c>
      <c r="J1040" s="15" t="s">
        <v>1285</v>
      </c>
      <c r="K1040" s="15" t="s">
        <v>1271</v>
      </c>
      <c r="L1040" s="32">
        <f>Data!$D1040/10^6</f>
        <v>22.727273</v>
      </c>
    </row>
    <row r="1041" spans="1:12" x14ac:dyDescent="0.25">
      <c r="A1041" s="29" t="s">
        <v>45</v>
      </c>
      <c r="B1041" s="15" t="s">
        <v>1255</v>
      </c>
      <c r="C1041" s="15" t="s">
        <v>149</v>
      </c>
      <c r="D1041" s="16">
        <v>7908182</v>
      </c>
      <c r="E1041" s="17">
        <v>45383</v>
      </c>
      <c r="F1041" s="18">
        <f>MONTH(Data!$E1041)</f>
        <v>4</v>
      </c>
      <c r="G1041" s="16">
        <f>YEAR(Data!$E1041)</f>
        <v>2024</v>
      </c>
      <c r="H1041" s="15" t="s">
        <v>29</v>
      </c>
      <c r="I1041" s="15" t="str">
        <f t="shared" si="16"/>
        <v>Sở ban ngành</v>
      </c>
      <c r="J1041" s="15" t="s">
        <v>1284</v>
      </c>
      <c r="K1041" s="15" t="s">
        <v>1263</v>
      </c>
      <c r="L1041" s="32">
        <f>Data!$D1041/10^6</f>
        <v>7.908182</v>
      </c>
    </row>
    <row r="1042" spans="1:12" x14ac:dyDescent="0.25">
      <c r="A1042" s="29" t="s">
        <v>37</v>
      </c>
      <c r="B1042" s="15" t="s">
        <v>281</v>
      </c>
      <c r="C1042" s="15" t="s">
        <v>46</v>
      </c>
      <c r="D1042" s="16">
        <v>22727273</v>
      </c>
      <c r="E1042" s="17">
        <v>45383</v>
      </c>
      <c r="F1042" s="18">
        <f>MONTH(Data!$E1042)</f>
        <v>4</v>
      </c>
      <c r="G1042" s="16">
        <f>YEAR(Data!$E1042)</f>
        <v>2024</v>
      </c>
      <c r="H1042" s="15" t="s">
        <v>11</v>
      </c>
      <c r="I1042" s="15" t="str">
        <f t="shared" si="16"/>
        <v>Sở ban ngành</v>
      </c>
      <c r="J1042" s="15" t="s">
        <v>1285</v>
      </c>
      <c r="K1042" s="15" t="s">
        <v>1271</v>
      </c>
      <c r="L1042" s="32">
        <f>Data!$D1042/10^6</f>
        <v>22.727273</v>
      </c>
    </row>
    <row r="1043" spans="1:12" x14ac:dyDescent="0.25">
      <c r="A1043" s="29" t="s">
        <v>78</v>
      </c>
      <c r="B1043" s="15" t="s">
        <v>277</v>
      </c>
      <c r="C1043" s="15" t="s">
        <v>14</v>
      </c>
      <c r="D1043" s="16">
        <v>14545455</v>
      </c>
      <c r="E1043" s="17">
        <v>45383</v>
      </c>
      <c r="F1043" s="18">
        <f>MONTH(Data!$E1043)</f>
        <v>4</v>
      </c>
      <c r="G1043" s="16">
        <f>YEAR(Data!$E1043)</f>
        <v>2024</v>
      </c>
      <c r="H1043" s="15" t="s">
        <v>15</v>
      </c>
      <c r="I1043" s="15" t="str">
        <f t="shared" si="16"/>
        <v>Sở ban ngành</v>
      </c>
      <c r="J1043" s="15" t="s">
        <v>1284</v>
      </c>
      <c r="K1043" s="15" t="s">
        <v>1264</v>
      </c>
      <c r="L1043" s="32">
        <f>Data!$D1043/10^6</f>
        <v>14.545455</v>
      </c>
    </row>
    <row r="1044" spans="1:12" x14ac:dyDescent="0.25">
      <c r="A1044" s="29" t="s">
        <v>127</v>
      </c>
      <c r="B1044" s="15" t="s">
        <v>250</v>
      </c>
      <c r="C1044" s="15" t="s">
        <v>149</v>
      </c>
      <c r="D1044" s="16">
        <v>33058909</v>
      </c>
      <c r="E1044" s="17">
        <v>45383</v>
      </c>
      <c r="F1044" s="18">
        <f>MONTH(Data!$E1044)</f>
        <v>4</v>
      </c>
      <c r="G1044" s="16">
        <f>YEAR(Data!$E1044)</f>
        <v>2024</v>
      </c>
      <c r="H1044" s="15" t="s">
        <v>32</v>
      </c>
      <c r="I1044" s="15" t="str">
        <f t="shared" si="16"/>
        <v>Sở ban ngành</v>
      </c>
      <c r="J1044" s="15" t="s">
        <v>1285</v>
      </c>
      <c r="K1044" s="15" t="s">
        <v>1263</v>
      </c>
      <c r="L1044" s="32">
        <f>Data!$D1044/10^6</f>
        <v>33.058909</v>
      </c>
    </row>
    <row r="1045" spans="1:12" x14ac:dyDescent="0.25">
      <c r="A1045" s="29" t="s">
        <v>68</v>
      </c>
      <c r="B1045" s="15" t="s">
        <v>256</v>
      </c>
      <c r="C1045" s="15" t="s">
        <v>10</v>
      </c>
      <c r="D1045" s="16">
        <v>45181818</v>
      </c>
      <c r="E1045" s="17">
        <v>45383</v>
      </c>
      <c r="F1045" s="18">
        <f>MONTH(Data!$E1045)</f>
        <v>4</v>
      </c>
      <c r="G1045" s="16">
        <f>YEAR(Data!$E1045)</f>
        <v>2024</v>
      </c>
      <c r="H1045" s="15" t="s">
        <v>22</v>
      </c>
      <c r="I1045" s="15" t="str">
        <f t="shared" si="16"/>
        <v>Sở ban ngành</v>
      </c>
      <c r="J1045" s="15" t="s">
        <v>1284</v>
      </c>
      <c r="K1045" s="15" t="s">
        <v>1267</v>
      </c>
      <c r="L1045" s="32">
        <f>Data!$D1045/10^6</f>
        <v>45.181818</v>
      </c>
    </row>
    <row r="1046" spans="1:12" x14ac:dyDescent="0.25">
      <c r="A1046" s="29" t="s">
        <v>45</v>
      </c>
      <c r="B1046" s="15" t="s">
        <v>278</v>
      </c>
      <c r="C1046" s="15" t="s">
        <v>149</v>
      </c>
      <c r="D1046" s="16">
        <v>14277727</v>
      </c>
      <c r="E1046" s="17">
        <v>45383</v>
      </c>
      <c r="F1046" s="18">
        <f>MONTH(Data!$E1046)</f>
        <v>4</v>
      </c>
      <c r="G1046" s="16">
        <f>YEAR(Data!$E1046)</f>
        <v>2024</v>
      </c>
      <c r="H1046" s="15" t="s">
        <v>29</v>
      </c>
      <c r="I1046" s="15" t="str">
        <f t="shared" si="16"/>
        <v>Sở ban ngành</v>
      </c>
      <c r="J1046" s="15" t="s">
        <v>1285</v>
      </c>
      <c r="K1046" s="15" t="s">
        <v>1263</v>
      </c>
      <c r="L1046" s="32">
        <f>Data!$D1046/10^6</f>
        <v>14.277727000000001</v>
      </c>
    </row>
    <row r="1047" spans="1:12" x14ac:dyDescent="0.25">
      <c r="A1047" s="29" t="s">
        <v>30</v>
      </c>
      <c r="B1047" s="15" t="s">
        <v>294</v>
      </c>
      <c r="C1047" s="15" t="s">
        <v>10</v>
      </c>
      <c r="D1047" s="16">
        <v>56635455</v>
      </c>
      <c r="E1047" s="17">
        <v>45383</v>
      </c>
      <c r="F1047" s="18">
        <f>MONTH(Data!$E1047)</f>
        <v>4</v>
      </c>
      <c r="G1047" s="16">
        <f>YEAR(Data!$E1047)</f>
        <v>2024</v>
      </c>
      <c r="H1047" s="15" t="s">
        <v>32</v>
      </c>
      <c r="I1047" s="15" t="str">
        <f t="shared" si="16"/>
        <v>Sở ban ngành</v>
      </c>
      <c r="J1047" s="15" t="s">
        <v>1284</v>
      </c>
      <c r="K1047" s="15" t="s">
        <v>1267</v>
      </c>
      <c r="L1047" s="32">
        <f>Data!$D1047/10^6</f>
        <v>56.635455</v>
      </c>
    </row>
    <row r="1048" spans="1:12" x14ac:dyDescent="0.25">
      <c r="A1048" s="29" t="s">
        <v>73</v>
      </c>
      <c r="B1048" s="15" t="s">
        <v>276</v>
      </c>
      <c r="C1048" s="15" t="s">
        <v>10</v>
      </c>
      <c r="D1048" s="16">
        <v>36909091</v>
      </c>
      <c r="E1048" s="17">
        <v>45383</v>
      </c>
      <c r="F1048" s="18">
        <f>MONTH(Data!$E1048)</f>
        <v>4</v>
      </c>
      <c r="G1048" s="16">
        <f>YEAR(Data!$E1048)</f>
        <v>2024</v>
      </c>
      <c r="H1048" s="15" t="s">
        <v>32</v>
      </c>
      <c r="I1048" s="15" t="str">
        <f t="shared" si="16"/>
        <v>Trường học</v>
      </c>
      <c r="J1048" s="15" t="s">
        <v>1285</v>
      </c>
      <c r="K1048" s="15" t="s">
        <v>1263</v>
      </c>
      <c r="L1048" s="32">
        <f>Data!$D1048/10^6</f>
        <v>36.909090999999997</v>
      </c>
    </row>
    <row r="1049" spans="1:12" x14ac:dyDescent="0.25">
      <c r="A1049" s="29" t="s">
        <v>17</v>
      </c>
      <c r="B1049" s="15" t="s">
        <v>287</v>
      </c>
      <c r="C1049" s="15" t="s">
        <v>10</v>
      </c>
      <c r="D1049" s="16">
        <v>35800000</v>
      </c>
      <c r="E1049" s="17">
        <v>45383</v>
      </c>
      <c r="F1049" s="18">
        <f>MONTH(Data!$E1049)</f>
        <v>4</v>
      </c>
      <c r="G1049" s="16">
        <f>YEAR(Data!$E1049)</f>
        <v>2024</v>
      </c>
      <c r="H1049" s="15" t="s">
        <v>11</v>
      </c>
      <c r="I1049" s="15" t="str">
        <f t="shared" si="16"/>
        <v>Trường học</v>
      </c>
      <c r="J1049" s="15" t="s">
        <v>1284</v>
      </c>
      <c r="K1049" s="15" t="s">
        <v>1262</v>
      </c>
      <c r="L1049" s="32">
        <f>Data!$D1049/10^6</f>
        <v>35.799999999999997</v>
      </c>
    </row>
    <row r="1050" spans="1:12" x14ac:dyDescent="0.25">
      <c r="A1050" s="29" t="s">
        <v>17</v>
      </c>
      <c r="B1050" s="15" t="s">
        <v>283</v>
      </c>
      <c r="C1050" s="15" t="s">
        <v>10</v>
      </c>
      <c r="D1050" s="16">
        <v>14300000</v>
      </c>
      <c r="E1050" s="17">
        <v>45383</v>
      </c>
      <c r="F1050" s="18">
        <f>MONTH(Data!$E1050)</f>
        <v>4</v>
      </c>
      <c r="G1050" s="16">
        <f>YEAR(Data!$E1050)</f>
        <v>2024</v>
      </c>
      <c r="H1050" s="15" t="s">
        <v>11</v>
      </c>
      <c r="I1050" s="15" t="str">
        <f t="shared" si="16"/>
        <v>Trường học</v>
      </c>
      <c r="J1050" s="15" t="s">
        <v>1285</v>
      </c>
      <c r="K1050" s="15" t="s">
        <v>1262</v>
      </c>
      <c r="L1050" s="32">
        <f>Data!$D1050/10^6</f>
        <v>14.3</v>
      </c>
    </row>
    <row r="1051" spans="1:12" x14ac:dyDescent="0.25">
      <c r="A1051" s="29" t="s">
        <v>36</v>
      </c>
      <c r="B1051" s="15" t="s">
        <v>213</v>
      </c>
      <c r="C1051" s="15" t="s">
        <v>14</v>
      </c>
      <c r="D1051" s="16">
        <v>39545455</v>
      </c>
      <c r="E1051" s="17">
        <v>45383</v>
      </c>
      <c r="F1051" s="18">
        <f>MONTH(Data!$E1051)</f>
        <v>4</v>
      </c>
      <c r="G1051" s="16">
        <f>YEAR(Data!$E1051)</f>
        <v>2024</v>
      </c>
      <c r="H1051" s="15" t="s">
        <v>15</v>
      </c>
      <c r="I1051" s="15" t="str">
        <f t="shared" si="16"/>
        <v>Trường học</v>
      </c>
      <c r="J1051" s="15" t="s">
        <v>1284</v>
      </c>
      <c r="K1051" s="15" t="s">
        <v>1264</v>
      </c>
      <c r="L1051" s="32">
        <f>Data!$D1051/10^6</f>
        <v>39.545454999999997</v>
      </c>
    </row>
    <row r="1052" spans="1:12" x14ac:dyDescent="0.25">
      <c r="A1052" s="29" t="s">
        <v>36</v>
      </c>
      <c r="B1052" s="15" t="s">
        <v>291</v>
      </c>
      <c r="C1052" s="15" t="s">
        <v>14</v>
      </c>
      <c r="D1052" s="16">
        <v>26363636</v>
      </c>
      <c r="E1052" s="17">
        <v>45383</v>
      </c>
      <c r="F1052" s="18">
        <f>MONTH(Data!$E1052)</f>
        <v>4</v>
      </c>
      <c r="G1052" s="16">
        <f>YEAR(Data!$E1052)</f>
        <v>2024</v>
      </c>
      <c r="H1052" s="15" t="s">
        <v>15</v>
      </c>
      <c r="I1052" s="15" t="str">
        <f t="shared" si="16"/>
        <v>Trường học</v>
      </c>
      <c r="J1052" s="15" t="s">
        <v>1285</v>
      </c>
      <c r="K1052" s="15" t="s">
        <v>1264</v>
      </c>
      <c r="L1052" s="32">
        <f>Data!$D1052/10^6</f>
        <v>26.363636</v>
      </c>
    </row>
    <row r="1053" spans="1:12" x14ac:dyDescent="0.25">
      <c r="A1053" s="29" t="s">
        <v>37</v>
      </c>
      <c r="B1053" s="15" t="s">
        <v>284</v>
      </c>
      <c r="C1053" s="15" t="s">
        <v>10</v>
      </c>
      <c r="D1053" s="16">
        <v>37272727</v>
      </c>
      <c r="E1053" s="17">
        <v>45383</v>
      </c>
      <c r="F1053" s="18">
        <f>MONTH(Data!$E1053)</f>
        <v>4</v>
      </c>
      <c r="G1053" s="16">
        <f>YEAR(Data!$E1053)</f>
        <v>2024</v>
      </c>
      <c r="H1053" s="15" t="s">
        <v>11</v>
      </c>
      <c r="I1053" s="15" t="str">
        <f t="shared" si="16"/>
        <v>Trường học</v>
      </c>
      <c r="J1053" s="15" t="s">
        <v>1284</v>
      </c>
      <c r="K1053" s="15" t="s">
        <v>1263</v>
      </c>
      <c r="L1053" s="32">
        <f>Data!$D1053/10^6</f>
        <v>37.272727000000003</v>
      </c>
    </row>
    <row r="1054" spans="1:12" x14ac:dyDescent="0.25">
      <c r="A1054" s="29" t="s">
        <v>27</v>
      </c>
      <c r="B1054" s="15" t="s">
        <v>267</v>
      </c>
      <c r="C1054" s="15" t="s">
        <v>10</v>
      </c>
      <c r="D1054" s="16">
        <v>61630000</v>
      </c>
      <c r="E1054" s="17">
        <v>45383</v>
      </c>
      <c r="F1054" s="18">
        <f>MONTH(Data!$E1054)</f>
        <v>4</v>
      </c>
      <c r="G1054" s="16">
        <f>YEAR(Data!$E1054)</f>
        <v>2024</v>
      </c>
      <c r="H1054" s="15" t="s">
        <v>11</v>
      </c>
      <c r="I1054" s="15" t="str">
        <f t="shared" si="16"/>
        <v>Trường học</v>
      </c>
      <c r="J1054" s="15" t="s">
        <v>1285</v>
      </c>
      <c r="K1054" s="15" t="s">
        <v>1262</v>
      </c>
      <c r="L1054" s="32">
        <f>Data!$D1054/10^6</f>
        <v>61.63</v>
      </c>
    </row>
    <row r="1055" spans="1:12" x14ac:dyDescent="0.25">
      <c r="A1055" s="29" t="s">
        <v>27</v>
      </c>
      <c r="B1055" s="15" t="s">
        <v>266</v>
      </c>
      <c r="C1055" s="15" t="s">
        <v>10</v>
      </c>
      <c r="D1055" s="16">
        <v>44848000</v>
      </c>
      <c r="E1055" s="17">
        <v>45383</v>
      </c>
      <c r="F1055" s="18">
        <f>MONTH(Data!$E1055)</f>
        <v>4</v>
      </c>
      <c r="G1055" s="16">
        <f>YEAR(Data!$E1055)</f>
        <v>2024</v>
      </c>
      <c r="H1055" s="15" t="s">
        <v>11</v>
      </c>
      <c r="I1055" s="15" t="str">
        <f t="shared" si="16"/>
        <v>Trường học</v>
      </c>
      <c r="J1055" s="15" t="s">
        <v>1284</v>
      </c>
      <c r="K1055" s="15" t="s">
        <v>1262</v>
      </c>
      <c r="L1055" s="32">
        <f>Data!$D1055/10^6</f>
        <v>44.847999999999999</v>
      </c>
    </row>
    <row r="1056" spans="1:12" x14ac:dyDescent="0.25">
      <c r="A1056" s="29" t="s">
        <v>100</v>
      </c>
      <c r="B1056" s="15" t="s">
        <v>269</v>
      </c>
      <c r="C1056" s="15" t="s">
        <v>41</v>
      </c>
      <c r="D1056" s="16">
        <v>87200000</v>
      </c>
      <c r="E1056" s="17">
        <v>45383</v>
      </c>
      <c r="F1056" s="18">
        <f>MONTH(Data!$E1056)</f>
        <v>4</v>
      </c>
      <c r="G1056" s="16">
        <f>YEAR(Data!$E1056)</f>
        <v>2024</v>
      </c>
      <c r="H1056" s="15" t="s">
        <v>42</v>
      </c>
      <c r="I1056" s="15" t="str">
        <f t="shared" si="16"/>
        <v>Trường học</v>
      </c>
      <c r="J1056" s="15" t="s">
        <v>1285</v>
      </c>
      <c r="K1056" s="15" t="s">
        <v>1269</v>
      </c>
      <c r="L1056" s="32">
        <f>Data!$D1056/10^6</f>
        <v>87.2</v>
      </c>
    </row>
    <row r="1057" spans="1:12" x14ac:dyDescent="0.25">
      <c r="A1057" s="29" t="s">
        <v>89</v>
      </c>
      <c r="B1057" s="15" t="s">
        <v>288</v>
      </c>
      <c r="C1057" s="15" t="s">
        <v>10</v>
      </c>
      <c r="D1057" s="16">
        <v>14235000</v>
      </c>
      <c r="E1057" s="17">
        <v>45383</v>
      </c>
      <c r="F1057" s="18">
        <f>MONTH(Data!$E1057)</f>
        <v>4</v>
      </c>
      <c r="G1057" s="16">
        <f>YEAR(Data!$E1057)</f>
        <v>2024</v>
      </c>
      <c r="H1057" s="15" t="s">
        <v>11</v>
      </c>
      <c r="I1057" s="15" t="str">
        <f t="shared" si="16"/>
        <v>Trường học</v>
      </c>
      <c r="J1057" s="15" t="s">
        <v>1284</v>
      </c>
      <c r="K1057" s="15" t="s">
        <v>1263</v>
      </c>
      <c r="L1057" s="32">
        <f>Data!$D1057/10^6</f>
        <v>14.234999999999999</v>
      </c>
    </row>
    <row r="1058" spans="1:12" x14ac:dyDescent="0.25">
      <c r="A1058" s="29" t="s">
        <v>52</v>
      </c>
      <c r="B1058" s="15" t="s">
        <v>258</v>
      </c>
      <c r="C1058" s="15" t="s">
        <v>10</v>
      </c>
      <c r="D1058" s="16">
        <v>43021320</v>
      </c>
      <c r="E1058" s="17">
        <v>45383</v>
      </c>
      <c r="F1058" s="18">
        <f>MONTH(Data!$E1058)</f>
        <v>4</v>
      </c>
      <c r="G1058" s="16">
        <f>YEAR(Data!$E1058)</f>
        <v>2024</v>
      </c>
      <c r="H1058" s="15" t="s">
        <v>35</v>
      </c>
      <c r="I1058" s="15" t="str">
        <f t="shared" si="16"/>
        <v>Trường học</v>
      </c>
      <c r="J1058" s="15" t="s">
        <v>1285</v>
      </c>
      <c r="K1058" s="15" t="s">
        <v>1262</v>
      </c>
      <c r="L1058" s="32">
        <f>Data!$D1058/10^6</f>
        <v>43.021320000000003</v>
      </c>
    </row>
    <row r="1059" spans="1:12" x14ac:dyDescent="0.25">
      <c r="A1059" s="29" t="s">
        <v>56</v>
      </c>
      <c r="B1059" s="15" t="s">
        <v>259</v>
      </c>
      <c r="C1059" s="15" t="s">
        <v>10</v>
      </c>
      <c r="D1059" s="16">
        <v>31772727</v>
      </c>
      <c r="E1059" s="17">
        <v>45383</v>
      </c>
      <c r="F1059" s="18">
        <f>MONTH(Data!$E1059)</f>
        <v>4</v>
      </c>
      <c r="G1059" s="16">
        <f>YEAR(Data!$E1059)</f>
        <v>2024</v>
      </c>
      <c r="H1059" s="15" t="s">
        <v>25</v>
      </c>
      <c r="I1059" s="15" t="str">
        <f t="shared" si="16"/>
        <v>Trường học</v>
      </c>
      <c r="J1059" s="15" t="s">
        <v>1284</v>
      </c>
      <c r="K1059" s="15" t="s">
        <v>1262</v>
      </c>
      <c r="L1059" s="32">
        <f>Data!$D1059/10^6</f>
        <v>31.772727</v>
      </c>
    </row>
    <row r="1060" spans="1:12" x14ac:dyDescent="0.25">
      <c r="A1060" s="29" t="s">
        <v>74</v>
      </c>
      <c r="B1060" s="15" t="s">
        <v>290</v>
      </c>
      <c r="C1060" s="15" t="s">
        <v>149</v>
      </c>
      <c r="D1060" s="16">
        <v>88615455</v>
      </c>
      <c r="E1060" s="17">
        <v>45383</v>
      </c>
      <c r="F1060" s="18">
        <f>MONTH(Data!$E1060)</f>
        <v>4</v>
      </c>
      <c r="G1060" s="16">
        <f>YEAR(Data!$E1060)</f>
        <v>2024</v>
      </c>
      <c r="H1060" s="15" t="s">
        <v>11</v>
      </c>
      <c r="I1060" s="15" t="str">
        <f t="shared" si="16"/>
        <v>Trường học</v>
      </c>
      <c r="J1060" s="15" t="s">
        <v>1285</v>
      </c>
      <c r="K1060" s="15" t="s">
        <v>1266</v>
      </c>
      <c r="L1060" s="32">
        <f>Data!$D1060/10^6</f>
        <v>88.615454999999997</v>
      </c>
    </row>
    <row r="1061" spans="1:12" x14ac:dyDescent="0.25">
      <c r="A1061" s="29" t="s">
        <v>68</v>
      </c>
      <c r="B1061" s="15" t="s">
        <v>185</v>
      </c>
      <c r="C1061" s="15" t="s">
        <v>10</v>
      </c>
      <c r="D1061" s="16">
        <v>44070000</v>
      </c>
      <c r="E1061" s="17">
        <v>45413</v>
      </c>
      <c r="F1061" s="18">
        <f>MONTH(Data!$E1061)</f>
        <v>5</v>
      </c>
      <c r="G1061" s="16">
        <f>YEAR(Data!$E1061)</f>
        <v>2024</v>
      </c>
      <c r="H1061" s="15" t="s">
        <v>22</v>
      </c>
      <c r="I1061" s="15" t="str">
        <f t="shared" si="16"/>
        <v>Bệnh viện</v>
      </c>
      <c r="J1061" s="15" t="s">
        <v>1284</v>
      </c>
      <c r="K1061" s="15" t="s">
        <v>1267</v>
      </c>
      <c r="L1061" s="32">
        <f>Data!$D1061/10^6</f>
        <v>44.07</v>
      </c>
    </row>
    <row r="1062" spans="1:12" x14ac:dyDescent="0.25">
      <c r="A1062" s="29" t="s">
        <v>45</v>
      </c>
      <c r="B1062" s="15" t="s">
        <v>335</v>
      </c>
      <c r="C1062" s="15" t="s">
        <v>14</v>
      </c>
      <c r="D1062" s="16">
        <v>67618182</v>
      </c>
      <c r="E1062" s="17">
        <v>45413</v>
      </c>
      <c r="F1062" s="18">
        <f>MONTH(Data!$E1062)</f>
        <v>5</v>
      </c>
      <c r="G1062" s="16">
        <f>YEAR(Data!$E1062)</f>
        <v>2024</v>
      </c>
      <c r="H1062" s="15" t="s">
        <v>29</v>
      </c>
      <c r="I1062" s="15" t="str">
        <f t="shared" si="16"/>
        <v>Bệnh viện</v>
      </c>
      <c r="J1062" s="15" t="s">
        <v>1285</v>
      </c>
      <c r="K1062" s="15" t="s">
        <v>1264</v>
      </c>
      <c r="L1062" s="32">
        <f>Data!$D1062/10^6</f>
        <v>67.618182000000004</v>
      </c>
    </row>
    <row r="1063" spans="1:12" x14ac:dyDescent="0.25">
      <c r="A1063" s="29" t="s">
        <v>17</v>
      </c>
      <c r="B1063" s="15" t="s">
        <v>340</v>
      </c>
      <c r="C1063" s="15" t="s">
        <v>14</v>
      </c>
      <c r="D1063" s="16">
        <v>192739091</v>
      </c>
      <c r="E1063" s="17">
        <v>45413</v>
      </c>
      <c r="F1063" s="18">
        <f>MONTH(Data!$E1063)</f>
        <v>5</v>
      </c>
      <c r="G1063" s="16">
        <f>YEAR(Data!$E1063)</f>
        <v>2024</v>
      </c>
      <c r="H1063" s="15" t="s">
        <v>11</v>
      </c>
      <c r="I1063" s="15" t="str">
        <f t="shared" si="16"/>
        <v>Bệnh viện</v>
      </c>
      <c r="J1063" s="15" t="s">
        <v>1284</v>
      </c>
      <c r="K1063" s="15" t="s">
        <v>1266</v>
      </c>
      <c r="L1063" s="32">
        <f>Data!$D1063/10^6</f>
        <v>192.739091</v>
      </c>
    </row>
    <row r="1064" spans="1:12" x14ac:dyDescent="0.25">
      <c r="A1064" s="29" t="s">
        <v>50</v>
      </c>
      <c r="B1064" s="15" t="s">
        <v>1025</v>
      </c>
      <c r="C1064" s="15" t="s">
        <v>46</v>
      </c>
      <c r="D1064" s="16">
        <v>1042347443</v>
      </c>
      <c r="E1064" s="17">
        <v>45413</v>
      </c>
      <c r="F1064" s="18">
        <f>MONTH(Data!$E1064)</f>
        <v>5</v>
      </c>
      <c r="G1064" s="16">
        <f>YEAR(Data!$E1064)</f>
        <v>2024</v>
      </c>
      <c r="H1064" s="15" t="s">
        <v>35</v>
      </c>
      <c r="I1064" s="15" t="str">
        <f t="shared" si="16"/>
        <v>Doanh nghiệp</v>
      </c>
      <c r="J1064" s="15" t="s">
        <v>1285</v>
      </c>
      <c r="K1064" s="15" t="s">
        <v>1265</v>
      </c>
      <c r="L1064" s="32">
        <f>Data!$D1064/10^6</f>
        <v>1042.3474430000001</v>
      </c>
    </row>
    <row r="1065" spans="1:12" x14ac:dyDescent="0.25">
      <c r="A1065" s="29" t="s">
        <v>109</v>
      </c>
      <c r="B1065" s="15" t="s">
        <v>1025</v>
      </c>
      <c r="C1065" s="15" t="s">
        <v>149</v>
      </c>
      <c r="D1065" s="16">
        <v>55774364</v>
      </c>
      <c r="E1065" s="17">
        <v>45413</v>
      </c>
      <c r="F1065" s="18">
        <f>MONTH(Data!$E1065)</f>
        <v>5</v>
      </c>
      <c r="G1065" s="16">
        <f>YEAR(Data!$E1065)</f>
        <v>2024</v>
      </c>
      <c r="H1065" s="15" t="s">
        <v>22</v>
      </c>
      <c r="I1065" s="15" t="str">
        <f t="shared" si="16"/>
        <v>Doanh nghiệp</v>
      </c>
      <c r="J1065" s="15" t="s">
        <v>1284</v>
      </c>
      <c r="K1065" s="15" t="s">
        <v>1262</v>
      </c>
      <c r="L1065" s="32">
        <f>Data!$D1065/10^6</f>
        <v>55.774363999999998</v>
      </c>
    </row>
    <row r="1066" spans="1:12" x14ac:dyDescent="0.25">
      <c r="A1066" s="29" t="s">
        <v>8</v>
      </c>
      <c r="B1066" s="15" t="s">
        <v>1025</v>
      </c>
      <c r="C1066" s="15" t="s">
        <v>10</v>
      </c>
      <c r="D1066" s="16">
        <v>24708636</v>
      </c>
      <c r="E1066" s="17">
        <v>45413</v>
      </c>
      <c r="F1066" s="18">
        <f>MONTH(Data!$E1066)</f>
        <v>5</v>
      </c>
      <c r="G1066" s="16">
        <f>YEAR(Data!$E1066)</f>
        <v>2024</v>
      </c>
      <c r="H1066" s="15" t="s">
        <v>11</v>
      </c>
      <c r="I1066" s="15" t="str">
        <f t="shared" si="16"/>
        <v>Doanh nghiệp</v>
      </c>
      <c r="J1066" s="15" t="s">
        <v>1285</v>
      </c>
      <c r="K1066" s="15" t="s">
        <v>1263</v>
      </c>
      <c r="L1066" s="32">
        <f>Data!$D1066/10^6</f>
        <v>24.708635999999998</v>
      </c>
    </row>
    <row r="1067" spans="1:12" x14ac:dyDescent="0.25">
      <c r="A1067" s="29" t="s">
        <v>8</v>
      </c>
      <c r="B1067" s="15" t="s">
        <v>1025</v>
      </c>
      <c r="C1067" s="15" t="s">
        <v>46</v>
      </c>
      <c r="D1067" s="16">
        <v>90681818</v>
      </c>
      <c r="E1067" s="17">
        <v>45413</v>
      </c>
      <c r="F1067" s="18">
        <f>MONTH(Data!$E1067)</f>
        <v>5</v>
      </c>
      <c r="G1067" s="16">
        <f>YEAR(Data!$E1067)</f>
        <v>2024</v>
      </c>
      <c r="H1067" s="15" t="s">
        <v>11</v>
      </c>
      <c r="I1067" s="15" t="str">
        <f t="shared" si="16"/>
        <v>Doanh nghiệp</v>
      </c>
      <c r="J1067" s="15" t="s">
        <v>1284</v>
      </c>
      <c r="K1067" s="15" t="s">
        <v>1271</v>
      </c>
      <c r="L1067" s="32">
        <f>Data!$D1067/10^6</f>
        <v>90.681818000000007</v>
      </c>
    </row>
    <row r="1068" spans="1:12" x14ac:dyDescent="0.25">
      <c r="A1068" s="29" t="s">
        <v>52</v>
      </c>
      <c r="B1068" s="15" t="s">
        <v>1041</v>
      </c>
      <c r="C1068" s="15" t="s">
        <v>14</v>
      </c>
      <c r="D1068" s="16">
        <v>336600008</v>
      </c>
      <c r="E1068" s="17">
        <v>45413</v>
      </c>
      <c r="F1068" s="18">
        <f>MONTH(Data!$E1068)</f>
        <v>5</v>
      </c>
      <c r="G1068" s="16">
        <f>YEAR(Data!$E1068)</f>
        <v>2024</v>
      </c>
      <c r="H1068" s="15" t="s">
        <v>35</v>
      </c>
      <c r="I1068" s="15" t="str">
        <f t="shared" si="16"/>
        <v>Doanh nghiệp</v>
      </c>
      <c r="J1068" s="15" t="s">
        <v>1285</v>
      </c>
      <c r="K1068" s="15" t="s">
        <v>1264</v>
      </c>
      <c r="L1068" s="32">
        <f>Data!$D1068/10^6</f>
        <v>336.600008</v>
      </c>
    </row>
    <row r="1069" spans="1:12" x14ac:dyDescent="0.25">
      <c r="A1069" s="29" t="s">
        <v>157</v>
      </c>
      <c r="B1069" s="15" t="s">
        <v>1058</v>
      </c>
      <c r="C1069" s="15" t="s">
        <v>46</v>
      </c>
      <c r="D1069" s="16">
        <v>1294055000</v>
      </c>
      <c r="E1069" s="17">
        <v>45413</v>
      </c>
      <c r="F1069" s="18">
        <f>MONTH(Data!$E1069)</f>
        <v>5</v>
      </c>
      <c r="G1069" s="16">
        <f>YEAR(Data!$E1069)</f>
        <v>2024</v>
      </c>
      <c r="H1069" s="15" t="s">
        <v>32</v>
      </c>
      <c r="I1069" s="15" t="str">
        <f t="shared" si="16"/>
        <v>Doanh nghiệp</v>
      </c>
      <c r="J1069" s="15" t="s">
        <v>1284</v>
      </c>
      <c r="K1069" s="15" t="s">
        <v>1265</v>
      </c>
      <c r="L1069" s="32">
        <f>Data!$D1069/10^6</f>
        <v>1294.0550000000001</v>
      </c>
    </row>
    <row r="1070" spans="1:12" x14ac:dyDescent="0.25">
      <c r="A1070" s="29" t="s">
        <v>30</v>
      </c>
      <c r="B1070" s="15" t="s">
        <v>1058</v>
      </c>
      <c r="C1070" s="15" t="s">
        <v>149</v>
      </c>
      <c r="D1070" s="16">
        <v>139520291</v>
      </c>
      <c r="E1070" s="17">
        <v>45413</v>
      </c>
      <c r="F1070" s="18">
        <f>MONTH(Data!$E1070)</f>
        <v>5</v>
      </c>
      <c r="G1070" s="16">
        <f>YEAR(Data!$E1070)</f>
        <v>2024</v>
      </c>
      <c r="H1070" s="15" t="s">
        <v>32</v>
      </c>
      <c r="I1070" s="15" t="str">
        <f t="shared" si="16"/>
        <v>Doanh nghiệp</v>
      </c>
      <c r="J1070" s="15" t="s">
        <v>1285</v>
      </c>
      <c r="K1070" s="15" t="s">
        <v>1265</v>
      </c>
      <c r="L1070" s="32">
        <f>Data!$D1070/10^6</f>
        <v>139.52029099999999</v>
      </c>
    </row>
    <row r="1071" spans="1:12" x14ac:dyDescent="0.25">
      <c r="A1071" s="29" t="s">
        <v>109</v>
      </c>
      <c r="B1071" s="15" t="s">
        <v>1061</v>
      </c>
      <c r="C1071" s="15" t="s">
        <v>14</v>
      </c>
      <c r="D1071" s="16">
        <v>95922900</v>
      </c>
      <c r="E1071" s="17">
        <v>45413</v>
      </c>
      <c r="F1071" s="18">
        <f>MONTH(Data!$E1071)</f>
        <v>5</v>
      </c>
      <c r="G1071" s="16">
        <f>YEAR(Data!$E1071)</f>
        <v>2024</v>
      </c>
      <c r="H1071" s="15" t="s">
        <v>22</v>
      </c>
      <c r="I1071" s="15" t="str">
        <f t="shared" si="16"/>
        <v>Doanh nghiệp</v>
      </c>
      <c r="J1071" s="15" t="s">
        <v>1284</v>
      </c>
      <c r="K1071" s="15" t="s">
        <v>1272</v>
      </c>
      <c r="L1071" s="32">
        <f>Data!$D1071/10^6</f>
        <v>95.922899999999998</v>
      </c>
    </row>
    <row r="1072" spans="1:12" x14ac:dyDescent="0.25">
      <c r="A1072" s="29" t="s">
        <v>48</v>
      </c>
      <c r="B1072" s="15" t="s">
        <v>1067</v>
      </c>
      <c r="C1072" s="15" t="s">
        <v>149</v>
      </c>
      <c r="D1072" s="16">
        <v>73409091</v>
      </c>
      <c r="E1072" s="17">
        <v>45413</v>
      </c>
      <c r="F1072" s="18">
        <f>MONTH(Data!$E1072)</f>
        <v>5</v>
      </c>
      <c r="G1072" s="16">
        <f>YEAR(Data!$E1072)</f>
        <v>2024</v>
      </c>
      <c r="H1072" s="15" t="s">
        <v>25</v>
      </c>
      <c r="I1072" s="15" t="str">
        <f t="shared" si="16"/>
        <v>Doanh nghiệp</v>
      </c>
      <c r="J1072" s="15" t="s">
        <v>1285</v>
      </c>
      <c r="K1072" s="15" t="s">
        <v>1264</v>
      </c>
      <c r="L1072" s="32">
        <f>Data!$D1072/10^6</f>
        <v>73.409091000000004</v>
      </c>
    </row>
    <row r="1073" spans="1:12" x14ac:dyDescent="0.25">
      <c r="A1073" s="29" t="s">
        <v>85</v>
      </c>
      <c r="B1073" s="15" t="s">
        <v>1073</v>
      </c>
      <c r="C1073" s="15" t="s">
        <v>10</v>
      </c>
      <c r="D1073" s="16">
        <v>399877500</v>
      </c>
      <c r="E1073" s="17">
        <v>45413</v>
      </c>
      <c r="F1073" s="18">
        <f>MONTH(Data!$E1073)</f>
        <v>5</v>
      </c>
      <c r="G1073" s="16">
        <f>YEAR(Data!$E1073)</f>
        <v>2024</v>
      </c>
      <c r="H1073" s="15" t="s">
        <v>15</v>
      </c>
      <c r="I1073" s="15" t="str">
        <f t="shared" si="16"/>
        <v>Doanh nghiệp</v>
      </c>
      <c r="J1073" s="15" t="s">
        <v>1284</v>
      </c>
      <c r="K1073" s="15" t="s">
        <v>1267</v>
      </c>
      <c r="L1073" s="32">
        <f>Data!$D1073/10^6</f>
        <v>399.8775</v>
      </c>
    </row>
    <row r="1074" spans="1:12" x14ac:dyDescent="0.25">
      <c r="A1074" s="29" t="s">
        <v>21</v>
      </c>
      <c r="B1074" s="15" t="s">
        <v>1085</v>
      </c>
      <c r="C1074" s="15" t="s">
        <v>10</v>
      </c>
      <c r="D1074" s="16">
        <v>92298764</v>
      </c>
      <c r="E1074" s="17">
        <v>45413</v>
      </c>
      <c r="F1074" s="18">
        <f>MONTH(Data!$E1074)</f>
        <v>5</v>
      </c>
      <c r="G1074" s="16">
        <f>YEAR(Data!$E1074)</f>
        <v>2024</v>
      </c>
      <c r="H1074" s="15" t="s">
        <v>22</v>
      </c>
      <c r="I1074" s="15" t="str">
        <f t="shared" si="16"/>
        <v>Doanh nghiệp</v>
      </c>
      <c r="J1074" s="15" t="s">
        <v>1285</v>
      </c>
      <c r="K1074" s="15" t="s">
        <v>1267</v>
      </c>
      <c r="L1074" s="32">
        <f>Data!$D1074/10^6</f>
        <v>92.298764000000006</v>
      </c>
    </row>
    <row r="1075" spans="1:12" x14ac:dyDescent="0.25">
      <c r="A1075" s="29" t="s">
        <v>21</v>
      </c>
      <c r="B1075" s="15" t="s">
        <v>1086</v>
      </c>
      <c r="C1075" s="15" t="s">
        <v>10</v>
      </c>
      <c r="D1075" s="16">
        <v>445363636</v>
      </c>
      <c r="E1075" s="17">
        <v>45413</v>
      </c>
      <c r="F1075" s="18">
        <f>MONTH(Data!$E1075)</f>
        <v>5</v>
      </c>
      <c r="G1075" s="16">
        <f>YEAR(Data!$E1075)</f>
        <v>2024</v>
      </c>
      <c r="H1075" s="15" t="s">
        <v>22</v>
      </c>
      <c r="I1075" s="15" t="str">
        <f t="shared" si="16"/>
        <v>Doanh nghiệp</v>
      </c>
      <c r="J1075" s="15" t="s">
        <v>1284</v>
      </c>
      <c r="K1075" s="15" t="s">
        <v>1267</v>
      </c>
      <c r="L1075" s="32">
        <f>Data!$D1075/10^6</f>
        <v>445.36363599999999</v>
      </c>
    </row>
    <row r="1076" spans="1:12" x14ac:dyDescent="0.25">
      <c r="A1076" s="29" t="s">
        <v>51</v>
      </c>
      <c r="B1076" s="15" t="s">
        <v>1094</v>
      </c>
      <c r="C1076" s="15" t="s">
        <v>10</v>
      </c>
      <c r="D1076" s="16">
        <v>69631337</v>
      </c>
      <c r="E1076" s="17">
        <v>45413</v>
      </c>
      <c r="F1076" s="18">
        <f>MONTH(Data!$E1076)</f>
        <v>5</v>
      </c>
      <c r="G1076" s="16">
        <f>YEAR(Data!$E1076)</f>
        <v>2024</v>
      </c>
      <c r="H1076" s="15" t="s">
        <v>42</v>
      </c>
      <c r="I1076" s="15" t="str">
        <f t="shared" si="16"/>
        <v>Doanh nghiệp</v>
      </c>
      <c r="J1076" s="15" t="s">
        <v>1285</v>
      </c>
      <c r="K1076" s="15" t="s">
        <v>1263</v>
      </c>
      <c r="L1076" s="32">
        <f>Data!$D1076/10^6</f>
        <v>69.631337000000002</v>
      </c>
    </row>
    <row r="1077" spans="1:12" x14ac:dyDescent="0.25">
      <c r="A1077" s="29" t="s">
        <v>75</v>
      </c>
      <c r="B1077" s="15" t="s">
        <v>1101</v>
      </c>
      <c r="C1077" s="15" t="s">
        <v>10</v>
      </c>
      <c r="D1077" s="16">
        <v>4136364</v>
      </c>
      <c r="E1077" s="17">
        <v>45413</v>
      </c>
      <c r="F1077" s="18">
        <f>MONTH(Data!$E1077)</f>
        <v>5</v>
      </c>
      <c r="G1077" s="16">
        <f>YEAR(Data!$E1077)</f>
        <v>2024</v>
      </c>
      <c r="H1077" s="15" t="s">
        <v>15</v>
      </c>
      <c r="I1077" s="15" t="str">
        <f t="shared" si="16"/>
        <v>Doanh nghiệp</v>
      </c>
      <c r="J1077" s="15" t="s">
        <v>1284</v>
      </c>
      <c r="K1077" s="15" t="s">
        <v>1263</v>
      </c>
      <c r="L1077" s="32">
        <f>Data!$D1077/10^6</f>
        <v>4.1363640000000004</v>
      </c>
    </row>
    <row r="1078" spans="1:12" x14ac:dyDescent="0.25">
      <c r="A1078" s="29" t="s">
        <v>75</v>
      </c>
      <c r="B1078" s="15" t="s">
        <v>1102</v>
      </c>
      <c r="C1078" s="15" t="s">
        <v>10</v>
      </c>
      <c r="D1078" s="16">
        <v>4136364</v>
      </c>
      <c r="E1078" s="17">
        <v>45413</v>
      </c>
      <c r="F1078" s="18">
        <f>MONTH(Data!$E1078)</f>
        <v>5</v>
      </c>
      <c r="G1078" s="16">
        <f>YEAR(Data!$E1078)</f>
        <v>2024</v>
      </c>
      <c r="H1078" s="15" t="s">
        <v>15</v>
      </c>
      <c r="I1078" s="15" t="str">
        <f t="shared" si="16"/>
        <v>Doanh nghiệp</v>
      </c>
      <c r="J1078" s="15" t="s">
        <v>1285</v>
      </c>
      <c r="K1078" s="15" t="s">
        <v>1263</v>
      </c>
      <c r="L1078" s="32">
        <f>Data!$D1078/10^6</f>
        <v>4.1363640000000004</v>
      </c>
    </row>
    <row r="1079" spans="1:12" x14ac:dyDescent="0.25">
      <c r="A1079" s="29" t="s">
        <v>75</v>
      </c>
      <c r="B1079" s="15" t="s">
        <v>1108</v>
      </c>
      <c r="C1079" s="15" t="s">
        <v>10</v>
      </c>
      <c r="D1079" s="16">
        <v>5136364</v>
      </c>
      <c r="E1079" s="17">
        <v>45413</v>
      </c>
      <c r="F1079" s="18">
        <f>MONTH(Data!$E1079)</f>
        <v>5</v>
      </c>
      <c r="G1079" s="16">
        <f>YEAR(Data!$E1079)</f>
        <v>2024</v>
      </c>
      <c r="H1079" s="15" t="s">
        <v>15</v>
      </c>
      <c r="I1079" s="15" t="str">
        <f t="shared" si="16"/>
        <v>Doanh nghiệp</v>
      </c>
      <c r="J1079" s="15" t="s">
        <v>1284</v>
      </c>
      <c r="K1079" s="15" t="s">
        <v>1267</v>
      </c>
      <c r="L1079" s="32">
        <f>Data!$D1079/10^6</f>
        <v>5.1363640000000004</v>
      </c>
    </row>
    <row r="1080" spans="1:12" x14ac:dyDescent="0.25">
      <c r="A1080" s="29" t="s">
        <v>30</v>
      </c>
      <c r="B1080" s="15" t="s">
        <v>1029</v>
      </c>
      <c r="C1080" s="15" t="s">
        <v>10</v>
      </c>
      <c r="D1080" s="16">
        <v>400199091</v>
      </c>
      <c r="E1080" s="17">
        <v>45413</v>
      </c>
      <c r="F1080" s="18">
        <f>MONTH(Data!$E1080)</f>
        <v>5</v>
      </c>
      <c r="G1080" s="16">
        <f>YEAR(Data!$E1080)</f>
        <v>2024</v>
      </c>
      <c r="H1080" s="15" t="s">
        <v>32</v>
      </c>
      <c r="I1080" s="15" t="str">
        <f t="shared" si="16"/>
        <v>Doanh nghiệp</v>
      </c>
      <c r="J1080" s="15" t="s">
        <v>1285</v>
      </c>
      <c r="K1080" s="15" t="s">
        <v>1262</v>
      </c>
      <c r="L1080" s="32">
        <f>Data!$D1080/10^6</f>
        <v>400.19909100000001</v>
      </c>
    </row>
    <row r="1081" spans="1:12" x14ac:dyDescent="0.25">
      <c r="A1081" s="29" t="s">
        <v>21</v>
      </c>
      <c r="B1081" s="15" t="s">
        <v>1119</v>
      </c>
      <c r="C1081" s="15" t="s">
        <v>149</v>
      </c>
      <c r="D1081" s="16">
        <v>4745455</v>
      </c>
      <c r="E1081" s="17">
        <v>45413</v>
      </c>
      <c r="F1081" s="18">
        <f>MONTH(Data!$E1081)</f>
        <v>5</v>
      </c>
      <c r="G1081" s="16">
        <f>YEAR(Data!$E1081)</f>
        <v>2024</v>
      </c>
      <c r="H1081" s="15" t="s">
        <v>22</v>
      </c>
      <c r="I1081" s="15" t="str">
        <f t="shared" si="16"/>
        <v>Doanh nghiệp</v>
      </c>
      <c r="J1081" s="15" t="s">
        <v>1284</v>
      </c>
      <c r="K1081" s="15" t="s">
        <v>1264</v>
      </c>
      <c r="L1081" s="32">
        <f>Data!$D1081/10^6</f>
        <v>4.7454549999999998</v>
      </c>
    </row>
    <row r="1082" spans="1:12" x14ac:dyDescent="0.25">
      <c r="A1082" s="29" t="s">
        <v>128</v>
      </c>
      <c r="B1082" s="15" t="s">
        <v>1048</v>
      </c>
      <c r="C1082" s="15" t="s">
        <v>10</v>
      </c>
      <c r="D1082" s="16">
        <v>249330000</v>
      </c>
      <c r="E1082" s="17">
        <v>45413</v>
      </c>
      <c r="F1082" s="18">
        <f>MONTH(Data!$E1082)</f>
        <v>5</v>
      </c>
      <c r="G1082" s="16">
        <f>YEAR(Data!$E1082)</f>
        <v>2024</v>
      </c>
      <c r="H1082" s="15" t="s">
        <v>42</v>
      </c>
      <c r="I1082" s="15" t="str">
        <f t="shared" si="16"/>
        <v>Doanh nghiệp</v>
      </c>
      <c r="J1082" s="15" t="s">
        <v>1285</v>
      </c>
      <c r="K1082" s="15" t="s">
        <v>1263</v>
      </c>
      <c r="L1082" s="32">
        <f>Data!$D1082/10^6</f>
        <v>249.33</v>
      </c>
    </row>
    <row r="1083" spans="1:12" x14ac:dyDescent="0.25">
      <c r="A1083" s="29" t="s">
        <v>111</v>
      </c>
      <c r="B1083" s="15" t="s">
        <v>1054</v>
      </c>
      <c r="C1083" s="15" t="s">
        <v>10</v>
      </c>
      <c r="D1083" s="16">
        <v>54031818</v>
      </c>
      <c r="E1083" s="17">
        <v>45413</v>
      </c>
      <c r="F1083" s="18">
        <f>MONTH(Data!$E1083)</f>
        <v>5</v>
      </c>
      <c r="G1083" s="16">
        <f>YEAR(Data!$E1083)</f>
        <v>2024</v>
      </c>
      <c r="H1083" s="15" t="s">
        <v>22</v>
      </c>
      <c r="I1083" s="15" t="str">
        <f t="shared" si="16"/>
        <v>Doanh nghiệp</v>
      </c>
      <c r="J1083" s="15" t="s">
        <v>1284</v>
      </c>
      <c r="K1083" s="15" t="s">
        <v>1263</v>
      </c>
      <c r="L1083" s="32">
        <f>Data!$D1083/10^6</f>
        <v>54.031818000000001</v>
      </c>
    </row>
    <row r="1084" spans="1:12" x14ac:dyDescent="0.25">
      <c r="A1084" s="29" t="s">
        <v>191</v>
      </c>
      <c r="B1084" s="15" t="s">
        <v>1061</v>
      </c>
      <c r="C1084" s="15" t="s">
        <v>46</v>
      </c>
      <c r="D1084" s="16">
        <v>47127273</v>
      </c>
      <c r="E1084" s="17">
        <v>45413</v>
      </c>
      <c r="F1084" s="18">
        <f>MONTH(Data!$E1084)</f>
        <v>5</v>
      </c>
      <c r="G1084" s="16">
        <f>YEAR(Data!$E1084)</f>
        <v>2024</v>
      </c>
      <c r="H1084" s="15" t="s">
        <v>35</v>
      </c>
      <c r="I1084" s="15" t="str">
        <f t="shared" si="16"/>
        <v>Doanh nghiệp</v>
      </c>
      <c r="J1084" s="15" t="s">
        <v>1285</v>
      </c>
      <c r="K1084" s="15" t="s">
        <v>1265</v>
      </c>
      <c r="L1084" s="32">
        <f>Data!$D1084/10^6</f>
        <v>47.127273000000002</v>
      </c>
    </row>
    <row r="1085" spans="1:12" x14ac:dyDescent="0.25">
      <c r="A1085" s="29" t="s">
        <v>30</v>
      </c>
      <c r="B1085" s="15" t="s">
        <v>1068</v>
      </c>
      <c r="C1085" s="15" t="s">
        <v>10</v>
      </c>
      <c r="D1085" s="16">
        <v>17968182</v>
      </c>
      <c r="E1085" s="17">
        <v>45413</v>
      </c>
      <c r="F1085" s="18">
        <f>MONTH(Data!$E1085)</f>
        <v>5</v>
      </c>
      <c r="G1085" s="16">
        <f>YEAR(Data!$E1085)</f>
        <v>2024</v>
      </c>
      <c r="H1085" s="15" t="s">
        <v>32</v>
      </c>
      <c r="I1085" s="15" t="str">
        <f t="shared" si="16"/>
        <v>Doanh nghiệp</v>
      </c>
      <c r="J1085" s="15" t="s">
        <v>1284</v>
      </c>
      <c r="K1085" s="15" t="s">
        <v>1263</v>
      </c>
      <c r="L1085" s="32">
        <f>Data!$D1085/10^6</f>
        <v>17.968181999999999</v>
      </c>
    </row>
    <row r="1086" spans="1:12" x14ac:dyDescent="0.25">
      <c r="A1086" s="29" t="s">
        <v>74</v>
      </c>
      <c r="B1086" s="15" t="s">
        <v>1079</v>
      </c>
      <c r="C1086" s="15" t="s">
        <v>149</v>
      </c>
      <c r="D1086" s="16">
        <v>11511818</v>
      </c>
      <c r="E1086" s="17">
        <v>45413</v>
      </c>
      <c r="F1086" s="18">
        <f>MONTH(Data!$E1086)</f>
        <v>5</v>
      </c>
      <c r="G1086" s="16">
        <f>YEAR(Data!$E1086)</f>
        <v>2024</v>
      </c>
      <c r="H1086" s="15" t="s">
        <v>11</v>
      </c>
      <c r="I1086" s="15" t="str">
        <f t="shared" si="16"/>
        <v>Doanh nghiệp</v>
      </c>
      <c r="J1086" s="15" t="s">
        <v>1285</v>
      </c>
      <c r="K1086" s="15" t="s">
        <v>1273</v>
      </c>
      <c r="L1086" s="32">
        <f>Data!$D1086/10^6</f>
        <v>11.511818</v>
      </c>
    </row>
    <row r="1087" spans="1:12" x14ac:dyDescent="0.25">
      <c r="A1087" s="29" t="s">
        <v>8</v>
      </c>
      <c r="B1087" s="15" t="s">
        <v>1083</v>
      </c>
      <c r="C1087" s="15" t="s">
        <v>10</v>
      </c>
      <c r="D1087" s="16">
        <v>32583636</v>
      </c>
      <c r="E1087" s="17">
        <v>45413</v>
      </c>
      <c r="F1087" s="18">
        <f>MONTH(Data!$E1087)</f>
        <v>5</v>
      </c>
      <c r="G1087" s="16">
        <f>YEAR(Data!$E1087)</f>
        <v>2024</v>
      </c>
      <c r="H1087" s="15" t="s">
        <v>11</v>
      </c>
      <c r="I1087" s="15" t="str">
        <f t="shared" si="16"/>
        <v>Doanh nghiệp</v>
      </c>
      <c r="J1087" s="15" t="s">
        <v>1284</v>
      </c>
      <c r="K1087" s="15" t="s">
        <v>1263</v>
      </c>
      <c r="L1087" s="32">
        <f>Data!$D1087/10^6</f>
        <v>32.583635999999998</v>
      </c>
    </row>
    <row r="1088" spans="1:12" x14ac:dyDescent="0.25">
      <c r="A1088" s="29" t="s">
        <v>52</v>
      </c>
      <c r="B1088" s="15" t="s">
        <v>1087</v>
      </c>
      <c r="C1088" s="15" t="s">
        <v>149</v>
      </c>
      <c r="D1088" s="16">
        <v>220000000</v>
      </c>
      <c r="E1088" s="17">
        <v>45413</v>
      </c>
      <c r="F1088" s="18">
        <f>MONTH(Data!$E1088)</f>
        <v>5</v>
      </c>
      <c r="G1088" s="16">
        <f>YEAR(Data!$E1088)</f>
        <v>2024</v>
      </c>
      <c r="H1088" s="15" t="s">
        <v>35</v>
      </c>
      <c r="I1088" s="15" t="str">
        <f t="shared" si="16"/>
        <v>Doanh nghiệp</v>
      </c>
      <c r="J1088" s="15" t="s">
        <v>1285</v>
      </c>
      <c r="K1088" s="15" t="s">
        <v>1264</v>
      </c>
      <c r="L1088" s="32">
        <f>Data!$D1088/10^6</f>
        <v>220</v>
      </c>
    </row>
    <row r="1089" spans="1:12" x14ac:dyDescent="0.25">
      <c r="A1089" s="29" t="s">
        <v>160</v>
      </c>
      <c r="B1089" s="15" t="s">
        <v>1095</v>
      </c>
      <c r="C1089" s="15" t="s">
        <v>10</v>
      </c>
      <c r="D1089" s="16">
        <v>47354545</v>
      </c>
      <c r="E1089" s="17">
        <v>45413</v>
      </c>
      <c r="F1089" s="18">
        <f>MONTH(Data!$E1089)</f>
        <v>5</v>
      </c>
      <c r="G1089" s="16">
        <f>YEAR(Data!$E1089)</f>
        <v>2024</v>
      </c>
      <c r="H1089" s="15" t="s">
        <v>35</v>
      </c>
      <c r="I1089" s="15" t="str">
        <f t="shared" si="16"/>
        <v>Doanh nghiệp</v>
      </c>
      <c r="J1089" s="15" t="s">
        <v>1284</v>
      </c>
      <c r="K1089" s="15" t="s">
        <v>1276</v>
      </c>
      <c r="L1089" s="32">
        <f>Data!$D1089/10^6</f>
        <v>47.354545000000002</v>
      </c>
    </row>
    <row r="1090" spans="1:12" x14ac:dyDescent="0.25">
      <c r="A1090" s="29" t="s">
        <v>74</v>
      </c>
      <c r="B1090" s="15" t="s">
        <v>1112</v>
      </c>
      <c r="C1090" s="15" t="s">
        <v>14</v>
      </c>
      <c r="D1090" s="16">
        <v>87880000</v>
      </c>
      <c r="E1090" s="17">
        <v>45413</v>
      </c>
      <c r="F1090" s="18">
        <f>MONTH(Data!$E1090)</f>
        <v>5</v>
      </c>
      <c r="G1090" s="16">
        <f>YEAR(Data!$E1090)</f>
        <v>2024</v>
      </c>
      <c r="H1090" s="15" t="s">
        <v>11</v>
      </c>
      <c r="I1090" s="15" t="str">
        <f t="shared" si="16"/>
        <v>Doanh nghiệp</v>
      </c>
      <c r="J1090" s="15" t="s">
        <v>1285</v>
      </c>
      <c r="K1090" s="15" t="s">
        <v>1266</v>
      </c>
      <c r="L1090" s="32">
        <f>Data!$D1090/10^6</f>
        <v>87.88</v>
      </c>
    </row>
    <row r="1091" spans="1:12" x14ac:dyDescent="0.25">
      <c r="A1091" s="29" t="s">
        <v>74</v>
      </c>
      <c r="B1091" s="15" t="s">
        <v>1113</v>
      </c>
      <c r="C1091" s="15" t="s">
        <v>10</v>
      </c>
      <c r="D1091" s="16">
        <v>456900000</v>
      </c>
      <c r="E1091" s="17">
        <v>45413</v>
      </c>
      <c r="F1091" s="18">
        <f>MONTH(Data!$E1091)</f>
        <v>5</v>
      </c>
      <c r="G1091" s="16">
        <f>YEAR(Data!$E1091)</f>
        <v>2024</v>
      </c>
      <c r="H1091" s="15" t="s">
        <v>11</v>
      </c>
      <c r="I1091" s="15" t="str">
        <f t="shared" ref="I1091:I1154" si="17">IF(ISNUMBER(SEARCH("Công ty",$B1091)),"Doanh nghiệp",IF(ISNUMBER(SEARCH("Doanh nghiệp",$B1091)),"Doanh nghiệp",IF(ISNUMBER(SEARCH("Tập đoàn",$B1091)),"Doanh nghiệp",
IF(ISNUMBER(SEARCH("Bệnh viện",$B1091)),"Bệnh viện",
IF(ISNUMBER(SEARCH("Ngân hàng",$B1091)),"Ngân hàng",IF(ISNUMBER(SEARCH("trường",$B1091)),"Trường học",IF(ISNUMBER(SEARCH("học viện",$B1091)),"Trường học",
IF(ISNUMBER(SEARCH("Bộ",$B1091)),"Sở ban ngành",IF(ISNUMBER(SEARCH("Đoàn",$B1091)),"Sở ban ngành",IF(ISNUMBER(SEARCH("Phòng",$B1091)),"Sở ban ngành",IF(ISNUMBER(SEARCH("UBND",$B1091)),"Sở ban ngành",IF(ISNUMBER(SEARCH("ủy ban",$B1091)),"Sở ban ngành",IF(ISNUMBER(SEARCH("công an",$B1091)),"Sở ban ngành",IF(ISNUMBER(SEARCH("sở",$B1091)),"Sở ban ngành",IF(ISNUMBER(SEARCH("thôn",$B1091)),"Sở ban ngành",IF(ISNUMBER(SEARCH("xã",$B1091)),"Sở ban ngành",IF(ISNUMBER(SEARCH("quân khu",$B1091)),"Sở ban ngành",IF(ISNUMBER(SEARCH("cục",$B1091)),"Sở ban ngành",IF(ISNUMBER(SEARCH("viện",$B1091)),"Sở ban ngành",IF(ISNUMBER(SEARCH("quỹ",$B1091)),"Sở ban ngành",IF(ISNUMBER(SEARCH("trung tâm",$B1091)),"Sở ban ngành",IF(ISNUMBER(SEARCH("quân chủng",$B1091)),"Sở ban ngành",IF(ISNUMBER(SEARCH("hội",$B1091)),"Sở ban ngành",
"Khác")))))))))))))))))))))))</f>
        <v>Doanh nghiệp</v>
      </c>
      <c r="J1091" s="15" t="s">
        <v>1284</v>
      </c>
      <c r="K1091" s="15" t="s">
        <v>1263</v>
      </c>
      <c r="L1091" s="32">
        <f>Data!$D1091/10^6</f>
        <v>456.9</v>
      </c>
    </row>
    <row r="1092" spans="1:12" x14ac:dyDescent="0.25">
      <c r="A1092" s="29" t="s">
        <v>127</v>
      </c>
      <c r="B1092" s="15" t="s">
        <v>1037</v>
      </c>
      <c r="C1092" s="15" t="s">
        <v>10</v>
      </c>
      <c r="D1092" s="16">
        <v>24390000</v>
      </c>
      <c r="E1092" s="17">
        <v>45413</v>
      </c>
      <c r="F1092" s="18">
        <f>MONTH(Data!$E1092)</f>
        <v>5</v>
      </c>
      <c r="G1092" s="16">
        <f>YEAR(Data!$E1092)</f>
        <v>2024</v>
      </c>
      <c r="H1092" s="15" t="s">
        <v>32</v>
      </c>
      <c r="I1092" s="15" t="str">
        <f t="shared" si="17"/>
        <v>Doanh nghiệp</v>
      </c>
      <c r="J1092" s="15" t="s">
        <v>1285</v>
      </c>
      <c r="K1092" s="15" t="s">
        <v>1262</v>
      </c>
      <c r="L1092" s="32">
        <f>Data!$D1092/10^6</f>
        <v>24.39</v>
      </c>
    </row>
    <row r="1093" spans="1:12" x14ac:dyDescent="0.25">
      <c r="A1093" s="29" t="s">
        <v>27</v>
      </c>
      <c r="B1093" s="15" t="s">
        <v>1047</v>
      </c>
      <c r="C1093" s="15" t="s">
        <v>46</v>
      </c>
      <c r="D1093" s="16">
        <v>9647295740</v>
      </c>
      <c r="E1093" s="17">
        <v>45413</v>
      </c>
      <c r="F1093" s="18">
        <f>MONTH(Data!$E1093)</f>
        <v>5</v>
      </c>
      <c r="G1093" s="16">
        <f>YEAR(Data!$E1093)</f>
        <v>2024</v>
      </c>
      <c r="H1093" s="15" t="s">
        <v>11</v>
      </c>
      <c r="I1093" s="15" t="str">
        <f t="shared" si="17"/>
        <v>Doanh nghiệp</v>
      </c>
      <c r="J1093" s="15" t="s">
        <v>1284</v>
      </c>
      <c r="K1093" s="15" t="s">
        <v>1265</v>
      </c>
      <c r="L1093" s="32">
        <f>Data!$D1093/10^6</f>
        <v>9647.2957399999996</v>
      </c>
    </row>
    <row r="1094" spans="1:12" x14ac:dyDescent="0.25">
      <c r="A1094" s="29" t="s">
        <v>30</v>
      </c>
      <c r="B1094" s="15" t="s">
        <v>1055</v>
      </c>
      <c r="C1094" s="15" t="s">
        <v>46</v>
      </c>
      <c r="D1094" s="16">
        <v>77558188</v>
      </c>
      <c r="E1094" s="17">
        <v>45413</v>
      </c>
      <c r="F1094" s="18">
        <f>MONTH(Data!$E1094)</f>
        <v>5</v>
      </c>
      <c r="G1094" s="16">
        <f>YEAR(Data!$E1094)</f>
        <v>2024</v>
      </c>
      <c r="H1094" s="15" t="s">
        <v>32</v>
      </c>
      <c r="I1094" s="15" t="str">
        <f t="shared" si="17"/>
        <v>Doanh nghiệp</v>
      </c>
      <c r="J1094" s="15" t="s">
        <v>1285</v>
      </c>
      <c r="K1094" s="15" t="s">
        <v>1265</v>
      </c>
      <c r="L1094" s="32">
        <f>Data!$D1094/10^6</f>
        <v>77.558188000000001</v>
      </c>
    </row>
    <row r="1095" spans="1:12" x14ac:dyDescent="0.25">
      <c r="A1095" s="29" t="s">
        <v>209</v>
      </c>
      <c r="B1095" s="15" t="s">
        <v>1061</v>
      </c>
      <c r="C1095" s="15" t="s">
        <v>46</v>
      </c>
      <c r="D1095" s="16">
        <v>607272727</v>
      </c>
      <c r="E1095" s="17">
        <v>45413</v>
      </c>
      <c r="F1095" s="18">
        <f>MONTH(Data!$E1095)</f>
        <v>5</v>
      </c>
      <c r="G1095" s="16">
        <f>YEAR(Data!$E1095)</f>
        <v>2024</v>
      </c>
      <c r="H1095" s="15" t="s">
        <v>32</v>
      </c>
      <c r="I1095" s="15" t="str">
        <f t="shared" si="17"/>
        <v>Doanh nghiệp</v>
      </c>
      <c r="J1095" s="15" t="s">
        <v>1284</v>
      </c>
      <c r="K1095" s="15" t="s">
        <v>1265</v>
      </c>
      <c r="L1095" s="32">
        <f>Data!$D1095/10^6</f>
        <v>607.27272700000003</v>
      </c>
    </row>
    <row r="1096" spans="1:12" x14ac:dyDescent="0.25">
      <c r="A1096" s="29" t="s">
        <v>37</v>
      </c>
      <c r="B1096" s="15" t="s">
        <v>1085</v>
      </c>
      <c r="C1096" s="15" t="s">
        <v>149</v>
      </c>
      <c r="D1096" s="16">
        <v>225815433</v>
      </c>
      <c r="E1096" s="17">
        <v>45413</v>
      </c>
      <c r="F1096" s="18">
        <f>MONTH(Data!$E1096)</f>
        <v>5</v>
      </c>
      <c r="G1096" s="16">
        <f>YEAR(Data!$E1096)</f>
        <v>2024</v>
      </c>
      <c r="H1096" s="15" t="s">
        <v>11</v>
      </c>
      <c r="I1096" s="15" t="str">
        <f t="shared" si="17"/>
        <v>Doanh nghiệp</v>
      </c>
      <c r="J1096" s="15" t="s">
        <v>1285</v>
      </c>
      <c r="K1096" s="15" t="s">
        <v>1263</v>
      </c>
      <c r="L1096" s="32">
        <f>Data!$D1096/10^6</f>
        <v>225.81543300000001</v>
      </c>
    </row>
    <row r="1097" spans="1:12" x14ac:dyDescent="0.25">
      <c r="A1097" s="29" t="s">
        <v>37</v>
      </c>
      <c r="B1097" s="15" t="s">
        <v>1086</v>
      </c>
      <c r="C1097" s="15" t="s">
        <v>149</v>
      </c>
      <c r="D1097" s="16">
        <v>35190909</v>
      </c>
      <c r="E1097" s="17">
        <v>45413</v>
      </c>
      <c r="F1097" s="18">
        <f>MONTH(Data!$E1097)</f>
        <v>5</v>
      </c>
      <c r="G1097" s="16">
        <f>YEAR(Data!$E1097)</f>
        <v>2024</v>
      </c>
      <c r="H1097" s="15" t="s">
        <v>11</v>
      </c>
      <c r="I1097" s="15" t="str">
        <f t="shared" si="17"/>
        <v>Doanh nghiệp</v>
      </c>
      <c r="J1097" s="15" t="s">
        <v>1284</v>
      </c>
      <c r="K1097" s="15" t="s">
        <v>1263</v>
      </c>
      <c r="L1097" s="32">
        <f>Data!$D1097/10^6</f>
        <v>35.190908999999998</v>
      </c>
    </row>
    <row r="1098" spans="1:12" x14ac:dyDescent="0.25">
      <c r="A1098" s="29" t="s">
        <v>218</v>
      </c>
      <c r="B1098" s="15" t="s">
        <v>1096</v>
      </c>
      <c r="C1098" s="15" t="s">
        <v>14</v>
      </c>
      <c r="D1098" s="16">
        <v>554454545</v>
      </c>
      <c r="E1098" s="17">
        <v>45413</v>
      </c>
      <c r="F1098" s="18">
        <f>MONTH(Data!$E1098)</f>
        <v>5</v>
      </c>
      <c r="G1098" s="16">
        <f>YEAR(Data!$E1098)</f>
        <v>2024</v>
      </c>
      <c r="H1098" s="15" t="s">
        <v>15</v>
      </c>
      <c r="I1098" s="15" t="str">
        <f t="shared" si="17"/>
        <v>Doanh nghiệp</v>
      </c>
      <c r="J1098" s="15" t="s">
        <v>1285</v>
      </c>
      <c r="K1098" s="15" t="s">
        <v>1275</v>
      </c>
      <c r="L1098" s="32">
        <f>Data!$D1098/10^6</f>
        <v>554.45454500000005</v>
      </c>
    </row>
    <row r="1099" spans="1:12" x14ac:dyDescent="0.25">
      <c r="A1099" s="29" t="s">
        <v>74</v>
      </c>
      <c r="B1099" s="15" t="s">
        <v>1027</v>
      </c>
      <c r="C1099" s="15" t="s">
        <v>149</v>
      </c>
      <c r="D1099" s="16">
        <v>415421767</v>
      </c>
      <c r="E1099" s="17">
        <v>45413</v>
      </c>
      <c r="F1099" s="18">
        <f>MONTH(Data!$E1099)</f>
        <v>5</v>
      </c>
      <c r="G1099" s="16">
        <f>YEAR(Data!$E1099)</f>
        <v>2024</v>
      </c>
      <c r="H1099" s="15" t="s">
        <v>11</v>
      </c>
      <c r="I1099" s="15" t="str">
        <f t="shared" si="17"/>
        <v>Doanh nghiệp</v>
      </c>
      <c r="J1099" s="15" t="s">
        <v>1284</v>
      </c>
      <c r="K1099" s="15" t="s">
        <v>1262</v>
      </c>
      <c r="L1099" s="32">
        <f>Data!$D1099/10^6</f>
        <v>415.42176699999999</v>
      </c>
    </row>
    <row r="1100" spans="1:12" x14ac:dyDescent="0.25">
      <c r="A1100" s="29" t="s">
        <v>127</v>
      </c>
      <c r="B1100" s="15" t="s">
        <v>1033</v>
      </c>
      <c r="C1100" s="15" t="s">
        <v>10</v>
      </c>
      <c r="D1100" s="16">
        <v>154004545</v>
      </c>
      <c r="E1100" s="17">
        <v>45413</v>
      </c>
      <c r="F1100" s="18">
        <f>MONTH(Data!$E1100)</f>
        <v>5</v>
      </c>
      <c r="G1100" s="16">
        <f>YEAR(Data!$E1100)</f>
        <v>2024</v>
      </c>
      <c r="H1100" s="15" t="s">
        <v>32</v>
      </c>
      <c r="I1100" s="15" t="str">
        <f t="shared" si="17"/>
        <v>Doanh nghiệp</v>
      </c>
      <c r="J1100" s="15" t="s">
        <v>1285</v>
      </c>
      <c r="K1100" s="15" t="s">
        <v>1263</v>
      </c>
      <c r="L1100" s="32">
        <f>Data!$D1100/10^6</f>
        <v>154.00454500000001</v>
      </c>
    </row>
    <row r="1101" spans="1:12" x14ac:dyDescent="0.25">
      <c r="A1101" s="29" t="s">
        <v>151</v>
      </c>
      <c r="B1101" s="15" t="s">
        <v>1039</v>
      </c>
      <c r="C1101" s="15" t="s">
        <v>10</v>
      </c>
      <c r="D1101" s="16">
        <v>222069150</v>
      </c>
      <c r="E1101" s="17">
        <v>45413</v>
      </c>
      <c r="F1101" s="18">
        <f>MONTH(Data!$E1101)</f>
        <v>5</v>
      </c>
      <c r="G1101" s="16">
        <f>YEAR(Data!$E1101)</f>
        <v>2024</v>
      </c>
      <c r="H1101" s="15" t="s">
        <v>15</v>
      </c>
      <c r="I1101" s="15" t="str">
        <f t="shared" si="17"/>
        <v>Doanh nghiệp</v>
      </c>
      <c r="J1101" s="15" t="s">
        <v>1284</v>
      </c>
      <c r="K1101" s="15" t="s">
        <v>1263</v>
      </c>
      <c r="L1101" s="32">
        <f>Data!$D1101/10^6</f>
        <v>222.06915000000001</v>
      </c>
    </row>
    <row r="1102" spans="1:12" x14ac:dyDescent="0.25">
      <c r="A1102" s="29" t="s">
        <v>28</v>
      </c>
      <c r="B1102" s="15" t="s">
        <v>1062</v>
      </c>
      <c r="C1102" s="15" t="s">
        <v>14</v>
      </c>
      <c r="D1102" s="16">
        <v>24757000</v>
      </c>
      <c r="E1102" s="17">
        <v>45413</v>
      </c>
      <c r="F1102" s="18">
        <f>MONTH(Data!$E1102)</f>
        <v>5</v>
      </c>
      <c r="G1102" s="16">
        <f>YEAR(Data!$E1102)</f>
        <v>2024</v>
      </c>
      <c r="H1102" s="15" t="s">
        <v>29</v>
      </c>
      <c r="I1102" s="15" t="str">
        <f t="shared" si="17"/>
        <v>Doanh nghiệp</v>
      </c>
      <c r="J1102" s="15" t="s">
        <v>1285</v>
      </c>
      <c r="K1102" s="15" t="s">
        <v>1264</v>
      </c>
      <c r="L1102" s="32">
        <f>Data!$D1102/10^6</f>
        <v>24.757000000000001</v>
      </c>
    </row>
    <row r="1103" spans="1:12" x14ac:dyDescent="0.25">
      <c r="A1103" s="29" t="s">
        <v>28</v>
      </c>
      <c r="B1103" s="15" t="s">
        <v>1063</v>
      </c>
      <c r="C1103" s="15" t="s">
        <v>14</v>
      </c>
      <c r="D1103" s="16">
        <v>27082000</v>
      </c>
      <c r="E1103" s="17">
        <v>45413</v>
      </c>
      <c r="F1103" s="18">
        <f>MONTH(Data!$E1103)</f>
        <v>5</v>
      </c>
      <c r="G1103" s="16">
        <f>YEAR(Data!$E1103)</f>
        <v>2024</v>
      </c>
      <c r="H1103" s="15" t="s">
        <v>29</v>
      </c>
      <c r="I1103" s="15" t="str">
        <f t="shared" si="17"/>
        <v>Doanh nghiệp</v>
      </c>
      <c r="J1103" s="15" t="s">
        <v>1284</v>
      </c>
      <c r="K1103" s="15" t="s">
        <v>1264</v>
      </c>
      <c r="L1103" s="32">
        <f>Data!$D1103/10^6</f>
        <v>27.082000000000001</v>
      </c>
    </row>
    <row r="1104" spans="1:12" x14ac:dyDescent="0.25">
      <c r="A1104" s="29" t="s">
        <v>8</v>
      </c>
      <c r="B1104" s="15" t="s">
        <v>1096</v>
      </c>
      <c r="C1104" s="15" t="s">
        <v>14</v>
      </c>
      <c r="D1104" s="16">
        <v>53867362</v>
      </c>
      <c r="E1104" s="17">
        <v>45413</v>
      </c>
      <c r="F1104" s="18">
        <f>MONTH(Data!$E1104)</f>
        <v>5</v>
      </c>
      <c r="G1104" s="16">
        <f>YEAR(Data!$E1104)</f>
        <v>2024</v>
      </c>
      <c r="H1104" s="15" t="s">
        <v>11</v>
      </c>
      <c r="I1104" s="15" t="str">
        <f t="shared" si="17"/>
        <v>Doanh nghiệp</v>
      </c>
      <c r="J1104" s="15" t="s">
        <v>1285</v>
      </c>
      <c r="K1104" s="15" t="s">
        <v>1264</v>
      </c>
      <c r="L1104" s="32">
        <f>Data!$D1104/10^6</f>
        <v>53.867362</v>
      </c>
    </row>
    <row r="1105" spans="1:12" x14ac:dyDescent="0.25">
      <c r="A1105" s="29" t="s">
        <v>30</v>
      </c>
      <c r="B1105" s="15" t="s">
        <v>1048</v>
      </c>
      <c r="C1105" s="15" t="s">
        <v>10</v>
      </c>
      <c r="D1105" s="16">
        <v>1076400</v>
      </c>
      <c r="E1105" s="17">
        <v>45413</v>
      </c>
      <c r="F1105" s="18">
        <f>MONTH(Data!$E1105)</f>
        <v>5</v>
      </c>
      <c r="G1105" s="16">
        <f>YEAR(Data!$E1105)</f>
        <v>2024</v>
      </c>
      <c r="H1105" s="15" t="s">
        <v>32</v>
      </c>
      <c r="I1105" s="15" t="str">
        <f t="shared" si="17"/>
        <v>Doanh nghiệp</v>
      </c>
      <c r="J1105" s="15" t="s">
        <v>1284</v>
      </c>
      <c r="K1105" s="15" t="s">
        <v>1272</v>
      </c>
      <c r="L1105" s="32">
        <f>Data!$D1105/10^6</f>
        <v>1.0764</v>
      </c>
    </row>
    <row r="1106" spans="1:12" x14ac:dyDescent="0.25">
      <c r="A1106" s="29" t="s">
        <v>30</v>
      </c>
      <c r="B1106" s="15" t="s">
        <v>1049</v>
      </c>
      <c r="C1106" s="15" t="s">
        <v>10</v>
      </c>
      <c r="D1106" s="16">
        <v>1076400</v>
      </c>
      <c r="E1106" s="17">
        <v>45413</v>
      </c>
      <c r="F1106" s="18">
        <f>MONTH(Data!$E1106)</f>
        <v>5</v>
      </c>
      <c r="G1106" s="16">
        <f>YEAR(Data!$E1106)</f>
        <v>2024</v>
      </c>
      <c r="H1106" s="15" t="s">
        <v>32</v>
      </c>
      <c r="I1106" s="15" t="str">
        <f t="shared" si="17"/>
        <v>Doanh nghiệp</v>
      </c>
      <c r="J1106" s="15" t="s">
        <v>1285</v>
      </c>
      <c r="K1106" s="15" t="s">
        <v>1272</v>
      </c>
      <c r="L1106" s="32">
        <f>Data!$D1106/10^6</f>
        <v>1.0764</v>
      </c>
    </row>
    <row r="1107" spans="1:12" x14ac:dyDescent="0.25">
      <c r="A1107" s="29" t="s">
        <v>30</v>
      </c>
      <c r="B1107" s="15" t="s">
        <v>1050</v>
      </c>
      <c r="C1107" s="15" t="s">
        <v>10</v>
      </c>
      <c r="D1107" s="16">
        <v>1076400</v>
      </c>
      <c r="E1107" s="17">
        <v>45413</v>
      </c>
      <c r="F1107" s="18">
        <f>MONTH(Data!$E1107)</f>
        <v>5</v>
      </c>
      <c r="G1107" s="16">
        <f>YEAR(Data!$E1107)</f>
        <v>2024</v>
      </c>
      <c r="H1107" s="15" t="s">
        <v>32</v>
      </c>
      <c r="I1107" s="15" t="str">
        <f t="shared" si="17"/>
        <v>Doanh nghiệp</v>
      </c>
      <c r="J1107" s="15" t="s">
        <v>1284</v>
      </c>
      <c r="K1107" s="15" t="s">
        <v>1272</v>
      </c>
      <c r="L1107" s="32">
        <f>Data!$D1107/10^6</f>
        <v>1.0764</v>
      </c>
    </row>
    <row r="1108" spans="1:12" x14ac:dyDescent="0.25">
      <c r="A1108" s="29" t="s">
        <v>92</v>
      </c>
      <c r="B1108" s="15" t="s">
        <v>1052</v>
      </c>
      <c r="C1108" s="15" t="s">
        <v>14</v>
      </c>
      <c r="D1108" s="16">
        <v>100033800</v>
      </c>
      <c r="E1108" s="17">
        <v>45413</v>
      </c>
      <c r="F1108" s="18">
        <f>MONTH(Data!$E1108)</f>
        <v>5</v>
      </c>
      <c r="G1108" s="16">
        <f>YEAR(Data!$E1108)</f>
        <v>2024</v>
      </c>
      <c r="H1108" s="15" t="s">
        <v>29</v>
      </c>
      <c r="I1108" s="15" t="str">
        <f t="shared" si="17"/>
        <v>Doanh nghiệp</v>
      </c>
      <c r="J1108" s="15" t="s">
        <v>1285</v>
      </c>
      <c r="K1108" s="15" t="s">
        <v>1275</v>
      </c>
      <c r="L1108" s="32">
        <f>Data!$D1108/10^6</f>
        <v>100.0338</v>
      </c>
    </row>
    <row r="1109" spans="1:12" x14ac:dyDescent="0.25">
      <c r="A1109" s="29" t="s">
        <v>36</v>
      </c>
      <c r="B1109" s="15" t="s">
        <v>1072</v>
      </c>
      <c r="C1109" s="15" t="s">
        <v>14</v>
      </c>
      <c r="D1109" s="16">
        <v>20363636</v>
      </c>
      <c r="E1109" s="17">
        <v>45413</v>
      </c>
      <c r="F1109" s="18">
        <f>MONTH(Data!$E1109)</f>
        <v>5</v>
      </c>
      <c r="G1109" s="16">
        <f>YEAR(Data!$E1109)</f>
        <v>2024</v>
      </c>
      <c r="H1109" s="15" t="s">
        <v>15</v>
      </c>
      <c r="I1109" s="15" t="str">
        <f t="shared" si="17"/>
        <v>Doanh nghiệp</v>
      </c>
      <c r="J1109" s="15" t="s">
        <v>1284</v>
      </c>
      <c r="K1109" s="15" t="s">
        <v>1277</v>
      </c>
      <c r="L1109" s="32">
        <f>Data!$D1109/10^6</f>
        <v>20.363636</v>
      </c>
    </row>
    <row r="1110" spans="1:12" x14ac:dyDescent="0.25">
      <c r="A1110" s="29" t="s">
        <v>50</v>
      </c>
      <c r="B1110" s="15" t="s">
        <v>1106</v>
      </c>
      <c r="C1110" s="15" t="s">
        <v>14</v>
      </c>
      <c r="D1110" s="16">
        <v>148100000</v>
      </c>
      <c r="E1110" s="17">
        <v>45413</v>
      </c>
      <c r="F1110" s="18">
        <f>MONTH(Data!$E1110)</f>
        <v>5</v>
      </c>
      <c r="G1110" s="16">
        <f>YEAR(Data!$E1110)</f>
        <v>2024</v>
      </c>
      <c r="H1110" s="15" t="s">
        <v>35</v>
      </c>
      <c r="I1110" s="15" t="str">
        <f t="shared" si="17"/>
        <v>Doanh nghiệp</v>
      </c>
      <c r="J1110" s="15" t="s">
        <v>1285</v>
      </c>
      <c r="K1110" s="15" t="s">
        <v>1266</v>
      </c>
      <c r="L1110" s="32">
        <f>Data!$D1110/10^6</f>
        <v>148.1</v>
      </c>
    </row>
    <row r="1111" spans="1:12" x14ac:dyDescent="0.25">
      <c r="A1111" s="29" t="s">
        <v>36</v>
      </c>
      <c r="B1111" s="15" t="s">
        <v>1032</v>
      </c>
      <c r="C1111" s="15" t="s">
        <v>14</v>
      </c>
      <c r="D1111" s="16">
        <v>20000000</v>
      </c>
      <c r="E1111" s="17">
        <v>45413</v>
      </c>
      <c r="F1111" s="18">
        <f>MONTH(Data!$E1111)</f>
        <v>5</v>
      </c>
      <c r="G1111" s="16">
        <f>YEAR(Data!$E1111)</f>
        <v>2024</v>
      </c>
      <c r="H1111" s="15" t="s">
        <v>15</v>
      </c>
      <c r="I1111" s="15" t="str">
        <f t="shared" si="17"/>
        <v>Doanh nghiệp</v>
      </c>
      <c r="J1111" s="15" t="s">
        <v>1284</v>
      </c>
      <c r="K1111" s="15" t="s">
        <v>1277</v>
      </c>
      <c r="L1111" s="32">
        <f>Data!$D1111/10^6</f>
        <v>20</v>
      </c>
    </row>
    <row r="1112" spans="1:12" x14ac:dyDescent="0.25">
      <c r="A1112" s="29" t="s">
        <v>30</v>
      </c>
      <c r="B1112" s="15" t="s">
        <v>1042</v>
      </c>
      <c r="C1112" s="15" t="s">
        <v>10</v>
      </c>
      <c r="D1112" s="16">
        <v>44891687</v>
      </c>
      <c r="E1112" s="17">
        <v>45413</v>
      </c>
      <c r="F1112" s="18">
        <f>MONTH(Data!$E1112)</f>
        <v>5</v>
      </c>
      <c r="G1112" s="16">
        <f>YEAR(Data!$E1112)</f>
        <v>2024</v>
      </c>
      <c r="H1112" s="15" t="s">
        <v>32</v>
      </c>
      <c r="I1112" s="15" t="str">
        <f t="shared" si="17"/>
        <v>Doanh nghiệp</v>
      </c>
      <c r="J1112" s="15" t="s">
        <v>1285</v>
      </c>
      <c r="K1112" s="15" t="s">
        <v>1263</v>
      </c>
      <c r="L1112" s="32">
        <f>Data!$D1112/10^6</f>
        <v>44.891686999999997</v>
      </c>
    </row>
    <row r="1113" spans="1:12" x14ac:dyDescent="0.25">
      <c r="A1113" s="29" t="s">
        <v>92</v>
      </c>
      <c r="B1113" s="15" t="s">
        <v>1056</v>
      </c>
      <c r="C1113" s="15" t="s">
        <v>14</v>
      </c>
      <c r="D1113" s="16">
        <v>154545455</v>
      </c>
      <c r="E1113" s="17">
        <v>45413</v>
      </c>
      <c r="F1113" s="18">
        <f>MONTH(Data!$E1113)</f>
        <v>5</v>
      </c>
      <c r="G1113" s="16">
        <f>YEAR(Data!$E1113)</f>
        <v>2024</v>
      </c>
      <c r="H1113" s="15" t="s">
        <v>29</v>
      </c>
      <c r="I1113" s="15" t="str">
        <f t="shared" si="17"/>
        <v>Doanh nghiệp</v>
      </c>
      <c r="J1113" s="15" t="s">
        <v>1284</v>
      </c>
      <c r="K1113" s="15" t="s">
        <v>1264</v>
      </c>
      <c r="L1113" s="32">
        <f>Data!$D1113/10^6</f>
        <v>154.545455</v>
      </c>
    </row>
    <row r="1114" spans="1:12" x14ac:dyDescent="0.25">
      <c r="A1114" s="29" t="s">
        <v>51</v>
      </c>
      <c r="B1114" s="15" t="s">
        <v>1062</v>
      </c>
      <c r="C1114" s="15" t="s">
        <v>10</v>
      </c>
      <c r="D1114" s="16">
        <v>27660000</v>
      </c>
      <c r="E1114" s="17">
        <v>45413</v>
      </c>
      <c r="F1114" s="18">
        <f>MONTH(Data!$E1114)</f>
        <v>5</v>
      </c>
      <c r="G1114" s="16">
        <f>YEAR(Data!$E1114)</f>
        <v>2024</v>
      </c>
      <c r="H1114" s="15" t="s">
        <v>42</v>
      </c>
      <c r="I1114" s="15" t="str">
        <f t="shared" si="17"/>
        <v>Doanh nghiệp</v>
      </c>
      <c r="J1114" s="15" t="s">
        <v>1285</v>
      </c>
      <c r="K1114" s="15" t="s">
        <v>1262</v>
      </c>
      <c r="L1114" s="32">
        <f>Data!$D1114/10^6</f>
        <v>27.66</v>
      </c>
    </row>
    <row r="1115" spans="1:12" x14ac:dyDescent="0.25">
      <c r="A1115" s="29" t="s">
        <v>77</v>
      </c>
      <c r="B1115" s="15" t="s">
        <v>1082</v>
      </c>
      <c r="C1115" s="15" t="s">
        <v>10</v>
      </c>
      <c r="D1115" s="16">
        <v>116871109</v>
      </c>
      <c r="E1115" s="17">
        <v>45413</v>
      </c>
      <c r="F1115" s="18">
        <f>MONTH(Data!$E1115)</f>
        <v>5</v>
      </c>
      <c r="G1115" s="16">
        <f>YEAR(Data!$E1115)</f>
        <v>2024</v>
      </c>
      <c r="H1115" s="15" t="s">
        <v>35</v>
      </c>
      <c r="I1115" s="15" t="str">
        <f t="shared" si="17"/>
        <v>Doanh nghiệp</v>
      </c>
      <c r="J1115" s="15" t="s">
        <v>1284</v>
      </c>
      <c r="K1115" s="15" t="s">
        <v>1263</v>
      </c>
      <c r="L1115" s="32">
        <f>Data!$D1115/10^6</f>
        <v>116.871109</v>
      </c>
    </row>
    <row r="1116" spans="1:12" x14ac:dyDescent="0.25">
      <c r="A1116" s="29" t="s">
        <v>71</v>
      </c>
      <c r="B1116" s="15" t="s">
        <v>1089</v>
      </c>
      <c r="C1116" s="15" t="s">
        <v>10</v>
      </c>
      <c r="D1116" s="16">
        <v>19963000</v>
      </c>
      <c r="E1116" s="17">
        <v>45413</v>
      </c>
      <c r="F1116" s="18">
        <f>MONTH(Data!$E1116)</f>
        <v>5</v>
      </c>
      <c r="G1116" s="16">
        <f>YEAR(Data!$E1116)</f>
        <v>2024</v>
      </c>
      <c r="H1116" s="15" t="s">
        <v>11</v>
      </c>
      <c r="I1116" s="15" t="str">
        <f t="shared" si="17"/>
        <v>Doanh nghiệp</v>
      </c>
      <c r="J1116" s="15" t="s">
        <v>1285</v>
      </c>
      <c r="K1116" s="15" t="s">
        <v>1263</v>
      </c>
      <c r="L1116" s="32">
        <f>Data!$D1116/10^6</f>
        <v>19.963000000000001</v>
      </c>
    </row>
    <row r="1117" spans="1:12" x14ac:dyDescent="0.25">
      <c r="A1117" s="29" t="s">
        <v>71</v>
      </c>
      <c r="B1117" s="15" t="s">
        <v>1108</v>
      </c>
      <c r="C1117" s="15" t="s">
        <v>149</v>
      </c>
      <c r="D1117" s="16">
        <v>124050000</v>
      </c>
      <c r="E1117" s="17">
        <v>45413</v>
      </c>
      <c r="F1117" s="18">
        <f>MONTH(Data!$E1117)</f>
        <v>5</v>
      </c>
      <c r="G1117" s="16">
        <f>YEAR(Data!$E1117)</f>
        <v>2024</v>
      </c>
      <c r="H1117" s="15" t="s">
        <v>11</v>
      </c>
      <c r="I1117" s="15" t="str">
        <f t="shared" si="17"/>
        <v>Doanh nghiệp</v>
      </c>
      <c r="J1117" s="15" t="s">
        <v>1284</v>
      </c>
      <c r="K1117" s="15" t="s">
        <v>1264</v>
      </c>
      <c r="L1117" s="32">
        <f>Data!$D1117/10^6</f>
        <v>124.05</v>
      </c>
    </row>
    <row r="1118" spans="1:12" x14ac:dyDescent="0.25">
      <c r="A1118" s="29" t="s">
        <v>255</v>
      </c>
      <c r="B1118" s="15" t="s">
        <v>1119</v>
      </c>
      <c r="C1118" s="15" t="s">
        <v>46</v>
      </c>
      <c r="D1118" s="16">
        <v>333386513</v>
      </c>
      <c r="E1118" s="17">
        <v>45413</v>
      </c>
      <c r="F1118" s="18">
        <f>MONTH(Data!$E1118)</f>
        <v>5</v>
      </c>
      <c r="G1118" s="16">
        <f>YEAR(Data!$E1118)</f>
        <v>2024</v>
      </c>
      <c r="H1118" s="15" t="s">
        <v>11</v>
      </c>
      <c r="I1118" s="15" t="str">
        <f t="shared" si="17"/>
        <v>Doanh nghiệp</v>
      </c>
      <c r="J1118" s="15" t="s">
        <v>1285</v>
      </c>
      <c r="K1118" s="15" t="s">
        <v>1271</v>
      </c>
      <c r="L1118" s="32">
        <f>Data!$D1118/10^6</f>
        <v>333.38651299999998</v>
      </c>
    </row>
    <row r="1119" spans="1:12" x14ac:dyDescent="0.25">
      <c r="A1119" s="29" t="s">
        <v>28</v>
      </c>
      <c r="B1119" s="15" t="s">
        <v>1120</v>
      </c>
      <c r="C1119" s="15" t="s">
        <v>149</v>
      </c>
      <c r="D1119" s="16">
        <v>499422000</v>
      </c>
      <c r="E1119" s="17">
        <v>45413</v>
      </c>
      <c r="F1119" s="18">
        <f>MONTH(Data!$E1119)</f>
        <v>5</v>
      </c>
      <c r="G1119" s="16">
        <f>YEAR(Data!$E1119)</f>
        <v>2024</v>
      </c>
      <c r="H1119" s="15" t="s">
        <v>29</v>
      </c>
      <c r="I1119" s="15" t="str">
        <f t="shared" si="17"/>
        <v>Doanh nghiệp</v>
      </c>
      <c r="J1119" s="15" t="s">
        <v>1284</v>
      </c>
      <c r="K1119" s="15" t="s">
        <v>1268</v>
      </c>
      <c r="L1119" s="32">
        <f>Data!$D1119/10^6</f>
        <v>499.42200000000003</v>
      </c>
    </row>
    <row r="1120" spans="1:12" x14ac:dyDescent="0.25">
      <c r="A1120" s="29" t="s">
        <v>78</v>
      </c>
      <c r="B1120" s="15" t="s">
        <v>1035</v>
      </c>
      <c r="C1120" s="15" t="s">
        <v>46</v>
      </c>
      <c r="D1120" s="16">
        <v>20909091</v>
      </c>
      <c r="E1120" s="17">
        <v>45413</v>
      </c>
      <c r="F1120" s="18">
        <f>MONTH(Data!$E1120)</f>
        <v>5</v>
      </c>
      <c r="G1120" s="16">
        <f>YEAR(Data!$E1120)</f>
        <v>2024</v>
      </c>
      <c r="H1120" s="15" t="s">
        <v>15</v>
      </c>
      <c r="I1120" s="15" t="str">
        <f t="shared" si="17"/>
        <v>Doanh nghiệp</v>
      </c>
      <c r="J1120" s="15" t="s">
        <v>1285</v>
      </c>
      <c r="K1120" s="15" t="s">
        <v>1271</v>
      </c>
      <c r="L1120" s="32">
        <f>Data!$D1120/10^6</f>
        <v>20.909091</v>
      </c>
    </row>
    <row r="1121" spans="1:12" x14ac:dyDescent="0.25">
      <c r="A1121" s="29" t="s">
        <v>23</v>
      </c>
      <c r="B1121" s="15" t="s">
        <v>1038</v>
      </c>
      <c r="C1121" s="15" t="s">
        <v>46</v>
      </c>
      <c r="D1121" s="16">
        <v>18000000</v>
      </c>
      <c r="E1121" s="17">
        <v>45413</v>
      </c>
      <c r="F1121" s="18">
        <f>MONTH(Data!$E1121)</f>
        <v>5</v>
      </c>
      <c r="G1121" s="16">
        <f>YEAR(Data!$E1121)</f>
        <v>2024</v>
      </c>
      <c r="H1121" s="15" t="s">
        <v>25</v>
      </c>
      <c r="I1121" s="15" t="str">
        <f t="shared" si="17"/>
        <v>Doanh nghiệp</v>
      </c>
      <c r="J1121" s="15" t="s">
        <v>1284</v>
      </c>
      <c r="K1121" s="15" t="s">
        <v>1271</v>
      </c>
      <c r="L1121" s="32">
        <f>Data!$D1121/10^6</f>
        <v>18</v>
      </c>
    </row>
    <row r="1122" spans="1:12" x14ac:dyDescent="0.25">
      <c r="A1122" s="29" t="s">
        <v>77</v>
      </c>
      <c r="B1122" s="15" t="s">
        <v>1041</v>
      </c>
      <c r="C1122" s="15" t="s">
        <v>46</v>
      </c>
      <c r="D1122" s="16">
        <v>718181818</v>
      </c>
      <c r="E1122" s="17">
        <v>45413</v>
      </c>
      <c r="F1122" s="18">
        <f>MONTH(Data!$E1122)</f>
        <v>5</v>
      </c>
      <c r="G1122" s="16">
        <f>YEAR(Data!$E1122)</f>
        <v>2024</v>
      </c>
      <c r="H1122" s="15" t="s">
        <v>35</v>
      </c>
      <c r="I1122" s="15" t="str">
        <f t="shared" si="17"/>
        <v>Doanh nghiệp</v>
      </c>
      <c r="J1122" s="15" t="s">
        <v>1285</v>
      </c>
      <c r="K1122" s="15" t="s">
        <v>1265</v>
      </c>
      <c r="L1122" s="32">
        <f>Data!$D1122/10^6</f>
        <v>718.18181800000002</v>
      </c>
    </row>
    <row r="1123" spans="1:12" x14ac:dyDescent="0.25">
      <c r="A1123" s="29" t="s">
        <v>62</v>
      </c>
      <c r="B1123" s="15" t="s">
        <v>1073</v>
      </c>
      <c r="C1123" s="15" t="s">
        <v>46</v>
      </c>
      <c r="D1123" s="16">
        <v>90539906</v>
      </c>
      <c r="E1123" s="17">
        <v>45413</v>
      </c>
      <c r="F1123" s="18">
        <f>MONTH(Data!$E1123)</f>
        <v>5</v>
      </c>
      <c r="G1123" s="16">
        <f>YEAR(Data!$E1123)</f>
        <v>2024</v>
      </c>
      <c r="H1123" s="15" t="s">
        <v>15</v>
      </c>
      <c r="I1123" s="15" t="str">
        <f t="shared" si="17"/>
        <v>Doanh nghiệp</v>
      </c>
      <c r="J1123" s="15" t="s">
        <v>1284</v>
      </c>
      <c r="K1123" s="15" t="s">
        <v>1265</v>
      </c>
      <c r="L1123" s="32">
        <f>Data!$D1123/10^6</f>
        <v>90.539906000000002</v>
      </c>
    </row>
    <row r="1124" spans="1:12" x14ac:dyDescent="0.25">
      <c r="A1124" s="29" t="s">
        <v>51</v>
      </c>
      <c r="B1124" s="15" t="s">
        <v>1086</v>
      </c>
      <c r="C1124" s="15" t="s">
        <v>149</v>
      </c>
      <c r="D1124" s="16">
        <v>8836364</v>
      </c>
      <c r="E1124" s="17">
        <v>45413</v>
      </c>
      <c r="F1124" s="18">
        <f>MONTH(Data!$E1124)</f>
        <v>5</v>
      </c>
      <c r="G1124" s="16">
        <f>YEAR(Data!$E1124)</f>
        <v>2024</v>
      </c>
      <c r="H1124" s="15" t="s">
        <v>42</v>
      </c>
      <c r="I1124" s="15" t="str">
        <f t="shared" si="17"/>
        <v>Doanh nghiệp</v>
      </c>
      <c r="J1124" s="15" t="s">
        <v>1285</v>
      </c>
      <c r="K1124" s="15" t="s">
        <v>1265</v>
      </c>
      <c r="L1124" s="32">
        <f>Data!$D1124/10^6</f>
        <v>8.8363639999999997</v>
      </c>
    </row>
    <row r="1125" spans="1:12" x14ac:dyDescent="0.25">
      <c r="A1125" s="29" t="s">
        <v>119</v>
      </c>
      <c r="B1125" s="15" t="s">
        <v>1089</v>
      </c>
      <c r="C1125" s="15" t="s">
        <v>149</v>
      </c>
      <c r="D1125" s="16">
        <v>1342887700</v>
      </c>
      <c r="E1125" s="17">
        <v>45413</v>
      </c>
      <c r="F1125" s="18">
        <f>MONTH(Data!$E1125)</f>
        <v>5</v>
      </c>
      <c r="G1125" s="16">
        <f>YEAR(Data!$E1125)</f>
        <v>2024</v>
      </c>
      <c r="H1125" s="15" t="s">
        <v>35</v>
      </c>
      <c r="I1125" s="15" t="str">
        <f t="shared" si="17"/>
        <v>Doanh nghiệp</v>
      </c>
      <c r="J1125" s="15" t="s">
        <v>1284</v>
      </c>
      <c r="K1125" s="15" t="s">
        <v>1262</v>
      </c>
      <c r="L1125" s="32">
        <f>Data!$D1125/10^6</f>
        <v>1342.8877</v>
      </c>
    </row>
    <row r="1126" spans="1:12" x14ac:dyDescent="0.25">
      <c r="A1126" s="29" t="s">
        <v>102</v>
      </c>
      <c r="B1126" s="15" t="s">
        <v>1091</v>
      </c>
      <c r="C1126" s="15" t="s">
        <v>10</v>
      </c>
      <c r="D1126" s="16">
        <v>117855000</v>
      </c>
      <c r="E1126" s="17">
        <v>45413</v>
      </c>
      <c r="F1126" s="18">
        <f>MONTH(Data!$E1126)</f>
        <v>5</v>
      </c>
      <c r="G1126" s="16">
        <f>YEAR(Data!$E1126)</f>
        <v>2024</v>
      </c>
      <c r="H1126" s="15" t="s">
        <v>22</v>
      </c>
      <c r="I1126" s="15" t="str">
        <f t="shared" si="17"/>
        <v>Doanh nghiệp</v>
      </c>
      <c r="J1126" s="15" t="s">
        <v>1285</v>
      </c>
      <c r="K1126" s="15" t="s">
        <v>1263</v>
      </c>
      <c r="L1126" s="32">
        <f>Data!$D1126/10^6</f>
        <v>117.855</v>
      </c>
    </row>
    <row r="1127" spans="1:12" x14ac:dyDescent="0.25">
      <c r="A1127" s="29" t="s">
        <v>62</v>
      </c>
      <c r="B1127" s="15" t="s">
        <v>1108</v>
      </c>
      <c r="C1127" s="15" t="s">
        <v>14</v>
      </c>
      <c r="D1127" s="16">
        <v>24681818</v>
      </c>
      <c r="E1127" s="17">
        <v>45413</v>
      </c>
      <c r="F1127" s="18">
        <f>MONTH(Data!$E1127)</f>
        <v>5</v>
      </c>
      <c r="G1127" s="16">
        <f>YEAR(Data!$E1127)</f>
        <v>2024</v>
      </c>
      <c r="H1127" s="15" t="s">
        <v>15</v>
      </c>
      <c r="I1127" s="15" t="str">
        <f t="shared" si="17"/>
        <v>Doanh nghiệp</v>
      </c>
      <c r="J1127" s="15" t="s">
        <v>1284</v>
      </c>
      <c r="K1127" s="15" t="s">
        <v>1264</v>
      </c>
      <c r="L1127" s="32">
        <f>Data!$D1127/10^6</f>
        <v>24.681818</v>
      </c>
    </row>
    <row r="1128" spans="1:12" x14ac:dyDescent="0.25">
      <c r="A1128" s="29" t="s">
        <v>89</v>
      </c>
      <c r="B1128" s="15" t="s">
        <v>1046</v>
      </c>
      <c r="C1128" s="15" t="s">
        <v>10</v>
      </c>
      <c r="D1128" s="16">
        <v>3818182</v>
      </c>
      <c r="E1128" s="17">
        <v>45413</v>
      </c>
      <c r="F1128" s="18">
        <f>MONTH(Data!$E1128)</f>
        <v>5</v>
      </c>
      <c r="G1128" s="16">
        <f>YEAR(Data!$E1128)</f>
        <v>2024</v>
      </c>
      <c r="H1128" s="15" t="s">
        <v>11</v>
      </c>
      <c r="I1128" s="15" t="str">
        <f t="shared" si="17"/>
        <v>Doanh nghiệp</v>
      </c>
      <c r="J1128" s="15" t="s">
        <v>1285</v>
      </c>
      <c r="K1128" s="15" t="s">
        <v>1267</v>
      </c>
      <c r="L1128" s="32">
        <f>Data!$D1128/10^6</f>
        <v>3.8181820000000002</v>
      </c>
    </row>
    <row r="1129" spans="1:12" x14ac:dyDescent="0.25">
      <c r="A1129" s="29" t="s">
        <v>92</v>
      </c>
      <c r="B1129" s="15" t="s">
        <v>1060</v>
      </c>
      <c r="C1129" s="15" t="s">
        <v>14</v>
      </c>
      <c r="D1129" s="16">
        <v>61396727</v>
      </c>
      <c r="E1129" s="17">
        <v>45413</v>
      </c>
      <c r="F1129" s="18">
        <f>MONTH(Data!$E1129)</f>
        <v>5</v>
      </c>
      <c r="G1129" s="16">
        <f>YEAR(Data!$E1129)</f>
        <v>2024</v>
      </c>
      <c r="H1129" s="15" t="s">
        <v>29</v>
      </c>
      <c r="I1129" s="15" t="str">
        <f t="shared" si="17"/>
        <v>Doanh nghiệp</v>
      </c>
      <c r="J1129" s="15" t="s">
        <v>1284</v>
      </c>
      <c r="K1129" s="15" t="s">
        <v>1275</v>
      </c>
      <c r="L1129" s="32">
        <f>Data!$D1129/10^6</f>
        <v>61.396726999999998</v>
      </c>
    </row>
    <row r="1130" spans="1:12" x14ac:dyDescent="0.25">
      <c r="A1130" s="29" t="s">
        <v>74</v>
      </c>
      <c r="B1130" s="15" t="s">
        <v>1092</v>
      </c>
      <c r="C1130" s="15" t="s">
        <v>46</v>
      </c>
      <c r="D1130" s="16">
        <v>91690909</v>
      </c>
      <c r="E1130" s="17">
        <v>45413</v>
      </c>
      <c r="F1130" s="18">
        <f>MONTH(Data!$E1130)</f>
        <v>5</v>
      </c>
      <c r="G1130" s="16">
        <f>YEAR(Data!$E1130)</f>
        <v>2024</v>
      </c>
      <c r="H1130" s="15" t="s">
        <v>11</v>
      </c>
      <c r="I1130" s="15" t="str">
        <f t="shared" si="17"/>
        <v>Doanh nghiệp</v>
      </c>
      <c r="J1130" s="15" t="s">
        <v>1285</v>
      </c>
      <c r="K1130" s="15" t="s">
        <v>1265</v>
      </c>
      <c r="L1130" s="32">
        <f>Data!$D1130/10^6</f>
        <v>91.690909000000005</v>
      </c>
    </row>
    <row r="1131" spans="1:12" x14ac:dyDescent="0.25">
      <c r="A1131" s="29" t="s">
        <v>209</v>
      </c>
      <c r="B1131" s="15" t="s">
        <v>1114</v>
      </c>
      <c r="C1131" s="15" t="s">
        <v>14</v>
      </c>
      <c r="D1131" s="16">
        <v>103090000</v>
      </c>
      <c r="E1131" s="17">
        <v>45413</v>
      </c>
      <c r="F1131" s="18">
        <f>MONTH(Data!$E1131)</f>
        <v>5</v>
      </c>
      <c r="G1131" s="16">
        <f>YEAR(Data!$E1131)</f>
        <v>2024</v>
      </c>
      <c r="H1131" s="15" t="s">
        <v>32</v>
      </c>
      <c r="I1131" s="15" t="str">
        <f t="shared" si="17"/>
        <v>Doanh nghiệp</v>
      </c>
      <c r="J1131" s="15" t="s">
        <v>1284</v>
      </c>
      <c r="K1131" s="15" t="s">
        <v>1275</v>
      </c>
      <c r="L1131" s="32">
        <f>Data!$D1131/10^6</f>
        <v>103.09</v>
      </c>
    </row>
    <row r="1132" spans="1:12" x14ac:dyDescent="0.25">
      <c r="A1132" s="29" t="s">
        <v>30</v>
      </c>
      <c r="B1132" s="15" t="s">
        <v>1035</v>
      </c>
      <c r="C1132" s="15" t="s">
        <v>46</v>
      </c>
      <c r="D1132" s="16">
        <v>297696050</v>
      </c>
      <c r="E1132" s="17">
        <v>45413</v>
      </c>
      <c r="F1132" s="18">
        <f>MONTH(Data!$E1132)</f>
        <v>5</v>
      </c>
      <c r="G1132" s="16">
        <f>YEAR(Data!$E1132)</f>
        <v>2024</v>
      </c>
      <c r="H1132" s="15" t="s">
        <v>32</v>
      </c>
      <c r="I1132" s="15" t="str">
        <f t="shared" si="17"/>
        <v>Doanh nghiệp</v>
      </c>
      <c r="J1132" s="15" t="s">
        <v>1285</v>
      </c>
      <c r="K1132" s="15" t="s">
        <v>1265</v>
      </c>
      <c r="L1132" s="32">
        <f>Data!$D1132/10^6</f>
        <v>297.69605000000001</v>
      </c>
    </row>
    <row r="1133" spans="1:12" x14ac:dyDescent="0.25">
      <c r="A1133" s="29" t="s">
        <v>37</v>
      </c>
      <c r="B1133" s="15" t="s">
        <v>1065</v>
      </c>
      <c r="C1133" s="15" t="s">
        <v>14</v>
      </c>
      <c r="D1133" s="16">
        <v>77576364</v>
      </c>
      <c r="E1133" s="17">
        <v>45413</v>
      </c>
      <c r="F1133" s="18">
        <f>MONTH(Data!$E1133)</f>
        <v>5</v>
      </c>
      <c r="G1133" s="16">
        <f>YEAR(Data!$E1133)</f>
        <v>2024</v>
      </c>
      <c r="H1133" s="15" t="s">
        <v>11</v>
      </c>
      <c r="I1133" s="15" t="str">
        <f t="shared" si="17"/>
        <v>Doanh nghiệp</v>
      </c>
      <c r="J1133" s="15" t="s">
        <v>1284</v>
      </c>
      <c r="K1133" s="15" t="s">
        <v>1264</v>
      </c>
      <c r="L1133" s="32">
        <f>Data!$D1133/10^6</f>
        <v>77.576363999999998</v>
      </c>
    </row>
    <row r="1134" spans="1:12" x14ac:dyDescent="0.25">
      <c r="A1134" s="29" t="s">
        <v>52</v>
      </c>
      <c r="B1134" s="15" t="s">
        <v>1071</v>
      </c>
      <c r="C1134" s="15" t="s">
        <v>10</v>
      </c>
      <c r="D1134" s="16">
        <v>141218910</v>
      </c>
      <c r="E1134" s="17">
        <v>45413</v>
      </c>
      <c r="F1134" s="18">
        <f>MONTH(Data!$E1134)</f>
        <v>5</v>
      </c>
      <c r="G1134" s="16">
        <f>YEAR(Data!$E1134)</f>
        <v>2024</v>
      </c>
      <c r="H1134" s="15" t="s">
        <v>35</v>
      </c>
      <c r="I1134" s="15" t="str">
        <f t="shared" si="17"/>
        <v>Doanh nghiệp</v>
      </c>
      <c r="J1134" s="15" t="s">
        <v>1285</v>
      </c>
      <c r="K1134" s="15" t="s">
        <v>1267</v>
      </c>
      <c r="L1134" s="32">
        <f>Data!$D1134/10^6</f>
        <v>141.21890999999999</v>
      </c>
    </row>
    <row r="1135" spans="1:12" x14ac:dyDescent="0.25">
      <c r="A1135" s="29" t="s">
        <v>68</v>
      </c>
      <c r="B1135" s="15" t="s">
        <v>1077</v>
      </c>
      <c r="C1135" s="15" t="s">
        <v>149</v>
      </c>
      <c r="D1135" s="16">
        <v>43800000</v>
      </c>
      <c r="E1135" s="17">
        <v>45413</v>
      </c>
      <c r="F1135" s="18">
        <f>MONTH(Data!$E1135)</f>
        <v>5</v>
      </c>
      <c r="G1135" s="16">
        <f>YEAR(Data!$E1135)</f>
        <v>2024</v>
      </c>
      <c r="H1135" s="15" t="s">
        <v>22</v>
      </c>
      <c r="I1135" s="15" t="str">
        <f t="shared" si="17"/>
        <v>Doanh nghiệp</v>
      </c>
      <c r="J1135" s="15" t="s">
        <v>1284</v>
      </c>
      <c r="K1135" s="15" t="s">
        <v>1262</v>
      </c>
      <c r="L1135" s="32">
        <f>Data!$D1135/10^6</f>
        <v>43.8</v>
      </c>
    </row>
    <row r="1136" spans="1:12" x14ac:dyDescent="0.25">
      <c r="A1136" s="29" t="s">
        <v>74</v>
      </c>
      <c r="B1136" s="15" t="s">
        <v>1115</v>
      </c>
      <c r="C1136" s="15" t="s">
        <v>149</v>
      </c>
      <c r="D1136" s="16">
        <v>372727273</v>
      </c>
      <c r="E1136" s="17">
        <v>45413</v>
      </c>
      <c r="F1136" s="18">
        <f>MONTH(Data!$E1136)</f>
        <v>5</v>
      </c>
      <c r="G1136" s="16">
        <f>YEAR(Data!$E1136)</f>
        <v>2024</v>
      </c>
      <c r="H1136" s="15" t="s">
        <v>11</v>
      </c>
      <c r="I1136" s="15" t="str">
        <f t="shared" si="17"/>
        <v>Doanh nghiệp</v>
      </c>
      <c r="J1136" s="15" t="s">
        <v>1285</v>
      </c>
      <c r="K1136" s="15" t="s">
        <v>1266</v>
      </c>
      <c r="L1136" s="32">
        <f>Data!$D1136/10^6</f>
        <v>372.72727300000003</v>
      </c>
    </row>
    <row r="1137" spans="1:12" x14ac:dyDescent="0.25">
      <c r="A1137" s="29" t="s">
        <v>78</v>
      </c>
      <c r="B1137" s="15" t="s">
        <v>1117</v>
      </c>
      <c r="C1137" s="15" t="s">
        <v>10</v>
      </c>
      <c r="D1137" s="16">
        <v>54756364</v>
      </c>
      <c r="E1137" s="17">
        <v>45413</v>
      </c>
      <c r="F1137" s="18">
        <f>MONTH(Data!$E1137)</f>
        <v>5</v>
      </c>
      <c r="G1137" s="16">
        <f>YEAR(Data!$E1137)</f>
        <v>2024</v>
      </c>
      <c r="H1137" s="15" t="s">
        <v>15</v>
      </c>
      <c r="I1137" s="15" t="str">
        <f t="shared" si="17"/>
        <v>Doanh nghiệp</v>
      </c>
      <c r="J1137" s="15" t="s">
        <v>1284</v>
      </c>
      <c r="K1137" s="15" t="s">
        <v>1263</v>
      </c>
      <c r="L1137" s="32">
        <f>Data!$D1137/10^6</f>
        <v>54.756363999999998</v>
      </c>
    </row>
    <row r="1138" spans="1:12" x14ac:dyDescent="0.25">
      <c r="A1138" s="29" t="s">
        <v>91</v>
      </c>
      <c r="B1138" s="15" t="s">
        <v>1120</v>
      </c>
      <c r="C1138" s="15" t="s">
        <v>14</v>
      </c>
      <c r="D1138" s="16">
        <v>98712770</v>
      </c>
      <c r="E1138" s="17">
        <v>45413</v>
      </c>
      <c r="F1138" s="18">
        <f>MONTH(Data!$E1138)</f>
        <v>5</v>
      </c>
      <c r="G1138" s="16">
        <f>YEAR(Data!$E1138)</f>
        <v>2024</v>
      </c>
      <c r="H1138" s="15" t="s">
        <v>42</v>
      </c>
      <c r="I1138" s="15" t="str">
        <f t="shared" si="17"/>
        <v>Doanh nghiệp</v>
      </c>
      <c r="J1138" s="15" t="s">
        <v>1285</v>
      </c>
      <c r="K1138" s="15" t="s">
        <v>1272</v>
      </c>
      <c r="L1138" s="32">
        <f>Data!$D1138/10^6</f>
        <v>98.712770000000006</v>
      </c>
    </row>
    <row r="1139" spans="1:12" x14ac:dyDescent="0.25">
      <c r="A1139" s="29" t="s">
        <v>55</v>
      </c>
      <c r="B1139" s="15" t="s">
        <v>1039</v>
      </c>
      <c r="C1139" s="15" t="s">
        <v>46</v>
      </c>
      <c r="D1139" s="16">
        <v>165608265</v>
      </c>
      <c r="E1139" s="17">
        <v>45413</v>
      </c>
      <c r="F1139" s="18">
        <f>MONTH(Data!$E1139)</f>
        <v>5</v>
      </c>
      <c r="G1139" s="16">
        <f>YEAR(Data!$E1139)</f>
        <v>2024</v>
      </c>
      <c r="H1139" s="15" t="s">
        <v>15</v>
      </c>
      <c r="I1139" s="15" t="str">
        <f t="shared" si="17"/>
        <v>Doanh nghiệp</v>
      </c>
      <c r="J1139" s="15" t="s">
        <v>1284</v>
      </c>
      <c r="K1139" s="15" t="s">
        <v>1265</v>
      </c>
      <c r="L1139" s="32">
        <f>Data!$D1139/10^6</f>
        <v>165.60826499999999</v>
      </c>
    </row>
    <row r="1140" spans="1:12" x14ac:dyDescent="0.25">
      <c r="A1140" s="29" t="s">
        <v>128</v>
      </c>
      <c r="B1140" s="15" t="s">
        <v>1042</v>
      </c>
      <c r="C1140" s="15" t="s">
        <v>10</v>
      </c>
      <c r="D1140" s="16">
        <v>38476020</v>
      </c>
      <c r="E1140" s="17">
        <v>45413</v>
      </c>
      <c r="F1140" s="18">
        <f>MONTH(Data!$E1140)</f>
        <v>5</v>
      </c>
      <c r="G1140" s="16">
        <f>YEAR(Data!$E1140)</f>
        <v>2024</v>
      </c>
      <c r="H1140" s="15" t="s">
        <v>42</v>
      </c>
      <c r="I1140" s="15" t="str">
        <f t="shared" si="17"/>
        <v>Doanh nghiệp</v>
      </c>
      <c r="J1140" s="15" t="s">
        <v>1285</v>
      </c>
      <c r="K1140" s="15" t="s">
        <v>1262</v>
      </c>
      <c r="L1140" s="32">
        <f>Data!$D1140/10^6</f>
        <v>38.476019999999998</v>
      </c>
    </row>
    <row r="1141" spans="1:12" x14ac:dyDescent="0.25">
      <c r="A1141" s="29" t="s">
        <v>30</v>
      </c>
      <c r="B1141" s="15" t="s">
        <v>1090</v>
      </c>
      <c r="C1141" s="15" t="s">
        <v>46</v>
      </c>
      <c r="D1141" s="16">
        <v>61207273</v>
      </c>
      <c r="E1141" s="17">
        <v>45413</v>
      </c>
      <c r="F1141" s="18">
        <f>MONTH(Data!$E1141)</f>
        <v>5</v>
      </c>
      <c r="G1141" s="16">
        <f>YEAR(Data!$E1141)</f>
        <v>2024</v>
      </c>
      <c r="H1141" s="15" t="s">
        <v>32</v>
      </c>
      <c r="I1141" s="15" t="str">
        <f t="shared" si="17"/>
        <v>Doanh nghiệp</v>
      </c>
      <c r="J1141" s="15" t="s">
        <v>1284</v>
      </c>
      <c r="K1141" s="15" t="s">
        <v>1265</v>
      </c>
      <c r="L1141" s="32">
        <f>Data!$D1141/10^6</f>
        <v>61.207273000000001</v>
      </c>
    </row>
    <row r="1142" spans="1:12" x14ac:dyDescent="0.25">
      <c r="A1142" s="29" t="s">
        <v>56</v>
      </c>
      <c r="B1142" s="15" t="s">
        <v>1104</v>
      </c>
      <c r="C1142" s="15" t="s">
        <v>10</v>
      </c>
      <c r="D1142" s="16">
        <v>15526473</v>
      </c>
      <c r="E1142" s="17">
        <v>45413</v>
      </c>
      <c r="F1142" s="18">
        <f>MONTH(Data!$E1142)</f>
        <v>5</v>
      </c>
      <c r="G1142" s="16">
        <f>YEAR(Data!$E1142)</f>
        <v>2024</v>
      </c>
      <c r="H1142" s="15" t="s">
        <v>25</v>
      </c>
      <c r="I1142" s="15" t="str">
        <f t="shared" si="17"/>
        <v>Doanh nghiệp</v>
      </c>
      <c r="J1142" s="15" t="s">
        <v>1285</v>
      </c>
      <c r="K1142" s="15" t="s">
        <v>1262</v>
      </c>
      <c r="L1142" s="32">
        <f>Data!$D1142/10^6</f>
        <v>15.526472999999999</v>
      </c>
    </row>
    <row r="1143" spans="1:12" x14ac:dyDescent="0.25">
      <c r="A1143" s="29" t="s">
        <v>48</v>
      </c>
      <c r="B1143" s="15" t="s">
        <v>1118</v>
      </c>
      <c r="C1143" s="15" t="s">
        <v>10</v>
      </c>
      <c r="D1143" s="16">
        <v>35068473</v>
      </c>
      <c r="E1143" s="17">
        <v>45413</v>
      </c>
      <c r="F1143" s="18">
        <f>MONTH(Data!$E1143)</f>
        <v>5</v>
      </c>
      <c r="G1143" s="16">
        <f>YEAR(Data!$E1143)</f>
        <v>2024</v>
      </c>
      <c r="H1143" s="15" t="s">
        <v>25</v>
      </c>
      <c r="I1143" s="15" t="str">
        <f t="shared" si="17"/>
        <v>Doanh nghiệp</v>
      </c>
      <c r="J1143" s="15" t="s">
        <v>1284</v>
      </c>
      <c r="K1143" s="15" t="s">
        <v>1263</v>
      </c>
      <c r="L1143" s="32">
        <f>Data!$D1143/10^6</f>
        <v>35.068472999999997</v>
      </c>
    </row>
    <row r="1144" spans="1:12" x14ac:dyDescent="0.25">
      <c r="A1144" s="29" t="s">
        <v>8</v>
      </c>
      <c r="B1144" s="15" t="s">
        <v>1121</v>
      </c>
      <c r="C1144" s="15" t="s">
        <v>14</v>
      </c>
      <c r="D1144" s="16">
        <v>62622909</v>
      </c>
      <c r="E1144" s="17">
        <v>45413</v>
      </c>
      <c r="F1144" s="18">
        <f>MONTH(Data!$E1144)</f>
        <v>5</v>
      </c>
      <c r="G1144" s="16">
        <f>YEAR(Data!$E1144)</f>
        <v>2024</v>
      </c>
      <c r="H1144" s="15" t="s">
        <v>11</v>
      </c>
      <c r="I1144" s="15" t="str">
        <f t="shared" si="17"/>
        <v>Doanh nghiệp</v>
      </c>
      <c r="J1144" s="15" t="s">
        <v>1285</v>
      </c>
      <c r="K1144" s="15" t="s">
        <v>1264</v>
      </c>
      <c r="L1144" s="32">
        <f>Data!$D1144/10^6</f>
        <v>62.622909</v>
      </c>
    </row>
    <row r="1145" spans="1:12" x14ac:dyDescent="0.25">
      <c r="A1145" s="29" t="s">
        <v>52</v>
      </c>
      <c r="B1145" s="15" t="s">
        <v>1114</v>
      </c>
      <c r="C1145" s="15" t="s">
        <v>14</v>
      </c>
      <c r="D1145" s="16">
        <v>100111818</v>
      </c>
      <c r="E1145" s="17">
        <v>45413</v>
      </c>
      <c r="F1145" s="18">
        <f>MONTH(Data!$E1145)</f>
        <v>5</v>
      </c>
      <c r="G1145" s="16">
        <f>YEAR(Data!$E1145)</f>
        <v>2024</v>
      </c>
      <c r="H1145" s="15" t="s">
        <v>35</v>
      </c>
      <c r="I1145" s="15" t="str">
        <f t="shared" si="17"/>
        <v>Doanh nghiệp</v>
      </c>
      <c r="J1145" s="15" t="s">
        <v>1284</v>
      </c>
      <c r="K1145" s="15" t="s">
        <v>1264</v>
      </c>
      <c r="L1145" s="32">
        <f>Data!$D1145/10^6</f>
        <v>100.111818</v>
      </c>
    </row>
    <row r="1146" spans="1:12" x14ac:dyDescent="0.25">
      <c r="A1146" s="29" t="s">
        <v>68</v>
      </c>
      <c r="B1146" s="15" t="s">
        <v>1126</v>
      </c>
      <c r="C1146" s="15" t="s">
        <v>10</v>
      </c>
      <c r="D1146" s="16">
        <v>188398500</v>
      </c>
      <c r="E1146" s="17">
        <v>45413</v>
      </c>
      <c r="F1146" s="18">
        <f>MONTH(Data!$E1146)</f>
        <v>5</v>
      </c>
      <c r="G1146" s="16">
        <f>YEAR(Data!$E1146)</f>
        <v>2024</v>
      </c>
      <c r="H1146" s="15" t="s">
        <v>22</v>
      </c>
      <c r="I1146" s="15" t="str">
        <f t="shared" si="17"/>
        <v>Doanh nghiệp</v>
      </c>
      <c r="J1146" s="15" t="s">
        <v>1285</v>
      </c>
      <c r="K1146" s="15" t="s">
        <v>1263</v>
      </c>
      <c r="L1146" s="32">
        <f>Data!$D1146/10^6</f>
        <v>188.39850000000001</v>
      </c>
    </row>
    <row r="1147" spans="1:12" x14ac:dyDescent="0.25">
      <c r="A1147" s="29" t="s">
        <v>59</v>
      </c>
      <c r="B1147" s="15" t="s">
        <v>1144</v>
      </c>
      <c r="C1147" s="15" t="s">
        <v>46</v>
      </c>
      <c r="D1147" s="16">
        <v>100016364</v>
      </c>
      <c r="E1147" s="17">
        <v>45413</v>
      </c>
      <c r="F1147" s="18">
        <f>MONTH(Data!$E1147)</f>
        <v>5</v>
      </c>
      <c r="G1147" s="16">
        <f>YEAR(Data!$E1147)</f>
        <v>2024</v>
      </c>
      <c r="H1147" s="15" t="s">
        <v>22</v>
      </c>
      <c r="I1147" s="15" t="str">
        <f t="shared" si="17"/>
        <v>Doanh nghiệp</v>
      </c>
      <c r="J1147" s="15" t="s">
        <v>1284</v>
      </c>
      <c r="K1147" s="15" t="s">
        <v>1265</v>
      </c>
      <c r="L1147" s="32">
        <f>Data!$D1147/10^6</f>
        <v>100.016364</v>
      </c>
    </row>
    <row r="1148" spans="1:12" x14ac:dyDescent="0.25">
      <c r="A1148" s="29" t="s">
        <v>36</v>
      </c>
      <c r="B1148" s="15" t="s">
        <v>1146</v>
      </c>
      <c r="C1148" s="15" t="s">
        <v>14</v>
      </c>
      <c r="D1148" s="16">
        <v>82272727</v>
      </c>
      <c r="E1148" s="17">
        <v>45413</v>
      </c>
      <c r="F1148" s="18">
        <f>MONTH(Data!$E1148)</f>
        <v>5</v>
      </c>
      <c r="G1148" s="16">
        <f>YEAR(Data!$E1148)</f>
        <v>2024</v>
      </c>
      <c r="H1148" s="15" t="s">
        <v>15</v>
      </c>
      <c r="I1148" s="15" t="str">
        <f t="shared" si="17"/>
        <v>Doanh nghiệp</v>
      </c>
      <c r="J1148" s="15" t="s">
        <v>1285</v>
      </c>
      <c r="K1148" s="15" t="s">
        <v>1273</v>
      </c>
      <c r="L1148" s="32">
        <f>Data!$D1148/10^6</f>
        <v>82.272727000000003</v>
      </c>
    </row>
    <row r="1149" spans="1:12" x14ac:dyDescent="0.25">
      <c r="A1149" s="29" t="s">
        <v>27</v>
      </c>
      <c r="B1149" s="15" t="s">
        <v>1154</v>
      </c>
      <c r="C1149" s="15" t="s">
        <v>10</v>
      </c>
      <c r="D1149" s="16">
        <v>13026000</v>
      </c>
      <c r="E1149" s="17">
        <v>45413</v>
      </c>
      <c r="F1149" s="18">
        <f>MONTH(Data!$E1149)</f>
        <v>5</v>
      </c>
      <c r="G1149" s="16">
        <f>YEAR(Data!$E1149)</f>
        <v>2024</v>
      </c>
      <c r="H1149" s="15" t="s">
        <v>11</v>
      </c>
      <c r="I1149" s="15" t="str">
        <f t="shared" si="17"/>
        <v>Doanh nghiệp</v>
      </c>
      <c r="J1149" s="15" t="s">
        <v>1284</v>
      </c>
      <c r="K1149" s="15" t="s">
        <v>1262</v>
      </c>
      <c r="L1149" s="32">
        <f>Data!$D1149/10^6</f>
        <v>13.026</v>
      </c>
    </row>
    <row r="1150" spans="1:12" x14ac:dyDescent="0.25">
      <c r="A1150" s="29" t="s">
        <v>73</v>
      </c>
      <c r="B1150" s="15" t="s">
        <v>1130</v>
      </c>
      <c r="C1150" s="15" t="s">
        <v>41</v>
      </c>
      <c r="D1150" s="16">
        <v>136363664</v>
      </c>
      <c r="E1150" s="17">
        <v>45413</v>
      </c>
      <c r="F1150" s="18">
        <f>MONTH(Data!$E1150)</f>
        <v>5</v>
      </c>
      <c r="G1150" s="16">
        <f>YEAR(Data!$E1150)</f>
        <v>2024</v>
      </c>
      <c r="H1150" s="15" t="s">
        <v>32</v>
      </c>
      <c r="I1150" s="15" t="str">
        <f t="shared" si="17"/>
        <v>Doanh nghiệp</v>
      </c>
      <c r="J1150" s="15" t="s">
        <v>1285</v>
      </c>
      <c r="K1150" s="15" t="s">
        <v>1269</v>
      </c>
      <c r="L1150" s="32">
        <f>Data!$D1150/10^6</f>
        <v>136.363664</v>
      </c>
    </row>
    <row r="1151" spans="1:12" x14ac:dyDescent="0.25">
      <c r="A1151" s="29" t="s">
        <v>73</v>
      </c>
      <c r="B1151" s="15" t="s">
        <v>1147</v>
      </c>
      <c r="C1151" s="15" t="s">
        <v>10</v>
      </c>
      <c r="D1151" s="16">
        <v>72609091</v>
      </c>
      <c r="E1151" s="17">
        <v>45413</v>
      </c>
      <c r="F1151" s="18">
        <f>MONTH(Data!$E1151)</f>
        <v>5</v>
      </c>
      <c r="G1151" s="16">
        <f>YEAR(Data!$E1151)</f>
        <v>2024</v>
      </c>
      <c r="H1151" s="15" t="s">
        <v>32</v>
      </c>
      <c r="I1151" s="15" t="str">
        <f t="shared" si="17"/>
        <v>Doanh nghiệp</v>
      </c>
      <c r="J1151" s="15" t="s">
        <v>1284</v>
      </c>
      <c r="K1151" s="15" t="s">
        <v>1263</v>
      </c>
      <c r="L1151" s="32">
        <f>Data!$D1151/10^6</f>
        <v>72.609091000000006</v>
      </c>
    </row>
    <row r="1152" spans="1:12" x14ac:dyDescent="0.25">
      <c r="A1152" s="29" t="s">
        <v>30</v>
      </c>
      <c r="B1152" s="15" t="s">
        <v>1154</v>
      </c>
      <c r="C1152" s="15" t="s">
        <v>46</v>
      </c>
      <c r="D1152" s="16">
        <v>966662600</v>
      </c>
      <c r="E1152" s="17">
        <v>45413</v>
      </c>
      <c r="F1152" s="18">
        <f>MONTH(Data!$E1152)</f>
        <v>5</v>
      </c>
      <c r="G1152" s="16">
        <f>YEAR(Data!$E1152)</f>
        <v>2024</v>
      </c>
      <c r="H1152" s="15" t="s">
        <v>32</v>
      </c>
      <c r="I1152" s="15" t="str">
        <f t="shared" si="17"/>
        <v>Doanh nghiệp</v>
      </c>
      <c r="J1152" s="15" t="s">
        <v>1285</v>
      </c>
      <c r="K1152" s="15" t="s">
        <v>1265</v>
      </c>
      <c r="L1152" s="32">
        <f>Data!$D1152/10^6</f>
        <v>966.6626</v>
      </c>
    </row>
    <row r="1153" spans="1:12" x14ac:dyDescent="0.25">
      <c r="A1153" s="29" t="s">
        <v>55</v>
      </c>
      <c r="B1153" s="15" t="s">
        <v>1138</v>
      </c>
      <c r="C1153" s="15" t="s">
        <v>14</v>
      </c>
      <c r="D1153" s="16">
        <v>16181818</v>
      </c>
      <c r="E1153" s="17">
        <v>45413</v>
      </c>
      <c r="F1153" s="18">
        <f>MONTH(Data!$E1153)</f>
        <v>5</v>
      </c>
      <c r="G1153" s="16">
        <f>YEAR(Data!$E1153)</f>
        <v>2024</v>
      </c>
      <c r="H1153" s="15" t="s">
        <v>15</v>
      </c>
      <c r="I1153" s="15" t="str">
        <f t="shared" si="17"/>
        <v>Doanh nghiệp</v>
      </c>
      <c r="J1153" s="15" t="s">
        <v>1284</v>
      </c>
      <c r="K1153" s="15" t="s">
        <v>1275</v>
      </c>
      <c r="L1153" s="32">
        <f>Data!$D1153/10^6</f>
        <v>16.181818</v>
      </c>
    </row>
    <row r="1154" spans="1:12" x14ac:dyDescent="0.25">
      <c r="A1154" s="29" t="s">
        <v>23</v>
      </c>
      <c r="B1154" s="15" t="s">
        <v>1149</v>
      </c>
      <c r="C1154" s="15" t="s">
        <v>10</v>
      </c>
      <c r="D1154" s="16">
        <v>28545000</v>
      </c>
      <c r="E1154" s="17">
        <v>45413</v>
      </c>
      <c r="F1154" s="18">
        <f>MONTH(Data!$E1154)</f>
        <v>5</v>
      </c>
      <c r="G1154" s="16">
        <f>YEAR(Data!$E1154)</f>
        <v>2024</v>
      </c>
      <c r="H1154" s="15" t="s">
        <v>25</v>
      </c>
      <c r="I1154" s="15" t="str">
        <f t="shared" si="17"/>
        <v>Doanh nghiệp</v>
      </c>
      <c r="J1154" s="15" t="s">
        <v>1285</v>
      </c>
      <c r="K1154" s="15" t="s">
        <v>1267</v>
      </c>
      <c r="L1154" s="32">
        <f>Data!$D1154/10^6</f>
        <v>28.545000000000002</v>
      </c>
    </row>
    <row r="1155" spans="1:12" x14ac:dyDescent="0.25">
      <c r="A1155" s="29" t="s">
        <v>23</v>
      </c>
      <c r="B1155" s="15" t="s">
        <v>1150</v>
      </c>
      <c r="C1155" s="15" t="s">
        <v>10</v>
      </c>
      <c r="D1155" s="16">
        <v>21818182</v>
      </c>
      <c r="E1155" s="17">
        <v>45413</v>
      </c>
      <c r="F1155" s="18">
        <f>MONTH(Data!$E1155)</f>
        <v>5</v>
      </c>
      <c r="G1155" s="16">
        <f>YEAR(Data!$E1155)</f>
        <v>2024</v>
      </c>
      <c r="H1155" s="15" t="s">
        <v>25</v>
      </c>
      <c r="I1155" s="15" t="str">
        <f t="shared" ref="I1155:I1218" si="18">IF(ISNUMBER(SEARCH("Công ty",$B1155)),"Doanh nghiệp",IF(ISNUMBER(SEARCH("Doanh nghiệp",$B1155)),"Doanh nghiệp",IF(ISNUMBER(SEARCH("Tập đoàn",$B1155)),"Doanh nghiệp",
IF(ISNUMBER(SEARCH("Bệnh viện",$B1155)),"Bệnh viện",
IF(ISNUMBER(SEARCH("Ngân hàng",$B1155)),"Ngân hàng",IF(ISNUMBER(SEARCH("trường",$B1155)),"Trường học",IF(ISNUMBER(SEARCH("học viện",$B1155)),"Trường học",
IF(ISNUMBER(SEARCH("Bộ",$B1155)),"Sở ban ngành",IF(ISNUMBER(SEARCH("Đoàn",$B1155)),"Sở ban ngành",IF(ISNUMBER(SEARCH("Phòng",$B1155)),"Sở ban ngành",IF(ISNUMBER(SEARCH("UBND",$B1155)),"Sở ban ngành",IF(ISNUMBER(SEARCH("ủy ban",$B1155)),"Sở ban ngành",IF(ISNUMBER(SEARCH("công an",$B1155)),"Sở ban ngành",IF(ISNUMBER(SEARCH("sở",$B1155)),"Sở ban ngành",IF(ISNUMBER(SEARCH("thôn",$B1155)),"Sở ban ngành",IF(ISNUMBER(SEARCH("xã",$B1155)),"Sở ban ngành",IF(ISNUMBER(SEARCH("quân khu",$B1155)),"Sở ban ngành",IF(ISNUMBER(SEARCH("cục",$B1155)),"Sở ban ngành",IF(ISNUMBER(SEARCH("viện",$B1155)),"Sở ban ngành",IF(ISNUMBER(SEARCH("quỹ",$B1155)),"Sở ban ngành",IF(ISNUMBER(SEARCH("trung tâm",$B1155)),"Sở ban ngành",IF(ISNUMBER(SEARCH("quân chủng",$B1155)),"Sở ban ngành",IF(ISNUMBER(SEARCH("hội",$B1155)),"Sở ban ngành",
"Khác")))))))))))))))))))))))</f>
        <v>Doanh nghiệp</v>
      </c>
      <c r="J1155" s="15" t="s">
        <v>1284</v>
      </c>
      <c r="K1155" s="15" t="s">
        <v>1267</v>
      </c>
      <c r="L1155" s="32">
        <f>Data!$D1155/10^6</f>
        <v>21.818182</v>
      </c>
    </row>
    <row r="1156" spans="1:12" x14ac:dyDescent="0.25">
      <c r="A1156" s="29" t="s">
        <v>13</v>
      </c>
      <c r="B1156" s="15" t="s">
        <v>1151</v>
      </c>
      <c r="C1156" s="15" t="s">
        <v>149</v>
      </c>
      <c r="D1156" s="16">
        <v>18032269</v>
      </c>
      <c r="E1156" s="17">
        <v>45413</v>
      </c>
      <c r="F1156" s="18">
        <f>MONTH(Data!$E1156)</f>
        <v>5</v>
      </c>
      <c r="G1156" s="16">
        <f>YEAR(Data!$E1156)</f>
        <v>2024</v>
      </c>
      <c r="H1156" s="15" t="s">
        <v>15</v>
      </c>
      <c r="I1156" s="15" t="str">
        <f t="shared" si="18"/>
        <v>Doanh nghiệp</v>
      </c>
      <c r="J1156" s="15" t="s">
        <v>1285</v>
      </c>
      <c r="K1156" s="15" t="s">
        <v>1267</v>
      </c>
      <c r="L1156" s="32">
        <f>Data!$D1156/10^6</f>
        <v>18.032268999999999</v>
      </c>
    </row>
    <row r="1157" spans="1:12" x14ac:dyDescent="0.25">
      <c r="A1157" s="29" t="s">
        <v>146</v>
      </c>
      <c r="B1157" s="15" t="s">
        <v>1152</v>
      </c>
      <c r="C1157" s="15" t="s">
        <v>10</v>
      </c>
      <c r="D1157" s="16">
        <v>52663636</v>
      </c>
      <c r="E1157" s="17">
        <v>45413</v>
      </c>
      <c r="F1157" s="18">
        <f>MONTH(Data!$E1157)</f>
        <v>5</v>
      </c>
      <c r="G1157" s="16">
        <f>YEAR(Data!$E1157)</f>
        <v>2024</v>
      </c>
      <c r="H1157" s="15" t="s">
        <v>32</v>
      </c>
      <c r="I1157" s="15" t="str">
        <f t="shared" si="18"/>
        <v>Doanh nghiệp</v>
      </c>
      <c r="J1157" s="15" t="s">
        <v>1284</v>
      </c>
      <c r="K1157" s="15" t="s">
        <v>1267</v>
      </c>
      <c r="L1157" s="32">
        <f>Data!$D1157/10^6</f>
        <v>52.663635999999997</v>
      </c>
    </row>
    <row r="1158" spans="1:12" x14ac:dyDescent="0.25">
      <c r="A1158" s="29" t="s">
        <v>95</v>
      </c>
      <c r="B1158" s="15" t="s">
        <v>1153</v>
      </c>
      <c r="C1158" s="15" t="s">
        <v>14</v>
      </c>
      <c r="D1158" s="16">
        <v>173801818</v>
      </c>
      <c r="E1158" s="17">
        <v>45413</v>
      </c>
      <c r="F1158" s="18">
        <f>MONTH(Data!$E1158)</f>
        <v>5</v>
      </c>
      <c r="G1158" s="16">
        <f>YEAR(Data!$E1158)</f>
        <v>2024</v>
      </c>
      <c r="H1158" s="15" t="s">
        <v>35</v>
      </c>
      <c r="I1158" s="15" t="str">
        <f t="shared" si="18"/>
        <v>Doanh nghiệp</v>
      </c>
      <c r="J1158" s="15" t="s">
        <v>1285</v>
      </c>
      <c r="K1158" s="15" t="s">
        <v>1264</v>
      </c>
      <c r="L1158" s="32">
        <f>Data!$D1158/10^6</f>
        <v>173.801818</v>
      </c>
    </row>
    <row r="1159" spans="1:12" x14ac:dyDescent="0.25">
      <c r="A1159" s="29" t="s">
        <v>345</v>
      </c>
      <c r="B1159" s="15" t="s">
        <v>1154</v>
      </c>
      <c r="C1159" s="15" t="s">
        <v>14</v>
      </c>
      <c r="D1159" s="16">
        <v>103909091</v>
      </c>
      <c r="E1159" s="17">
        <v>45413</v>
      </c>
      <c r="F1159" s="18">
        <f>MONTH(Data!$E1159)</f>
        <v>5</v>
      </c>
      <c r="G1159" s="16">
        <f>YEAR(Data!$E1159)</f>
        <v>2024</v>
      </c>
      <c r="H1159" s="15" t="s">
        <v>35</v>
      </c>
      <c r="I1159" s="15" t="str">
        <f t="shared" si="18"/>
        <v>Doanh nghiệp</v>
      </c>
      <c r="J1159" s="15" t="s">
        <v>1284</v>
      </c>
      <c r="K1159" s="15" t="s">
        <v>1264</v>
      </c>
      <c r="L1159" s="32">
        <f>Data!$D1159/10^6</f>
        <v>103.909091</v>
      </c>
    </row>
    <row r="1160" spans="1:12" x14ac:dyDescent="0.25">
      <c r="A1160" s="29" t="s">
        <v>72</v>
      </c>
      <c r="B1160" s="15" t="s">
        <v>1127</v>
      </c>
      <c r="C1160" s="15" t="s">
        <v>149</v>
      </c>
      <c r="D1160" s="16">
        <v>379192111</v>
      </c>
      <c r="E1160" s="17">
        <v>45413</v>
      </c>
      <c r="F1160" s="18">
        <f>MONTH(Data!$E1160)</f>
        <v>5</v>
      </c>
      <c r="G1160" s="16">
        <f>YEAR(Data!$E1160)</f>
        <v>2024</v>
      </c>
      <c r="H1160" s="15" t="s">
        <v>22</v>
      </c>
      <c r="I1160" s="15" t="str">
        <f t="shared" si="18"/>
        <v>Doanh nghiệp</v>
      </c>
      <c r="J1160" s="15" t="s">
        <v>1285</v>
      </c>
      <c r="K1160" s="15" t="s">
        <v>1262</v>
      </c>
      <c r="L1160" s="32">
        <f>Data!$D1160/10^6</f>
        <v>379.19211100000001</v>
      </c>
    </row>
    <row r="1161" spans="1:12" x14ac:dyDescent="0.25">
      <c r="A1161" s="29" t="s">
        <v>98</v>
      </c>
      <c r="B1161" s="15" t="s">
        <v>1144</v>
      </c>
      <c r="C1161" s="15" t="s">
        <v>46</v>
      </c>
      <c r="D1161" s="16">
        <v>341818182</v>
      </c>
      <c r="E1161" s="17">
        <v>45413</v>
      </c>
      <c r="F1161" s="18">
        <f>MONTH(Data!$E1161)</f>
        <v>5</v>
      </c>
      <c r="G1161" s="16">
        <f>YEAR(Data!$E1161)</f>
        <v>2024</v>
      </c>
      <c r="H1161" s="15" t="s">
        <v>11</v>
      </c>
      <c r="I1161" s="15" t="str">
        <f t="shared" si="18"/>
        <v>Doanh nghiệp</v>
      </c>
      <c r="J1161" s="15" t="s">
        <v>1284</v>
      </c>
      <c r="K1161" s="15" t="s">
        <v>1265</v>
      </c>
      <c r="L1161" s="32">
        <f>Data!$D1161/10^6</f>
        <v>341.81818199999998</v>
      </c>
    </row>
    <row r="1162" spans="1:12" x14ac:dyDescent="0.25">
      <c r="A1162" s="29" t="s">
        <v>17</v>
      </c>
      <c r="B1162" s="15" t="s">
        <v>1128</v>
      </c>
      <c r="C1162" s="15" t="s">
        <v>149</v>
      </c>
      <c r="D1162" s="16">
        <v>35320000</v>
      </c>
      <c r="E1162" s="17">
        <v>45413</v>
      </c>
      <c r="F1162" s="18">
        <f>MONTH(Data!$E1162)</f>
        <v>5</v>
      </c>
      <c r="G1162" s="16">
        <f>YEAR(Data!$E1162)</f>
        <v>2024</v>
      </c>
      <c r="H1162" s="15" t="s">
        <v>11</v>
      </c>
      <c r="I1162" s="15" t="str">
        <f t="shared" si="18"/>
        <v>Doanh nghiệp</v>
      </c>
      <c r="J1162" s="15" t="s">
        <v>1285</v>
      </c>
      <c r="K1162" s="15" t="s">
        <v>1264</v>
      </c>
      <c r="L1162" s="32">
        <f>Data!$D1162/10^6</f>
        <v>35.32</v>
      </c>
    </row>
    <row r="1163" spans="1:12" x14ac:dyDescent="0.25">
      <c r="A1163" s="29" t="s">
        <v>17</v>
      </c>
      <c r="B1163" s="15" t="s">
        <v>1129</v>
      </c>
      <c r="C1163" s="15" t="s">
        <v>14</v>
      </c>
      <c r="D1163" s="16">
        <v>78300000</v>
      </c>
      <c r="E1163" s="17">
        <v>45413</v>
      </c>
      <c r="F1163" s="18">
        <f>MONTH(Data!$E1163)</f>
        <v>5</v>
      </c>
      <c r="G1163" s="16">
        <f>YEAR(Data!$E1163)</f>
        <v>2024</v>
      </c>
      <c r="H1163" s="15" t="s">
        <v>11</v>
      </c>
      <c r="I1163" s="15" t="str">
        <f t="shared" si="18"/>
        <v>Doanh nghiệp</v>
      </c>
      <c r="J1163" s="15" t="s">
        <v>1284</v>
      </c>
      <c r="K1163" s="15" t="s">
        <v>1264</v>
      </c>
      <c r="L1163" s="32">
        <f>Data!$D1163/10^6</f>
        <v>78.3</v>
      </c>
    </row>
    <row r="1164" spans="1:12" x14ac:dyDescent="0.25">
      <c r="A1164" s="29" t="s">
        <v>43</v>
      </c>
      <c r="B1164" s="15" t="s">
        <v>1135</v>
      </c>
      <c r="C1164" s="15" t="s">
        <v>10</v>
      </c>
      <c r="D1164" s="16">
        <v>1862108182</v>
      </c>
      <c r="E1164" s="17">
        <v>45413</v>
      </c>
      <c r="F1164" s="18">
        <f>MONTH(Data!$E1164)</f>
        <v>5</v>
      </c>
      <c r="G1164" s="16">
        <f>YEAR(Data!$E1164)</f>
        <v>2024</v>
      </c>
      <c r="H1164" s="15" t="s">
        <v>35</v>
      </c>
      <c r="I1164" s="15" t="str">
        <f t="shared" si="18"/>
        <v>Doanh nghiệp</v>
      </c>
      <c r="J1164" s="15" t="s">
        <v>1285</v>
      </c>
      <c r="K1164" s="15" t="s">
        <v>1276</v>
      </c>
      <c r="L1164" s="32">
        <f>Data!$D1164/10^6</f>
        <v>1862.1081819999999</v>
      </c>
    </row>
    <row r="1165" spans="1:12" x14ac:dyDescent="0.25">
      <c r="A1165" s="29" t="s">
        <v>68</v>
      </c>
      <c r="B1165" s="15" t="s">
        <v>1139</v>
      </c>
      <c r="C1165" s="15" t="s">
        <v>149</v>
      </c>
      <c r="D1165" s="16">
        <v>76778745</v>
      </c>
      <c r="E1165" s="17">
        <v>45413</v>
      </c>
      <c r="F1165" s="18">
        <f>MONTH(Data!$E1165)</f>
        <v>5</v>
      </c>
      <c r="G1165" s="16">
        <f>YEAR(Data!$E1165)</f>
        <v>2024</v>
      </c>
      <c r="H1165" s="15" t="s">
        <v>22</v>
      </c>
      <c r="I1165" s="15" t="str">
        <f t="shared" si="18"/>
        <v>Doanh nghiệp</v>
      </c>
      <c r="J1165" s="15" t="s">
        <v>1284</v>
      </c>
      <c r="K1165" s="15" t="s">
        <v>1262</v>
      </c>
      <c r="L1165" s="32">
        <f>Data!$D1165/10^6</f>
        <v>76.778745000000001</v>
      </c>
    </row>
    <row r="1166" spans="1:12" x14ac:dyDescent="0.25">
      <c r="A1166" s="29" t="s">
        <v>55</v>
      </c>
      <c r="B1166" s="15" t="s">
        <v>1146</v>
      </c>
      <c r="C1166" s="15" t="s">
        <v>10</v>
      </c>
      <c r="D1166" s="16">
        <v>163614227</v>
      </c>
      <c r="E1166" s="17">
        <v>45413</v>
      </c>
      <c r="F1166" s="18">
        <f>MONTH(Data!$E1166)</f>
        <v>5</v>
      </c>
      <c r="G1166" s="16">
        <f>YEAR(Data!$E1166)</f>
        <v>2024</v>
      </c>
      <c r="H1166" s="15" t="s">
        <v>15</v>
      </c>
      <c r="I1166" s="15" t="str">
        <f t="shared" si="18"/>
        <v>Doanh nghiệp</v>
      </c>
      <c r="J1166" s="15" t="s">
        <v>1285</v>
      </c>
      <c r="K1166" s="15" t="s">
        <v>1263</v>
      </c>
      <c r="L1166" s="32">
        <f>Data!$D1166/10^6</f>
        <v>163.614227</v>
      </c>
    </row>
    <row r="1167" spans="1:12" x14ac:dyDescent="0.25">
      <c r="A1167" s="29" t="s">
        <v>48</v>
      </c>
      <c r="B1167" s="15" t="s">
        <v>1155</v>
      </c>
      <c r="C1167" s="15" t="s">
        <v>10</v>
      </c>
      <c r="D1167" s="16">
        <v>33100000</v>
      </c>
      <c r="E1167" s="17">
        <v>45413</v>
      </c>
      <c r="F1167" s="18">
        <f>MONTH(Data!$E1167)</f>
        <v>5</v>
      </c>
      <c r="G1167" s="16">
        <f>YEAR(Data!$E1167)</f>
        <v>2024</v>
      </c>
      <c r="H1167" s="15" t="s">
        <v>25</v>
      </c>
      <c r="I1167" s="15" t="str">
        <f t="shared" si="18"/>
        <v>Doanh nghiệp</v>
      </c>
      <c r="J1167" s="15" t="s">
        <v>1284</v>
      </c>
      <c r="K1167" s="15" t="s">
        <v>1267</v>
      </c>
      <c r="L1167" s="32">
        <f>Data!$D1167/10^6</f>
        <v>33.1</v>
      </c>
    </row>
    <row r="1168" spans="1:12" x14ac:dyDescent="0.25">
      <c r="A1168" s="29" t="s">
        <v>65</v>
      </c>
      <c r="B1168" s="15" t="s">
        <v>1157</v>
      </c>
      <c r="C1168" s="15" t="s">
        <v>14</v>
      </c>
      <c r="D1168" s="16">
        <v>74424000</v>
      </c>
      <c r="E1168" s="17">
        <v>45413</v>
      </c>
      <c r="F1168" s="18">
        <f>MONTH(Data!$E1168)</f>
        <v>5</v>
      </c>
      <c r="G1168" s="16">
        <f>YEAR(Data!$E1168)</f>
        <v>2024</v>
      </c>
      <c r="H1168" s="15" t="s">
        <v>25</v>
      </c>
      <c r="I1168" s="15" t="str">
        <f t="shared" si="18"/>
        <v>Doanh nghiệp</v>
      </c>
      <c r="J1168" s="15" t="s">
        <v>1285</v>
      </c>
      <c r="K1168" s="15" t="s">
        <v>1264</v>
      </c>
      <c r="L1168" s="32">
        <f>Data!$D1168/10^6</f>
        <v>74.424000000000007</v>
      </c>
    </row>
    <row r="1169" spans="1:12" x14ac:dyDescent="0.25">
      <c r="A1169" s="29" t="s">
        <v>95</v>
      </c>
      <c r="B1169" s="15" t="s">
        <v>1197</v>
      </c>
      <c r="C1169" s="15" t="s">
        <v>10</v>
      </c>
      <c r="D1169" s="16">
        <v>67112500</v>
      </c>
      <c r="E1169" s="17">
        <v>45413</v>
      </c>
      <c r="F1169" s="18">
        <f>MONTH(Data!$E1169)</f>
        <v>5</v>
      </c>
      <c r="G1169" s="16">
        <f>YEAR(Data!$E1169)</f>
        <v>2024</v>
      </c>
      <c r="H1169" s="15" t="s">
        <v>35</v>
      </c>
      <c r="I1169" s="15" t="str">
        <f t="shared" si="18"/>
        <v>Doanh nghiệp</v>
      </c>
      <c r="J1169" s="15" t="s">
        <v>1284</v>
      </c>
      <c r="K1169" s="15" t="s">
        <v>1263</v>
      </c>
      <c r="L1169" s="32">
        <f>Data!$D1169/10^6</f>
        <v>67.112499999999997</v>
      </c>
    </row>
    <row r="1170" spans="1:12" x14ac:dyDescent="0.25">
      <c r="A1170" s="29" t="s">
        <v>95</v>
      </c>
      <c r="B1170" s="15" t="s">
        <v>1198</v>
      </c>
      <c r="C1170" s="15" t="s">
        <v>41</v>
      </c>
      <c r="D1170" s="16">
        <v>77000000</v>
      </c>
      <c r="E1170" s="17">
        <v>45413</v>
      </c>
      <c r="F1170" s="18">
        <f>MONTH(Data!$E1170)</f>
        <v>5</v>
      </c>
      <c r="G1170" s="16">
        <f>YEAR(Data!$E1170)</f>
        <v>2024</v>
      </c>
      <c r="H1170" s="15" t="s">
        <v>35</v>
      </c>
      <c r="I1170" s="15" t="str">
        <f t="shared" si="18"/>
        <v>Doanh nghiệp</v>
      </c>
      <c r="J1170" s="15" t="s">
        <v>1285</v>
      </c>
      <c r="K1170" s="15" t="s">
        <v>1269</v>
      </c>
      <c r="L1170" s="32">
        <f>Data!$D1170/10^6</f>
        <v>77</v>
      </c>
    </row>
    <row r="1171" spans="1:12" x14ac:dyDescent="0.25">
      <c r="A1171" s="29" t="s">
        <v>95</v>
      </c>
      <c r="B1171" s="15" t="s">
        <v>1199</v>
      </c>
      <c r="C1171" s="15" t="s">
        <v>10</v>
      </c>
      <c r="D1171" s="16">
        <v>25821818</v>
      </c>
      <c r="E1171" s="17">
        <v>45413</v>
      </c>
      <c r="F1171" s="18">
        <f>MONTH(Data!$E1171)</f>
        <v>5</v>
      </c>
      <c r="G1171" s="16">
        <f>YEAR(Data!$E1171)</f>
        <v>2024</v>
      </c>
      <c r="H1171" s="15" t="s">
        <v>35</v>
      </c>
      <c r="I1171" s="15" t="str">
        <f t="shared" si="18"/>
        <v>Doanh nghiệp</v>
      </c>
      <c r="J1171" s="15" t="s">
        <v>1284</v>
      </c>
      <c r="K1171" s="15" t="s">
        <v>1263</v>
      </c>
      <c r="L1171" s="32">
        <f>Data!$D1171/10^6</f>
        <v>25.821818</v>
      </c>
    </row>
    <row r="1172" spans="1:12" x14ac:dyDescent="0.25">
      <c r="A1172" s="29" t="s">
        <v>30</v>
      </c>
      <c r="B1172" s="15" t="s">
        <v>1216</v>
      </c>
      <c r="C1172" s="15" t="s">
        <v>149</v>
      </c>
      <c r="D1172" s="16">
        <v>19793455</v>
      </c>
      <c r="E1172" s="17">
        <v>45413</v>
      </c>
      <c r="F1172" s="18">
        <f>MONTH(Data!$E1172)</f>
        <v>5</v>
      </c>
      <c r="G1172" s="16">
        <f>YEAR(Data!$E1172)</f>
        <v>2024</v>
      </c>
      <c r="H1172" s="15" t="s">
        <v>32</v>
      </c>
      <c r="I1172" s="15" t="str">
        <f t="shared" si="18"/>
        <v>Doanh nghiệp</v>
      </c>
      <c r="J1172" s="15" t="s">
        <v>1285</v>
      </c>
      <c r="K1172" s="15" t="s">
        <v>1275</v>
      </c>
      <c r="L1172" s="32">
        <f>Data!$D1172/10^6</f>
        <v>19.793455000000002</v>
      </c>
    </row>
    <row r="1173" spans="1:12" x14ac:dyDescent="0.25">
      <c r="A1173" s="29" t="s">
        <v>255</v>
      </c>
      <c r="B1173" s="15" t="s">
        <v>1247</v>
      </c>
      <c r="C1173" s="15" t="s">
        <v>46</v>
      </c>
      <c r="D1173" s="16">
        <v>72000000</v>
      </c>
      <c r="E1173" s="17">
        <v>45413</v>
      </c>
      <c r="F1173" s="18">
        <f>MONTH(Data!$E1173)</f>
        <v>5</v>
      </c>
      <c r="G1173" s="16">
        <f>YEAR(Data!$E1173)</f>
        <v>2024</v>
      </c>
      <c r="H1173" s="15" t="s">
        <v>11</v>
      </c>
      <c r="I1173" s="15" t="str">
        <f t="shared" si="18"/>
        <v>Doanh nghiệp</v>
      </c>
      <c r="J1173" s="15" t="s">
        <v>1284</v>
      </c>
      <c r="K1173" s="15" t="s">
        <v>1271</v>
      </c>
      <c r="L1173" s="32">
        <f>Data!$D1173/10^6</f>
        <v>72</v>
      </c>
    </row>
    <row r="1174" spans="1:12" x14ac:dyDescent="0.25">
      <c r="A1174" s="29" t="s">
        <v>8</v>
      </c>
      <c r="B1174" s="15" t="s">
        <v>1248</v>
      </c>
      <c r="C1174" s="15" t="s">
        <v>46</v>
      </c>
      <c r="D1174" s="16">
        <v>63545455</v>
      </c>
      <c r="E1174" s="17">
        <v>45413</v>
      </c>
      <c r="F1174" s="18">
        <f>MONTH(Data!$E1174)</f>
        <v>5</v>
      </c>
      <c r="G1174" s="16">
        <f>YEAR(Data!$E1174)</f>
        <v>2024</v>
      </c>
      <c r="H1174" s="15" t="s">
        <v>11</v>
      </c>
      <c r="I1174" s="15" t="str">
        <f t="shared" si="18"/>
        <v>Doanh nghiệp</v>
      </c>
      <c r="J1174" s="15" t="s">
        <v>1285</v>
      </c>
      <c r="K1174" s="15" t="s">
        <v>1271</v>
      </c>
      <c r="L1174" s="32">
        <f>Data!$D1174/10^6</f>
        <v>63.545454999999997</v>
      </c>
    </row>
    <row r="1175" spans="1:12" x14ac:dyDescent="0.25">
      <c r="A1175" s="29" t="s">
        <v>45</v>
      </c>
      <c r="B1175" s="15" t="s">
        <v>1249</v>
      </c>
      <c r="C1175" s="15" t="s">
        <v>46</v>
      </c>
      <c r="D1175" s="16">
        <v>63636364</v>
      </c>
      <c r="E1175" s="17">
        <v>45413</v>
      </c>
      <c r="F1175" s="18">
        <f>MONTH(Data!$E1175)</f>
        <v>5</v>
      </c>
      <c r="G1175" s="16">
        <f>YEAR(Data!$E1175)</f>
        <v>2024</v>
      </c>
      <c r="H1175" s="15" t="s">
        <v>29</v>
      </c>
      <c r="I1175" s="15" t="str">
        <f t="shared" si="18"/>
        <v>Doanh nghiệp</v>
      </c>
      <c r="J1175" s="15" t="s">
        <v>1284</v>
      </c>
      <c r="K1175" s="15" t="s">
        <v>1271</v>
      </c>
      <c r="L1175" s="32">
        <f>Data!$D1175/10^6</f>
        <v>63.636364</v>
      </c>
    </row>
    <row r="1176" spans="1:12" x14ac:dyDescent="0.25">
      <c r="A1176" s="29" t="s">
        <v>89</v>
      </c>
      <c r="B1176" s="15" t="s">
        <v>1248</v>
      </c>
      <c r="C1176" s="15" t="s">
        <v>46</v>
      </c>
      <c r="D1176" s="16">
        <v>11345455</v>
      </c>
      <c r="E1176" s="17">
        <v>45413</v>
      </c>
      <c r="F1176" s="18">
        <f>MONTH(Data!$E1176)</f>
        <v>5</v>
      </c>
      <c r="G1176" s="16">
        <f>YEAR(Data!$E1176)</f>
        <v>2024</v>
      </c>
      <c r="H1176" s="15" t="s">
        <v>11</v>
      </c>
      <c r="I1176" s="15" t="str">
        <f t="shared" si="18"/>
        <v>Doanh nghiệp</v>
      </c>
      <c r="J1176" s="15" t="s">
        <v>1285</v>
      </c>
      <c r="K1176" s="15" t="s">
        <v>1271</v>
      </c>
      <c r="L1176" s="32">
        <f>Data!$D1176/10^6</f>
        <v>11.345454999999999</v>
      </c>
    </row>
    <row r="1177" spans="1:12" x14ac:dyDescent="0.25">
      <c r="A1177" s="29" t="s">
        <v>127</v>
      </c>
      <c r="B1177" s="15" t="s">
        <v>1249</v>
      </c>
      <c r="C1177" s="15" t="s">
        <v>46</v>
      </c>
      <c r="D1177" s="16">
        <v>40500000</v>
      </c>
      <c r="E1177" s="17">
        <v>45413</v>
      </c>
      <c r="F1177" s="18">
        <f>MONTH(Data!$E1177)</f>
        <v>5</v>
      </c>
      <c r="G1177" s="16">
        <f>YEAR(Data!$E1177)</f>
        <v>2024</v>
      </c>
      <c r="H1177" s="15" t="s">
        <v>32</v>
      </c>
      <c r="I1177" s="15" t="str">
        <f t="shared" si="18"/>
        <v>Doanh nghiệp</v>
      </c>
      <c r="J1177" s="15" t="s">
        <v>1284</v>
      </c>
      <c r="K1177" s="15" t="s">
        <v>1271</v>
      </c>
      <c r="L1177" s="32">
        <f>Data!$D1177/10^6</f>
        <v>40.5</v>
      </c>
    </row>
    <row r="1178" spans="1:12" x14ac:dyDescent="0.25">
      <c r="A1178" s="29" t="s">
        <v>52</v>
      </c>
      <c r="B1178" s="15" t="s">
        <v>1247</v>
      </c>
      <c r="C1178" s="15" t="s">
        <v>14</v>
      </c>
      <c r="D1178" s="16">
        <v>58200000</v>
      </c>
      <c r="E1178" s="17">
        <v>45413</v>
      </c>
      <c r="F1178" s="18">
        <f>MONTH(Data!$E1178)</f>
        <v>5</v>
      </c>
      <c r="G1178" s="16">
        <f>YEAR(Data!$E1178)</f>
        <v>2024</v>
      </c>
      <c r="H1178" s="15" t="s">
        <v>35</v>
      </c>
      <c r="I1178" s="15" t="str">
        <f t="shared" si="18"/>
        <v>Doanh nghiệp</v>
      </c>
      <c r="J1178" s="15" t="s">
        <v>1285</v>
      </c>
      <c r="K1178" s="15" t="s">
        <v>1264</v>
      </c>
      <c r="L1178" s="32">
        <f>Data!$D1178/10^6</f>
        <v>58.2</v>
      </c>
    </row>
    <row r="1179" spans="1:12" x14ac:dyDescent="0.25">
      <c r="A1179" s="29" t="s">
        <v>65</v>
      </c>
      <c r="B1179" s="15" t="s">
        <v>1060</v>
      </c>
      <c r="C1179" s="15" t="s">
        <v>14</v>
      </c>
      <c r="D1179" s="16">
        <v>324800000</v>
      </c>
      <c r="E1179" s="17">
        <v>45413</v>
      </c>
      <c r="F1179" s="18">
        <f>MONTH(Data!$E1179)</f>
        <v>5</v>
      </c>
      <c r="G1179" s="16">
        <f>YEAR(Data!$E1179)</f>
        <v>2024</v>
      </c>
      <c r="H1179" s="15" t="s">
        <v>25</v>
      </c>
      <c r="I1179" s="15" t="str">
        <f t="shared" si="18"/>
        <v>Doanh nghiệp</v>
      </c>
      <c r="J1179" s="15" t="s">
        <v>1284</v>
      </c>
      <c r="K1179" s="15" t="s">
        <v>1264</v>
      </c>
      <c r="L1179" s="32">
        <f>Data!$D1179/10^6</f>
        <v>324.8</v>
      </c>
    </row>
    <row r="1180" spans="1:12" x14ac:dyDescent="0.25">
      <c r="A1180" s="29" t="s">
        <v>87</v>
      </c>
      <c r="B1180" s="15" t="s">
        <v>1080</v>
      </c>
      <c r="C1180" s="15" t="s">
        <v>46</v>
      </c>
      <c r="D1180" s="16">
        <v>25090909</v>
      </c>
      <c r="E1180" s="17">
        <v>45413</v>
      </c>
      <c r="F1180" s="18">
        <f>MONTH(Data!$E1180)</f>
        <v>5</v>
      </c>
      <c r="G1180" s="16">
        <f>YEAR(Data!$E1180)</f>
        <v>2024</v>
      </c>
      <c r="H1180" s="15" t="s">
        <v>29</v>
      </c>
      <c r="I1180" s="15" t="str">
        <f t="shared" si="18"/>
        <v>Doanh nghiệp</v>
      </c>
      <c r="J1180" s="15" t="s">
        <v>1285</v>
      </c>
      <c r="K1180" s="15" t="s">
        <v>1271</v>
      </c>
      <c r="L1180" s="32">
        <f>Data!$D1180/10^6</f>
        <v>25.090909</v>
      </c>
    </row>
    <row r="1181" spans="1:12" x14ac:dyDescent="0.25">
      <c r="A1181" s="29" t="s">
        <v>87</v>
      </c>
      <c r="B1181" s="15" t="s">
        <v>1081</v>
      </c>
      <c r="C1181" s="15" t="s">
        <v>46</v>
      </c>
      <c r="D1181" s="16">
        <v>38547273</v>
      </c>
      <c r="E1181" s="17">
        <v>45413</v>
      </c>
      <c r="F1181" s="18">
        <f>MONTH(Data!$E1181)</f>
        <v>5</v>
      </c>
      <c r="G1181" s="16">
        <f>YEAR(Data!$E1181)</f>
        <v>2024</v>
      </c>
      <c r="H1181" s="15" t="s">
        <v>29</v>
      </c>
      <c r="I1181" s="15" t="str">
        <f t="shared" si="18"/>
        <v>Doanh nghiệp</v>
      </c>
      <c r="J1181" s="15" t="s">
        <v>1284</v>
      </c>
      <c r="K1181" s="15" t="s">
        <v>1271</v>
      </c>
      <c r="L1181" s="32">
        <f>Data!$D1181/10^6</f>
        <v>38.547272999999997</v>
      </c>
    </row>
    <row r="1182" spans="1:12" x14ac:dyDescent="0.25">
      <c r="A1182" s="29" t="s">
        <v>87</v>
      </c>
      <c r="B1182" s="15" t="s">
        <v>1082</v>
      </c>
      <c r="C1182" s="15" t="s">
        <v>46</v>
      </c>
      <c r="D1182" s="16">
        <v>105054545</v>
      </c>
      <c r="E1182" s="17">
        <v>45413</v>
      </c>
      <c r="F1182" s="18">
        <f>MONTH(Data!$E1182)</f>
        <v>5</v>
      </c>
      <c r="G1182" s="16">
        <f>YEAR(Data!$E1182)</f>
        <v>2024</v>
      </c>
      <c r="H1182" s="15" t="s">
        <v>29</v>
      </c>
      <c r="I1182" s="15" t="str">
        <f t="shared" si="18"/>
        <v>Doanh nghiệp</v>
      </c>
      <c r="J1182" s="15" t="s">
        <v>1285</v>
      </c>
      <c r="K1182" s="15" t="s">
        <v>1271</v>
      </c>
      <c r="L1182" s="32">
        <f>Data!$D1182/10^6</f>
        <v>105.054545</v>
      </c>
    </row>
    <row r="1183" spans="1:12" x14ac:dyDescent="0.25">
      <c r="A1183" s="29" t="s">
        <v>87</v>
      </c>
      <c r="B1183" s="15" t="s">
        <v>1083</v>
      </c>
      <c r="C1183" s="15" t="s">
        <v>46</v>
      </c>
      <c r="D1183" s="16">
        <v>27218182</v>
      </c>
      <c r="E1183" s="17">
        <v>45413</v>
      </c>
      <c r="F1183" s="18">
        <f>MONTH(Data!$E1183)</f>
        <v>5</v>
      </c>
      <c r="G1183" s="16">
        <f>YEAR(Data!$E1183)</f>
        <v>2024</v>
      </c>
      <c r="H1183" s="15" t="s">
        <v>29</v>
      </c>
      <c r="I1183" s="15" t="str">
        <f t="shared" si="18"/>
        <v>Doanh nghiệp</v>
      </c>
      <c r="J1183" s="15" t="s">
        <v>1284</v>
      </c>
      <c r="K1183" s="15" t="s">
        <v>1271</v>
      </c>
      <c r="L1183" s="32">
        <f>Data!$D1183/10^6</f>
        <v>27.218181999999999</v>
      </c>
    </row>
    <row r="1184" spans="1:12" x14ac:dyDescent="0.25">
      <c r="A1184" s="29" t="s">
        <v>87</v>
      </c>
      <c r="B1184" s="15" t="s">
        <v>1084</v>
      </c>
      <c r="C1184" s="15" t="s">
        <v>46</v>
      </c>
      <c r="D1184" s="16">
        <v>96170909</v>
      </c>
      <c r="E1184" s="17">
        <v>45413</v>
      </c>
      <c r="F1184" s="18">
        <f>MONTH(Data!$E1184)</f>
        <v>5</v>
      </c>
      <c r="G1184" s="16">
        <f>YEAR(Data!$E1184)</f>
        <v>2024</v>
      </c>
      <c r="H1184" s="15" t="s">
        <v>29</v>
      </c>
      <c r="I1184" s="15" t="str">
        <f t="shared" si="18"/>
        <v>Doanh nghiệp</v>
      </c>
      <c r="J1184" s="15" t="s">
        <v>1285</v>
      </c>
      <c r="K1184" s="15" t="s">
        <v>1271</v>
      </c>
      <c r="L1184" s="32">
        <f>Data!$D1184/10^6</f>
        <v>96.170908999999995</v>
      </c>
    </row>
    <row r="1185" spans="1:12" x14ac:dyDescent="0.25">
      <c r="A1185" s="29" t="s">
        <v>45</v>
      </c>
      <c r="B1185" s="15" t="s">
        <v>312</v>
      </c>
      <c r="C1185" s="15" t="s">
        <v>149</v>
      </c>
      <c r="D1185" s="16">
        <v>17555455</v>
      </c>
      <c r="E1185" s="17">
        <v>45413</v>
      </c>
      <c r="F1185" s="18">
        <f>MONTH(Data!$E1185)</f>
        <v>5</v>
      </c>
      <c r="G1185" s="16">
        <f>YEAR(Data!$E1185)</f>
        <v>2024</v>
      </c>
      <c r="H1185" s="15" t="s">
        <v>29</v>
      </c>
      <c r="I1185" s="15" t="str">
        <f t="shared" si="18"/>
        <v>Sở ban ngành</v>
      </c>
      <c r="J1185" s="15" t="s">
        <v>1284</v>
      </c>
      <c r="K1185" s="15" t="s">
        <v>1263</v>
      </c>
      <c r="L1185" s="32">
        <f>Data!$D1185/10^6</f>
        <v>17.555454999999998</v>
      </c>
    </row>
    <row r="1186" spans="1:12" x14ac:dyDescent="0.25">
      <c r="A1186" s="29" t="s">
        <v>8</v>
      </c>
      <c r="B1186" s="15" t="s">
        <v>339</v>
      </c>
      <c r="C1186" s="15" t="s">
        <v>10</v>
      </c>
      <c r="D1186" s="16">
        <v>54748182</v>
      </c>
      <c r="E1186" s="17">
        <v>45413</v>
      </c>
      <c r="F1186" s="18">
        <f>MONTH(Data!$E1186)</f>
        <v>5</v>
      </c>
      <c r="G1186" s="16">
        <f>YEAR(Data!$E1186)</f>
        <v>2024</v>
      </c>
      <c r="H1186" s="15" t="s">
        <v>11</v>
      </c>
      <c r="I1186" s="15" t="str">
        <f t="shared" si="18"/>
        <v>Sở ban ngành</v>
      </c>
      <c r="J1186" s="15" t="s">
        <v>1285</v>
      </c>
      <c r="K1186" s="15" t="s">
        <v>1263</v>
      </c>
      <c r="L1186" s="32">
        <f>Data!$D1186/10^6</f>
        <v>54.748182</v>
      </c>
    </row>
    <row r="1187" spans="1:12" x14ac:dyDescent="0.25">
      <c r="A1187" s="29" t="s">
        <v>87</v>
      </c>
      <c r="B1187" s="15" t="s">
        <v>309</v>
      </c>
      <c r="C1187" s="15" t="s">
        <v>46</v>
      </c>
      <c r="D1187" s="16">
        <v>23636364</v>
      </c>
      <c r="E1187" s="17">
        <v>45413</v>
      </c>
      <c r="F1187" s="18">
        <f>MONTH(Data!$E1187)</f>
        <v>5</v>
      </c>
      <c r="G1187" s="16">
        <f>YEAR(Data!$E1187)</f>
        <v>2024</v>
      </c>
      <c r="H1187" s="15" t="s">
        <v>29</v>
      </c>
      <c r="I1187" s="15" t="str">
        <f t="shared" si="18"/>
        <v>Sở ban ngành</v>
      </c>
      <c r="J1187" s="15" t="s">
        <v>1284</v>
      </c>
      <c r="K1187" s="15" t="s">
        <v>1271</v>
      </c>
      <c r="L1187" s="32">
        <f>Data!$D1187/10^6</f>
        <v>23.636364</v>
      </c>
    </row>
    <row r="1188" spans="1:12" x14ac:dyDescent="0.25">
      <c r="A1188" s="29" t="s">
        <v>28</v>
      </c>
      <c r="B1188" s="15" t="s">
        <v>344</v>
      </c>
      <c r="C1188" s="15" t="s">
        <v>46</v>
      </c>
      <c r="D1188" s="16">
        <v>63636364</v>
      </c>
      <c r="E1188" s="17">
        <v>45413</v>
      </c>
      <c r="F1188" s="18">
        <f>MONTH(Data!$E1188)</f>
        <v>5</v>
      </c>
      <c r="G1188" s="16">
        <f>YEAR(Data!$E1188)</f>
        <v>2024</v>
      </c>
      <c r="H1188" s="15" t="s">
        <v>29</v>
      </c>
      <c r="I1188" s="15" t="str">
        <f t="shared" si="18"/>
        <v>Ngân hàng</v>
      </c>
      <c r="J1188" s="15" t="s">
        <v>1285</v>
      </c>
      <c r="K1188" s="15" t="s">
        <v>1271</v>
      </c>
      <c r="L1188" s="32">
        <f>Data!$D1188/10^6</f>
        <v>63.636364</v>
      </c>
    </row>
    <row r="1189" spans="1:12" x14ac:dyDescent="0.25">
      <c r="A1189" s="29" t="s">
        <v>72</v>
      </c>
      <c r="B1189" s="15" t="s">
        <v>304</v>
      </c>
      <c r="C1189" s="15" t="s">
        <v>10</v>
      </c>
      <c r="D1189" s="16">
        <v>15206364</v>
      </c>
      <c r="E1189" s="17">
        <v>45413</v>
      </c>
      <c r="F1189" s="18">
        <f>MONTH(Data!$E1189)</f>
        <v>5</v>
      </c>
      <c r="G1189" s="16">
        <f>YEAR(Data!$E1189)</f>
        <v>2024</v>
      </c>
      <c r="H1189" s="15" t="s">
        <v>22</v>
      </c>
      <c r="I1189" s="15" t="str">
        <f t="shared" si="18"/>
        <v>Sở ban ngành</v>
      </c>
      <c r="J1189" s="15" t="s">
        <v>1284</v>
      </c>
      <c r="K1189" s="15" t="s">
        <v>1262</v>
      </c>
      <c r="L1189" s="32">
        <f>Data!$D1189/10^6</f>
        <v>15.206364000000001</v>
      </c>
    </row>
    <row r="1190" spans="1:12" x14ac:dyDescent="0.25">
      <c r="A1190" s="29" t="s">
        <v>52</v>
      </c>
      <c r="B1190" s="15" t="s">
        <v>314</v>
      </c>
      <c r="C1190" s="15" t="s">
        <v>14</v>
      </c>
      <c r="D1190" s="16">
        <v>831979600</v>
      </c>
      <c r="E1190" s="17">
        <v>45413</v>
      </c>
      <c r="F1190" s="18">
        <f>MONTH(Data!$E1190)</f>
        <v>5</v>
      </c>
      <c r="G1190" s="16">
        <f>YEAR(Data!$E1190)</f>
        <v>2024</v>
      </c>
      <c r="H1190" s="15" t="s">
        <v>35</v>
      </c>
      <c r="I1190" s="15" t="str">
        <f t="shared" si="18"/>
        <v>Doanh nghiệp</v>
      </c>
      <c r="J1190" s="15" t="s">
        <v>1285</v>
      </c>
      <c r="K1190" s="15" t="s">
        <v>1275</v>
      </c>
      <c r="L1190" s="32">
        <f>Data!$D1190/10^6</f>
        <v>831.9796</v>
      </c>
    </row>
    <row r="1191" spans="1:12" x14ac:dyDescent="0.25">
      <c r="A1191" s="29" t="s">
        <v>55</v>
      </c>
      <c r="B1191" s="15" t="s">
        <v>337</v>
      </c>
      <c r="C1191" s="15" t="s">
        <v>10</v>
      </c>
      <c r="D1191" s="16">
        <v>42409091</v>
      </c>
      <c r="E1191" s="17">
        <v>45413</v>
      </c>
      <c r="F1191" s="18">
        <f>MONTH(Data!$E1191)</f>
        <v>5</v>
      </c>
      <c r="G1191" s="16">
        <f>YEAR(Data!$E1191)</f>
        <v>2024</v>
      </c>
      <c r="H1191" s="15" t="s">
        <v>15</v>
      </c>
      <c r="I1191" s="15" t="str">
        <f t="shared" si="18"/>
        <v>Sở ban ngành</v>
      </c>
      <c r="J1191" s="15" t="s">
        <v>1284</v>
      </c>
      <c r="K1191" s="15" t="s">
        <v>1262</v>
      </c>
      <c r="L1191" s="32">
        <f>Data!$D1191/10^6</f>
        <v>42.409090999999997</v>
      </c>
    </row>
    <row r="1192" spans="1:12" x14ac:dyDescent="0.25">
      <c r="A1192" s="29" t="s">
        <v>89</v>
      </c>
      <c r="B1192" s="15" t="s">
        <v>300</v>
      </c>
      <c r="C1192" s="15" t="s">
        <v>149</v>
      </c>
      <c r="D1192" s="16">
        <v>11562354</v>
      </c>
      <c r="E1192" s="17">
        <v>45413</v>
      </c>
      <c r="F1192" s="18">
        <f>MONTH(Data!$E1192)</f>
        <v>5</v>
      </c>
      <c r="G1192" s="16">
        <f>YEAR(Data!$E1192)</f>
        <v>2024</v>
      </c>
      <c r="H1192" s="15" t="s">
        <v>11</v>
      </c>
      <c r="I1192" s="15" t="str">
        <f t="shared" si="18"/>
        <v>Sở ban ngành</v>
      </c>
      <c r="J1192" s="15" t="s">
        <v>1285</v>
      </c>
      <c r="K1192" s="15" t="s">
        <v>1264</v>
      </c>
      <c r="L1192" s="32">
        <f>Data!$D1192/10^6</f>
        <v>11.562353999999999</v>
      </c>
    </row>
    <row r="1193" spans="1:12" x14ac:dyDescent="0.25">
      <c r="A1193" s="29" t="s">
        <v>89</v>
      </c>
      <c r="B1193" s="15" t="s">
        <v>301</v>
      </c>
      <c r="C1193" s="15" t="s">
        <v>14</v>
      </c>
      <c r="D1193" s="16">
        <v>13000000</v>
      </c>
      <c r="E1193" s="17">
        <v>45413</v>
      </c>
      <c r="F1193" s="18">
        <f>MONTH(Data!$E1193)</f>
        <v>5</v>
      </c>
      <c r="G1193" s="16">
        <f>YEAR(Data!$E1193)</f>
        <v>2024</v>
      </c>
      <c r="H1193" s="15" t="s">
        <v>11</v>
      </c>
      <c r="I1193" s="15" t="str">
        <f t="shared" si="18"/>
        <v>Sở ban ngành</v>
      </c>
      <c r="J1193" s="15" t="s">
        <v>1284</v>
      </c>
      <c r="K1193" s="15" t="s">
        <v>1264</v>
      </c>
      <c r="L1193" s="32">
        <f>Data!$D1193/10^6</f>
        <v>13</v>
      </c>
    </row>
    <row r="1194" spans="1:12" x14ac:dyDescent="0.25">
      <c r="A1194" s="29" t="s">
        <v>23</v>
      </c>
      <c r="B1194" s="15" t="s">
        <v>308</v>
      </c>
      <c r="C1194" s="15" t="s">
        <v>10</v>
      </c>
      <c r="D1194" s="16">
        <v>28269091</v>
      </c>
      <c r="E1194" s="17">
        <v>45413</v>
      </c>
      <c r="F1194" s="18">
        <f>MONTH(Data!$E1194)</f>
        <v>5</v>
      </c>
      <c r="G1194" s="16">
        <f>YEAR(Data!$E1194)</f>
        <v>2024</v>
      </c>
      <c r="H1194" s="15" t="s">
        <v>25</v>
      </c>
      <c r="I1194" s="15" t="str">
        <f t="shared" si="18"/>
        <v>Sở ban ngành</v>
      </c>
      <c r="J1194" s="15" t="s">
        <v>1285</v>
      </c>
      <c r="K1194" s="15" t="s">
        <v>1267</v>
      </c>
      <c r="L1194" s="32">
        <f>Data!$D1194/10^6</f>
        <v>28.269091</v>
      </c>
    </row>
    <row r="1195" spans="1:12" x14ac:dyDescent="0.25">
      <c r="A1195" s="29" t="s">
        <v>65</v>
      </c>
      <c r="B1195" s="15" t="s">
        <v>341</v>
      </c>
      <c r="C1195" s="15" t="s">
        <v>14</v>
      </c>
      <c r="D1195" s="16">
        <v>34700000</v>
      </c>
      <c r="E1195" s="17">
        <v>45413</v>
      </c>
      <c r="F1195" s="18">
        <f>MONTH(Data!$E1195)</f>
        <v>5</v>
      </c>
      <c r="G1195" s="16">
        <f>YEAR(Data!$E1195)</f>
        <v>2024</v>
      </c>
      <c r="H1195" s="15" t="s">
        <v>25</v>
      </c>
      <c r="I1195" s="15" t="str">
        <f t="shared" si="18"/>
        <v>Sở ban ngành</v>
      </c>
      <c r="J1195" s="15" t="s">
        <v>1284</v>
      </c>
      <c r="K1195" s="15" t="s">
        <v>1264</v>
      </c>
      <c r="L1195" s="32">
        <f>Data!$D1195/10^6</f>
        <v>34.700000000000003</v>
      </c>
    </row>
    <row r="1196" spans="1:12" x14ac:dyDescent="0.25">
      <c r="A1196" s="29" t="s">
        <v>43</v>
      </c>
      <c r="B1196" s="15" t="s">
        <v>303</v>
      </c>
      <c r="C1196" s="15" t="s">
        <v>10</v>
      </c>
      <c r="D1196" s="16">
        <v>688474162</v>
      </c>
      <c r="E1196" s="17">
        <v>45413</v>
      </c>
      <c r="F1196" s="18">
        <f>MONTH(Data!$E1196)</f>
        <v>5</v>
      </c>
      <c r="G1196" s="16">
        <f>YEAR(Data!$E1196)</f>
        <v>2024</v>
      </c>
      <c r="H1196" s="15" t="s">
        <v>35</v>
      </c>
      <c r="I1196" s="15" t="str">
        <f t="shared" si="18"/>
        <v>Sở ban ngành</v>
      </c>
      <c r="J1196" s="15" t="s">
        <v>1285</v>
      </c>
      <c r="K1196" s="15" t="s">
        <v>1267</v>
      </c>
      <c r="L1196" s="32">
        <f>Data!$D1196/10^6</f>
        <v>688.47416199999998</v>
      </c>
    </row>
    <row r="1197" spans="1:12" x14ac:dyDescent="0.25">
      <c r="A1197" s="29" t="s">
        <v>47</v>
      </c>
      <c r="B1197" s="15" t="s">
        <v>1254</v>
      </c>
      <c r="C1197" s="15" t="s">
        <v>10</v>
      </c>
      <c r="D1197" s="16">
        <v>34119000</v>
      </c>
      <c r="E1197" s="17">
        <v>45413</v>
      </c>
      <c r="F1197" s="18">
        <f>MONTH(Data!$E1197)</f>
        <v>5</v>
      </c>
      <c r="G1197" s="16">
        <f>YEAR(Data!$E1197)</f>
        <v>2024</v>
      </c>
      <c r="H1197" s="15" t="s">
        <v>29</v>
      </c>
      <c r="I1197" s="15" t="str">
        <f t="shared" si="18"/>
        <v>Trường học</v>
      </c>
      <c r="J1197" s="15" t="s">
        <v>1284</v>
      </c>
      <c r="K1197" s="15" t="s">
        <v>1263</v>
      </c>
      <c r="L1197" s="32">
        <f>Data!$D1197/10^6</f>
        <v>34.119</v>
      </c>
    </row>
    <row r="1198" spans="1:12" x14ac:dyDescent="0.25">
      <c r="A1198" s="29" t="s">
        <v>255</v>
      </c>
      <c r="B1198" s="15" t="s">
        <v>311</v>
      </c>
      <c r="C1198" s="15" t="s">
        <v>149</v>
      </c>
      <c r="D1198" s="16">
        <v>48093636</v>
      </c>
      <c r="E1198" s="17">
        <v>45413</v>
      </c>
      <c r="F1198" s="18">
        <f>MONTH(Data!$E1198)</f>
        <v>5</v>
      </c>
      <c r="G1198" s="16">
        <f>YEAR(Data!$E1198)</f>
        <v>2024</v>
      </c>
      <c r="H1198" s="15" t="s">
        <v>11</v>
      </c>
      <c r="I1198" s="15" t="str">
        <f t="shared" si="18"/>
        <v>Sở ban ngành</v>
      </c>
      <c r="J1198" s="15" t="s">
        <v>1285</v>
      </c>
      <c r="K1198" s="15" t="s">
        <v>1263</v>
      </c>
      <c r="L1198" s="32">
        <f>Data!$D1198/10^6</f>
        <v>48.093635999999996</v>
      </c>
    </row>
    <row r="1199" spans="1:12" x14ac:dyDescent="0.25">
      <c r="A1199" s="29" t="s">
        <v>89</v>
      </c>
      <c r="B1199" s="15" t="s">
        <v>317</v>
      </c>
      <c r="C1199" s="15" t="s">
        <v>149</v>
      </c>
      <c r="D1199" s="16">
        <v>8181818</v>
      </c>
      <c r="E1199" s="17">
        <v>45413</v>
      </c>
      <c r="F1199" s="18">
        <f>MONTH(Data!$E1199)</f>
        <v>5</v>
      </c>
      <c r="G1199" s="16">
        <f>YEAR(Data!$E1199)</f>
        <v>2024</v>
      </c>
      <c r="H1199" s="15" t="s">
        <v>11</v>
      </c>
      <c r="I1199" s="15" t="str">
        <f t="shared" si="18"/>
        <v>Sở ban ngành</v>
      </c>
      <c r="J1199" s="15" t="s">
        <v>1284</v>
      </c>
      <c r="K1199" s="15" t="s">
        <v>1275</v>
      </c>
      <c r="L1199" s="32">
        <f>Data!$D1199/10^6</f>
        <v>8.1818179999999998</v>
      </c>
    </row>
    <row r="1200" spans="1:12" x14ac:dyDescent="0.25">
      <c r="A1200" s="29" t="s">
        <v>37</v>
      </c>
      <c r="B1200" s="15" t="s">
        <v>316</v>
      </c>
      <c r="C1200" s="15" t="s">
        <v>46</v>
      </c>
      <c r="D1200" s="16">
        <v>22727273</v>
      </c>
      <c r="E1200" s="17">
        <v>45413</v>
      </c>
      <c r="F1200" s="18">
        <f>MONTH(Data!$E1200)</f>
        <v>5</v>
      </c>
      <c r="G1200" s="16">
        <f>YEAR(Data!$E1200)</f>
        <v>2024</v>
      </c>
      <c r="H1200" s="15" t="s">
        <v>11</v>
      </c>
      <c r="I1200" s="15" t="str">
        <f t="shared" si="18"/>
        <v>Sở ban ngành</v>
      </c>
      <c r="J1200" s="15" t="s">
        <v>1285</v>
      </c>
      <c r="K1200" s="15" t="s">
        <v>1271</v>
      </c>
      <c r="L1200" s="32">
        <f>Data!$D1200/10^6</f>
        <v>22.727273</v>
      </c>
    </row>
    <row r="1201" spans="1:12" x14ac:dyDescent="0.25">
      <c r="A1201" s="29" t="s">
        <v>23</v>
      </c>
      <c r="B1201" s="15" t="s">
        <v>302</v>
      </c>
      <c r="C1201" s="15" t="s">
        <v>10</v>
      </c>
      <c r="D1201" s="16">
        <v>14780000</v>
      </c>
      <c r="E1201" s="17">
        <v>45413</v>
      </c>
      <c r="F1201" s="18">
        <f>MONTH(Data!$E1201)</f>
        <v>5</v>
      </c>
      <c r="G1201" s="16">
        <f>YEAR(Data!$E1201)</f>
        <v>2024</v>
      </c>
      <c r="H1201" s="15" t="s">
        <v>25</v>
      </c>
      <c r="I1201" s="15" t="str">
        <f t="shared" si="18"/>
        <v>Sở ban ngành</v>
      </c>
      <c r="J1201" s="15" t="s">
        <v>1284</v>
      </c>
      <c r="K1201" s="15" t="s">
        <v>1262</v>
      </c>
      <c r="L1201" s="32">
        <f>Data!$D1201/10^6</f>
        <v>14.78</v>
      </c>
    </row>
    <row r="1202" spans="1:12" x14ac:dyDescent="0.25">
      <c r="A1202" s="29" t="s">
        <v>95</v>
      </c>
      <c r="B1202" s="15" t="s">
        <v>328</v>
      </c>
      <c r="C1202" s="15" t="s">
        <v>10</v>
      </c>
      <c r="D1202" s="16">
        <v>25636364</v>
      </c>
      <c r="E1202" s="17">
        <v>45413</v>
      </c>
      <c r="F1202" s="18">
        <f>MONTH(Data!$E1202)</f>
        <v>5</v>
      </c>
      <c r="G1202" s="16">
        <f>YEAR(Data!$E1202)</f>
        <v>2024</v>
      </c>
      <c r="H1202" s="15" t="s">
        <v>35</v>
      </c>
      <c r="I1202" s="15" t="str">
        <f t="shared" si="18"/>
        <v>Sở ban ngành</v>
      </c>
      <c r="J1202" s="15" t="s">
        <v>1285</v>
      </c>
      <c r="K1202" s="15" t="s">
        <v>1278</v>
      </c>
      <c r="L1202" s="32">
        <f>Data!$D1202/10^6</f>
        <v>25.636364</v>
      </c>
    </row>
    <row r="1203" spans="1:12" x14ac:dyDescent="0.25">
      <c r="A1203" s="29" t="s">
        <v>37</v>
      </c>
      <c r="B1203" s="15" t="s">
        <v>334</v>
      </c>
      <c r="C1203" s="15" t="s">
        <v>46</v>
      </c>
      <c r="D1203" s="16">
        <v>22727273</v>
      </c>
      <c r="E1203" s="17">
        <v>45413</v>
      </c>
      <c r="F1203" s="18">
        <f>MONTH(Data!$E1203)</f>
        <v>5</v>
      </c>
      <c r="G1203" s="16">
        <f>YEAR(Data!$E1203)</f>
        <v>2024</v>
      </c>
      <c r="H1203" s="15" t="s">
        <v>11</v>
      </c>
      <c r="I1203" s="15" t="str">
        <f t="shared" si="18"/>
        <v>Sở ban ngành</v>
      </c>
      <c r="J1203" s="15" t="s">
        <v>1284</v>
      </c>
      <c r="K1203" s="15" t="s">
        <v>1271</v>
      </c>
      <c r="L1203" s="32">
        <f>Data!$D1203/10^6</f>
        <v>22.727273</v>
      </c>
    </row>
    <row r="1204" spans="1:12" x14ac:dyDescent="0.25">
      <c r="A1204" s="29" t="s">
        <v>89</v>
      </c>
      <c r="B1204" s="15" t="s">
        <v>297</v>
      </c>
      <c r="C1204" s="15" t="s">
        <v>149</v>
      </c>
      <c r="D1204" s="16">
        <v>5454545</v>
      </c>
      <c r="E1204" s="17">
        <v>45413</v>
      </c>
      <c r="F1204" s="18">
        <f>MONTH(Data!$E1204)</f>
        <v>5</v>
      </c>
      <c r="G1204" s="16">
        <f>YEAR(Data!$E1204)</f>
        <v>2024</v>
      </c>
      <c r="H1204" s="15" t="s">
        <v>11</v>
      </c>
      <c r="I1204" s="15" t="str">
        <f t="shared" si="18"/>
        <v>Sở ban ngành</v>
      </c>
      <c r="J1204" s="15" t="s">
        <v>1285</v>
      </c>
      <c r="K1204" s="15" t="s">
        <v>1275</v>
      </c>
      <c r="L1204" s="32">
        <f>Data!$D1204/10^6</f>
        <v>5.4545450000000004</v>
      </c>
    </row>
    <row r="1205" spans="1:12" x14ac:dyDescent="0.25">
      <c r="A1205" s="29" t="s">
        <v>30</v>
      </c>
      <c r="B1205" s="15" t="s">
        <v>307</v>
      </c>
      <c r="C1205" s="15" t="s">
        <v>14</v>
      </c>
      <c r="D1205" s="16">
        <v>45454545</v>
      </c>
      <c r="E1205" s="17">
        <v>45413</v>
      </c>
      <c r="F1205" s="18">
        <f>MONTH(Data!$E1205)</f>
        <v>5</v>
      </c>
      <c r="G1205" s="16">
        <f>YEAR(Data!$E1205)</f>
        <v>2024</v>
      </c>
      <c r="H1205" s="15" t="s">
        <v>32</v>
      </c>
      <c r="I1205" s="15" t="str">
        <f t="shared" si="18"/>
        <v>Sở ban ngành</v>
      </c>
      <c r="J1205" s="15" t="s">
        <v>1284</v>
      </c>
      <c r="K1205" s="15" t="s">
        <v>1275</v>
      </c>
      <c r="L1205" s="32">
        <f>Data!$D1205/10^6</f>
        <v>45.454545000000003</v>
      </c>
    </row>
    <row r="1206" spans="1:12" x14ac:dyDescent="0.25">
      <c r="A1206" s="29" t="s">
        <v>17</v>
      </c>
      <c r="B1206" s="15" t="s">
        <v>321</v>
      </c>
      <c r="C1206" s="15" t="s">
        <v>14</v>
      </c>
      <c r="D1206" s="16">
        <v>21900000</v>
      </c>
      <c r="E1206" s="17">
        <v>45413</v>
      </c>
      <c r="F1206" s="18">
        <f>MONTH(Data!$E1206)</f>
        <v>5</v>
      </c>
      <c r="G1206" s="16">
        <f>YEAR(Data!$E1206)</f>
        <v>2024</v>
      </c>
      <c r="H1206" s="15" t="s">
        <v>11</v>
      </c>
      <c r="I1206" s="15" t="str">
        <f t="shared" si="18"/>
        <v>Sở ban ngành</v>
      </c>
      <c r="J1206" s="15" t="s">
        <v>1285</v>
      </c>
      <c r="K1206" s="15" t="s">
        <v>1272</v>
      </c>
      <c r="L1206" s="32">
        <f>Data!$D1206/10^6</f>
        <v>21.9</v>
      </c>
    </row>
    <row r="1207" spans="1:12" x14ac:dyDescent="0.25">
      <c r="A1207" s="29" t="s">
        <v>37</v>
      </c>
      <c r="B1207" s="15" t="s">
        <v>332</v>
      </c>
      <c r="C1207" s="15" t="s">
        <v>46</v>
      </c>
      <c r="D1207" s="16">
        <v>22727273</v>
      </c>
      <c r="E1207" s="17">
        <v>45413</v>
      </c>
      <c r="F1207" s="18">
        <f>MONTH(Data!$E1207)</f>
        <v>5</v>
      </c>
      <c r="G1207" s="16">
        <f>YEAR(Data!$E1207)</f>
        <v>2024</v>
      </c>
      <c r="H1207" s="15" t="s">
        <v>11</v>
      </c>
      <c r="I1207" s="15" t="str">
        <f t="shared" si="18"/>
        <v>Sở ban ngành</v>
      </c>
      <c r="J1207" s="15" t="s">
        <v>1284</v>
      </c>
      <c r="K1207" s="15" t="s">
        <v>1271</v>
      </c>
      <c r="L1207" s="32">
        <f>Data!$D1207/10^6</f>
        <v>22.727273</v>
      </c>
    </row>
    <row r="1208" spans="1:12" x14ac:dyDescent="0.25">
      <c r="A1208" s="29" t="s">
        <v>89</v>
      </c>
      <c r="B1208" s="15" t="s">
        <v>298</v>
      </c>
      <c r="C1208" s="15" t="s">
        <v>14</v>
      </c>
      <c r="D1208" s="16">
        <v>19090909</v>
      </c>
      <c r="E1208" s="17">
        <v>45413</v>
      </c>
      <c r="F1208" s="18">
        <f>MONTH(Data!$E1208)</f>
        <v>5</v>
      </c>
      <c r="G1208" s="16">
        <f>YEAR(Data!$E1208)</f>
        <v>2024</v>
      </c>
      <c r="H1208" s="15" t="s">
        <v>11</v>
      </c>
      <c r="I1208" s="15" t="str">
        <f t="shared" si="18"/>
        <v>Sở ban ngành</v>
      </c>
      <c r="J1208" s="15" t="s">
        <v>1285</v>
      </c>
      <c r="K1208" s="15" t="s">
        <v>1275</v>
      </c>
      <c r="L1208" s="32">
        <f>Data!$D1208/10^6</f>
        <v>19.090909</v>
      </c>
    </row>
    <row r="1209" spans="1:12" x14ac:dyDescent="0.25">
      <c r="A1209" s="29" t="s">
        <v>74</v>
      </c>
      <c r="B1209" s="15" t="s">
        <v>198</v>
      </c>
      <c r="C1209" s="15" t="s">
        <v>10</v>
      </c>
      <c r="D1209" s="16">
        <v>57987982</v>
      </c>
      <c r="E1209" s="17">
        <v>45413</v>
      </c>
      <c r="F1209" s="18">
        <f>MONTH(Data!$E1209)</f>
        <v>5</v>
      </c>
      <c r="G1209" s="16">
        <f>YEAR(Data!$E1209)</f>
        <v>2024</v>
      </c>
      <c r="H1209" s="15" t="s">
        <v>11</v>
      </c>
      <c r="I1209" s="15" t="str">
        <f t="shared" si="18"/>
        <v>Sở ban ngành</v>
      </c>
      <c r="J1209" s="15" t="s">
        <v>1284</v>
      </c>
      <c r="K1209" s="15" t="s">
        <v>1263</v>
      </c>
      <c r="L1209" s="32">
        <f>Data!$D1209/10^6</f>
        <v>57.987982000000002</v>
      </c>
    </row>
    <row r="1210" spans="1:12" x14ac:dyDescent="0.25">
      <c r="A1210" s="29" t="s">
        <v>89</v>
      </c>
      <c r="B1210" s="15" t="s">
        <v>296</v>
      </c>
      <c r="C1210" s="15" t="s">
        <v>149</v>
      </c>
      <c r="D1210" s="16">
        <v>5454545</v>
      </c>
      <c r="E1210" s="17">
        <v>45413</v>
      </c>
      <c r="F1210" s="18">
        <f>MONTH(Data!$E1210)</f>
        <v>5</v>
      </c>
      <c r="G1210" s="16">
        <f>YEAR(Data!$E1210)</f>
        <v>2024</v>
      </c>
      <c r="H1210" s="15" t="s">
        <v>11</v>
      </c>
      <c r="I1210" s="15" t="str">
        <f t="shared" si="18"/>
        <v>Sở ban ngành</v>
      </c>
      <c r="J1210" s="15" t="s">
        <v>1285</v>
      </c>
      <c r="K1210" s="15" t="s">
        <v>1275</v>
      </c>
      <c r="L1210" s="32">
        <f>Data!$D1210/10^6</f>
        <v>5.4545450000000004</v>
      </c>
    </row>
    <row r="1211" spans="1:12" x14ac:dyDescent="0.25">
      <c r="A1211" s="29" t="s">
        <v>89</v>
      </c>
      <c r="B1211" s="15" t="s">
        <v>296</v>
      </c>
      <c r="C1211" s="15" t="s">
        <v>149</v>
      </c>
      <c r="D1211" s="16">
        <v>8181818</v>
      </c>
      <c r="E1211" s="17">
        <v>45413</v>
      </c>
      <c r="F1211" s="18">
        <f>MONTH(Data!$E1211)</f>
        <v>5</v>
      </c>
      <c r="G1211" s="16">
        <f>YEAR(Data!$E1211)</f>
        <v>2024</v>
      </c>
      <c r="H1211" s="15" t="s">
        <v>11</v>
      </c>
      <c r="I1211" s="15" t="str">
        <f t="shared" si="18"/>
        <v>Sở ban ngành</v>
      </c>
      <c r="J1211" s="15" t="s">
        <v>1284</v>
      </c>
      <c r="K1211" s="15" t="s">
        <v>1275</v>
      </c>
      <c r="L1211" s="32">
        <f>Data!$D1211/10^6</f>
        <v>8.1818179999999998</v>
      </c>
    </row>
    <row r="1212" spans="1:12" x14ac:dyDescent="0.25">
      <c r="A1212" s="29" t="s">
        <v>37</v>
      </c>
      <c r="B1212" s="15" t="s">
        <v>333</v>
      </c>
      <c r="C1212" s="15" t="s">
        <v>46</v>
      </c>
      <c r="D1212" s="16">
        <v>22727273</v>
      </c>
      <c r="E1212" s="17">
        <v>45413</v>
      </c>
      <c r="F1212" s="18">
        <f>MONTH(Data!$E1212)</f>
        <v>5</v>
      </c>
      <c r="G1212" s="16">
        <f>YEAR(Data!$E1212)</f>
        <v>2024</v>
      </c>
      <c r="H1212" s="15" t="s">
        <v>11</v>
      </c>
      <c r="I1212" s="15" t="str">
        <f t="shared" si="18"/>
        <v>Sở ban ngành</v>
      </c>
      <c r="J1212" s="15" t="s">
        <v>1285</v>
      </c>
      <c r="K1212" s="15" t="s">
        <v>1271</v>
      </c>
      <c r="L1212" s="32">
        <f>Data!$D1212/10^6</f>
        <v>22.727273</v>
      </c>
    </row>
    <row r="1213" spans="1:12" x14ac:dyDescent="0.25">
      <c r="A1213" s="29" t="s">
        <v>73</v>
      </c>
      <c r="B1213" s="15" t="s">
        <v>318</v>
      </c>
      <c r="C1213" s="15" t="s">
        <v>41</v>
      </c>
      <c r="D1213" s="16">
        <v>85276800</v>
      </c>
      <c r="E1213" s="17">
        <v>45413</v>
      </c>
      <c r="F1213" s="18">
        <f>MONTH(Data!$E1213)</f>
        <v>5</v>
      </c>
      <c r="G1213" s="16">
        <f>YEAR(Data!$E1213)</f>
        <v>2024</v>
      </c>
      <c r="H1213" s="15" t="s">
        <v>32</v>
      </c>
      <c r="I1213" s="15" t="str">
        <f t="shared" si="18"/>
        <v>Sở ban ngành</v>
      </c>
      <c r="J1213" s="15" t="s">
        <v>1284</v>
      </c>
      <c r="K1213" s="15" t="s">
        <v>1269</v>
      </c>
      <c r="L1213" s="32">
        <f>Data!$D1213/10^6</f>
        <v>85.276799999999994</v>
      </c>
    </row>
    <row r="1214" spans="1:12" x14ac:dyDescent="0.25">
      <c r="A1214" s="29" t="s">
        <v>30</v>
      </c>
      <c r="B1214" s="15" t="s">
        <v>347</v>
      </c>
      <c r="C1214" s="15" t="s">
        <v>10</v>
      </c>
      <c r="D1214" s="16">
        <v>45252000</v>
      </c>
      <c r="E1214" s="17">
        <v>45413</v>
      </c>
      <c r="F1214" s="18">
        <f>MONTH(Data!$E1214)</f>
        <v>5</v>
      </c>
      <c r="G1214" s="16">
        <f>YEAR(Data!$E1214)</f>
        <v>2024</v>
      </c>
      <c r="H1214" s="15" t="s">
        <v>32</v>
      </c>
      <c r="I1214" s="15" t="str">
        <f t="shared" si="18"/>
        <v>Sở ban ngành</v>
      </c>
      <c r="J1214" s="15" t="s">
        <v>1285</v>
      </c>
      <c r="K1214" s="15" t="s">
        <v>1263</v>
      </c>
      <c r="L1214" s="32">
        <f>Data!$D1214/10^6</f>
        <v>45.252000000000002</v>
      </c>
    </row>
    <row r="1215" spans="1:12" x14ac:dyDescent="0.25">
      <c r="A1215" s="29" t="s">
        <v>13</v>
      </c>
      <c r="B1215" s="15" t="s">
        <v>342</v>
      </c>
      <c r="C1215" s="15" t="s">
        <v>149</v>
      </c>
      <c r="D1215" s="16">
        <v>69975455</v>
      </c>
      <c r="E1215" s="17">
        <v>45413</v>
      </c>
      <c r="F1215" s="18">
        <f>MONTH(Data!$E1215)</f>
        <v>5</v>
      </c>
      <c r="G1215" s="16">
        <f>YEAR(Data!$E1215)</f>
        <v>2024</v>
      </c>
      <c r="H1215" s="15" t="s">
        <v>15</v>
      </c>
      <c r="I1215" s="15" t="str">
        <f t="shared" si="18"/>
        <v>Sở ban ngành</v>
      </c>
      <c r="J1215" s="15" t="s">
        <v>1284</v>
      </c>
      <c r="K1215" s="15" t="s">
        <v>1263</v>
      </c>
      <c r="L1215" s="32">
        <f>Data!$D1215/10^6</f>
        <v>69.975454999999997</v>
      </c>
    </row>
    <row r="1216" spans="1:12" x14ac:dyDescent="0.25">
      <c r="A1216" s="29" t="s">
        <v>109</v>
      </c>
      <c r="B1216" s="15" t="s">
        <v>310</v>
      </c>
      <c r="C1216" s="15" t="s">
        <v>46</v>
      </c>
      <c r="D1216" s="16">
        <v>81812727</v>
      </c>
      <c r="E1216" s="17">
        <v>45413</v>
      </c>
      <c r="F1216" s="18">
        <f>MONTH(Data!$E1216)</f>
        <v>5</v>
      </c>
      <c r="G1216" s="16">
        <f>YEAR(Data!$E1216)</f>
        <v>2024</v>
      </c>
      <c r="H1216" s="15" t="s">
        <v>22</v>
      </c>
      <c r="I1216" s="15" t="str">
        <f t="shared" si="18"/>
        <v>Sở ban ngành</v>
      </c>
      <c r="J1216" s="15" t="s">
        <v>1285</v>
      </c>
      <c r="K1216" s="15" t="s">
        <v>1271</v>
      </c>
      <c r="L1216" s="32">
        <f>Data!$D1216/10^6</f>
        <v>81.812726999999995</v>
      </c>
    </row>
    <row r="1217" spans="1:12" x14ac:dyDescent="0.25">
      <c r="A1217" s="29" t="s">
        <v>27</v>
      </c>
      <c r="B1217" s="15" t="s">
        <v>313</v>
      </c>
      <c r="C1217" s="15" t="s">
        <v>46</v>
      </c>
      <c r="D1217" s="16">
        <v>72716000</v>
      </c>
      <c r="E1217" s="17">
        <v>45413</v>
      </c>
      <c r="F1217" s="18">
        <f>MONTH(Data!$E1217)</f>
        <v>5</v>
      </c>
      <c r="G1217" s="16">
        <f>YEAR(Data!$E1217)</f>
        <v>2024</v>
      </c>
      <c r="H1217" s="15" t="s">
        <v>11</v>
      </c>
      <c r="I1217" s="15" t="str">
        <f t="shared" si="18"/>
        <v>Sở ban ngành</v>
      </c>
      <c r="J1217" s="15" t="s">
        <v>1284</v>
      </c>
      <c r="K1217" s="15" t="s">
        <v>1271</v>
      </c>
      <c r="L1217" s="32">
        <f>Data!$D1217/10^6</f>
        <v>72.715999999999994</v>
      </c>
    </row>
    <row r="1218" spans="1:12" x14ac:dyDescent="0.25">
      <c r="A1218" s="29" t="s">
        <v>27</v>
      </c>
      <c r="B1218" s="15" t="s">
        <v>319</v>
      </c>
      <c r="C1218" s="15" t="s">
        <v>46</v>
      </c>
      <c r="D1218" s="16">
        <v>36365000</v>
      </c>
      <c r="E1218" s="17">
        <v>45413</v>
      </c>
      <c r="F1218" s="18">
        <f>MONTH(Data!$E1218)</f>
        <v>5</v>
      </c>
      <c r="G1218" s="16">
        <f>YEAR(Data!$E1218)</f>
        <v>2024</v>
      </c>
      <c r="H1218" s="15" t="s">
        <v>11</v>
      </c>
      <c r="I1218" s="15" t="str">
        <f t="shared" si="18"/>
        <v>Sở ban ngành</v>
      </c>
      <c r="J1218" s="15" t="s">
        <v>1285</v>
      </c>
      <c r="K1218" s="15" t="s">
        <v>1271</v>
      </c>
      <c r="L1218" s="32">
        <f>Data!$D1218/10^6</f>
        <v>36.365000000000002</v>
      </c>
    </row>
    <row r="1219" spans="1:12" x14ac:dyDescent="0.25">
      <c r="A1219" s="29" t="s">
        <v>146</v>
      </c>
      <c r="B1219" s="15" t="s">
        <v>306</v>
      </c>
      <c r="C1219" s="15" t="s">
        <v>10</v>
      </c>
      <c r="D1219" s="16">
        <v>710297273</v>
      </c>
      <c r="E1219" s="17">
        <v>45413</v>
      </c>
      <c r="F1219" s="18">
        <f>MONTH(Data!$E1219)</f>
        <v>5</v>
      </c>
      <c r="G1219" s="16">
        <f>YEAR(Data!$E1219)</f>
        <v>2024</v>
      </c>
      <c r="H1219" s="15" t="s">
        <v>32</v>
      </c>
      <c r="I1219" s="15" t="str">
        <f t="shared" ref="I1219:I1282" si="19">IF(ISNUMBER(SEARCH("Công ty",$B1219)),"Doanh nghiệp",IF(ISNUMBER(SEARCH("Doanh nghiệp",$B1219)),"Doanh nghiệp",IF(ISNUMBER(SEARCH("Tập đoàn",$B1219)),"Doanh nghiệp",
IF(ISNUMBER(SEARCH("Bệnh viện",$B1219)),"Bệnh viện",
IF(ISNUMBER(SEARCH("Ngân hàng",$B1219)),"Ngân hàng",IF(ISNUMBER(SEARCH("trường",$B1219)),"Trường học",IF(ISNUMBER(SEARCH("học viện",$B1219)),"Trường học",
IF(ISNUMBER(SEARCH("Bộ",$B1219)),"Sở ban ngành",IF(ISNUMBER(SEARCH("Đoàn",$B1219)),"Sở ban ngành",IF(ISNUMBER(SEARCH("Phòng",$B1219)),"Sở ban ngành",IF(ISNUMBER(SEARCH("UBND",$B1219)),"Sở ban ngành",IF(ISNUMBER(SEARCH("ủy ban",$B1219)),"Sở ban ngành",IF(ISNUMBER(SEARCH("công an",$B1219)),"Sở ban ngành",IF(ISNUMBER(SEARCH("sở",$B1219)),"Sở ban ngành",IF(ISNUMBER(SEARCH("thôn",$B1219)),"Sở ban ngành",IF(ISNUMBER(SEARCH("xã",$B1219)),"Sở ban ngành",IF(ISNUMBER(SEARCH("quân khu",$B1219)),"Sở ban ngành",IF(ISNUMBER(SEARCH("cục",$B1219)),"Sở ban ngành",IF(ISNUMBER(SEARCH("viện",$B1219)),"Sở ban ngành",IF(ISNUMBER(SEARCH("quỹ",$B1219)),"Sở ban ngành",IF(ISNUMBER(SEARCH("trung tâm",$B1219)),"Sở ban ngành",IF(ISNUMBER(SEARCH("quân chủng",$B1219)),"Sở ban ngành",IF(ISNUMBER(SEARCH("hội",$B1219)),"Sở ban ngành",
"Khác")))))))))))))))))))))))</f>
        <v>Sở ban ngành</v>
      </c>
      <c r="J1219" s="15" t="s">
        <v>1284</v>
      </c>
      <c r="K1219" s="15" t="s">
        <v>1263</v>
      </c>
      <c r="L1219" s="32">
        <f>Data!$D1219/10^6</f>
        <v>710.29727300000002</v>
      </c>
    </row>
    <row r="1220" spans="1:12" x14ac:dyDescent="0.25">
      <c r="A1220" s="29" t="s">
        <v>27</v>
      </c>
      <c r="B1220" s="15" t="s">
        <v>320</v>
      </c>
      <c r="C1220" s="15" t="s">
        <v>46</v>
      </c>
      <c r="D1220" s="16">
        <v>109060000</v>
      </c>
      <c r="E1220" s="17">
        <v>45413</v>
      </c>
      <c r="F1220" s="18">
        <f>MONTH(Data!$E1220)</f>
        <v>5</v>
      </c>
      <c r="G1220" s="16">
        <f>YEAR(Data!$E1220)</f>
        <v>2024</v>
      </c>
      <c r="H1220" s="15" t="s">
        <v>11</v>
      </c>
      <c r="I1220" s="15" t="str">
        <f t="shared" si="19"/>
        <v>Sở ban ngành</v>
      </c>
      <c r="J1220" s="15" t="s">
        <v>1285</v>
      </c>
      <c r="K1220" s="15" t="s">
        <v>1271</v>
      </c>
      <c r="L1220" s="32">
        <f>Data!$D1220/10^6</f>
        <v>109.06</v>
      </c>
    </row>
    <row r="1221" spans="1:12" x14ac:dyDescent="0.25">
      <c r="A1221" s="29" t="s">
        <v>191</v>
      </c>
      <c r="B1221" s="15" t="s">
        <v>343</v>
      </c>
      <c r="C1221" s="15" t="s">
        <v>10</v>
      </c>
      <c r="D1221" s="16">
        <v>142373775</v>
      </c>
      <c r="E1221" s="17">
        <v>45413</v>
      </c>
      <c r="F1221" s="18">
        <f>MONTH(Data!$E1221)</f>
        <v>5</v>
      </c>
      <c r="G1221" s="16">
        <f>YEAR(Data!$E1221)</f>
        <v>2024</v>
      </c>
      <c r="H1221" s="15" t="s">
        <v>35</v>
      </c>
      <c r="I1221" s="15" t="str">
        <f t="shared" si="19"/>
        <v>Sở ban ngành</v>
      </c>
      <c r="J1221" s="15" t="s">
        <v>1284</v>
      </c>
      <c r="K1221" s="15" t="s">
        <v>1263</v>
      </c>
      <c r="L1221" s="32">
        <f>Data!$D1221/10^6</f>
        <v>142.37377499999999</v>
      </c>
    </row>
    <row r="1222" spans="1:12" x14ac:dyDescent="0.25">
      <c r="A1222" s="29" t="s">
        <v>56</v>
      </c>
      <c r="B1222" s="15" t="s">
        <v>336</v>
      </c>
      <c r="C1222" s="15" t="s">
        <v>10</v>
      </c>
      <c r="D1222" s="16">
        <v>6360000</v>
      </c>
      <c r="E1222" s="17">
        <v>45413</v>
      </c>
      <c r="F1222" s="18">
        <f>MONTH(Data!$E1222)</f>
        <v>5</v>
      </c>
      <c r="G1222" s="16">
        <f>YEAR(Data!$E1222)</f>
        <v>2024</v>
      </c>
      <c r="H1222" s="15" t="s">
        <v>25</v>
      </c>
      <c r="I1222" s="15" t="str">
        <f t="shared" si="19"/>
        <v>Trường học</v>
      </c>
      <c r="J1222" s="15" t="s">
        <v>1285</v>
      </c>
      <c r="K1222" s="15" t="s">
        <v>1262</v>
      </c>
      <c r="L1222" s="32">
        <f>Data!$D1222/10^6</f>
        <v>6.36</v>
      </c>
    </row>
    <row r="1223" spans="1:12" x14ac:dyDescent="0.25">
      <c r="A1223" s="29" t="s">
        <v>28</v>
      </c>
      <c r="B1223" s="15" t="s">
        <v>324</v>
      </c>
      <c r="C1223" s="15" t="s">
        <v>14</v>
      </c>
      <c r="D1223" s="16">
        <v>84645455</v>
      </c>
      <c r="E1223" s="17">
        <v>45413</v>
      </c>
      <c r="F1223" s="18">
        <f>MONTH(Data!$E1223)</f>
        <v>5</v>
      </c>
      <c r="G1223" s="16">
        <f>YEAR(Data!$E1223)</f>
        <v>2024</v>
      </c>
      <c r="H1223" s="15" t="s">
        <v>29</v>
      </c>
      <c r="I1223" s="15" t="str">
        <f t="shared" si="19"/>
        <v>Trường học</v>
      </c>
      <c r="J1223" s="15" t="s">
        <v>1284</v>
      </c>
      <c r="K1223" s="15" t="s">
        <v>1272</v>
      </c>
      <c r="L1223" s="32">
        <f>Data!$D1223/10^6</f>
        <v>84.645454999999998</v>
      </c>
    </row>
    <row r="1224" spans="1:12" x14ac:dyDescent="0.25">
      <c r="A1224" s="29" t="s">
        <v>28</v>
      </c>
      <c r="B1224" s="15" t="s">
        <v>326</v>
      </c>
      <c r="C1224" s="15" t="s">
        <v>14</v>
      </c>
      <c r="D1224" s="16">
        <v>85654545</v>
      </c>
      <c r="E1224" s="17">
        <v>45413</v>
      </c>
      <c r="F1224" s="18">
        <f>MONTH(Data!$E1224)</f>
        <v>5</v>
      </c>
      <c r="G1224" s="16">
        <f>YEAR(Data!$E1224)</f>
        <v>2024</v>
      </c>
      <c r="H1224" s="15" t="s">
        <v>29</v>
      </c>
      <c r="I1224" s="15" t="str">
        <f t="shared" si="19"/>
        <v>Trường học</v>
      </c>
      <c r="J1224" s="15" t="s">
        <v>1285</v>
      </c>
      <c r="K1224" s="15" t="s">
        <v>1272</v>
      </c>
      <c r="L1224" s="32">
        <f>Data!$D1224/10^6</f>
        <v>85.654544999999999</v>
      </c>
    </row>
    <row r="1225" spans="1:12" x14ac:dyDescent="0.25">
      <c r="A1225" s="29" t="s">
        <v>36</v>
      </c>
      <c r="B1225" s="15" t="s">
        <v>213</v>
      </c>
      <c r="C1225" s="15" t="s">
        <v>149</v>
      </c>
      <c r="D1225" s="16">
        <v>21454545</v>
      </c>
      <c r="E1225" s="17">
        <v>45413</v>
      </c>
      <c r="F1225" s="18">
        <f>MONTH(Data!$E1225)</f>
        <v>5</v>
      </c>
      <c r="G1225" s="16">
        <f>YEAR(Data!$E1225)</f>
        <v>2024</v>
      </c>
      <c r="H1225" s="15" t="s">
        <v>15</v>
      </c>
      <c r="I1225" s="15" t="str">
        <f t="shared" si="19"/>
        <v>Trường học</v>
      </c>
      <c r="J1225" s="15" t="s">
        <v>1284</v>
      </c>
      <c r="K1225" s="15" t="s">
        <v>1273</v>
      </c>
      <c r="L1225" s="32">
        <f>Data!$D1225/10^6</f>
        <v>21.454545</v>
      </c>
    </row>
    <row r="1226" spans="1:12" x14ac:dyDescent="0.25">
      <c r="A1226" s="29" t="s">
        <v>28</v>
      </c>
      <c r="B1226" s="15" t="s">
        <v>330</v>
      </c>
      <c r="C1226" s="15" t="s">
        <v>10</v>
      </c>
      <c r="D1226" s="16">
        <v>90766364</v>
      </c>
      <c r="E1226" s="17">
        <v>45413</v>
      </c>
      <c r="F1226" s="18">
        <f>MONTH(Data!$E1226)</f>
        <v>5</v>
      </c>
      <c r="G1226" s="16">
        <f>YEAR(Data!$E1226)</f>
        <v>2024</v>
      </c>
      <c r="H1226" s="15" t="s">
        <v>29</v>
      </c>
      <c r="I1226" s="15" t="str">
        <f t="shared" si="19"/>
        <v>Trường học</v>
      </c>
      <c r="J1226" s="15" t="s">
        <v>1285</v>
      </c>
      <c r="K1226" s="15" t="s">
        <v>1267</v>
      </c>
      <c r="L1226" s="32">
        <f>Data!$D1226/10^6</f>
        <v>90.766363999999996</v>
      </c>
    </row>
    <row r="1227" spans="1:12" x14ac:dyDescent="0.25">
      <c r="A1227" s="29" t="s">
        <v>28</v>
      </c>
      <c r="B1227" s="15" t="s">
        <v>338</v>
      </c>
      <c r="C1227" s="15" t="s">
        <v>14</v>
      </c>
      <c r="D1227" s="16">
        <v>78354545</v>
      </c>
      <c r="E1227" s="17">
        <v>45413</v>
      </c>
      <c r="F1227" s="18">
        <f>MONTH(Data!$E1227)</f>
        <v>5</v>
      </c>
      <c r="G1227" s="16">
        <f>YEAR(Data!$E1227)</f>
        <v>2024</v>
      </c>
      <c r="H1227" s="15" t="s">
        <v>29</v>
      </c>
      <c r="I1227" s="15" t="str">
        <f t="shared" si="19"/>
        <v>Trường học</v>
      </c>
      <c r="J1227" s="15" t="s">
        <v>1284</v>
      </c>
      <c r="K1227" s="15" t="s">
        <v>1272</v>
      </c>
      <c r="L1227" s="32">
        <f>Data!$D1227/10^6</f>
        <v>78.354545000000002</v>
      </c>
    </row>
    <row r="1228" spans="1:12" x14ac:dyDescent="0.25">
      <c r="A1228" s="29" t="s">
        <v>17</v>
      </c>
      <c r="B1228" s="15" t="s">
        <v>322</v>
      </c>
      <c r="C1228" s="15" t="s">
        <v>149</v>
      </c>
      <c r="D1228" s="16">
        <v>44680000</v>
      </c>
      <c r="E1228" s="17">
        <v>45413</v>
      </c>
      <c r="F1228" s="18">
        <f>MONTH(Data!$E1228)</f>
        <v>5</v>
      </c>
      <c r="G1228" s="16">
        <f>YEAR(Data!$E1228)</f>
        <v>2024</v>
      </c>
      <c r="H1228" s="15" t="s">
        <v>11</v>
      </c>
      <c r="I1228" s="15" t="str">
        <f t="shared" si="19"/>
        <v>Trường học</v>
      </c>
      <c r="J1228" s="15" t="s">
        <v>1285</v>
      </c>
      <c r="K1228" s="15" t="s">
        <v>1264</v>
      </c>
      <c r="L1228" s="32">
        <f>Data!$D1228/10^6</f>
        <v>44.68</v>
      </c>
    </row>
    <row r="1229" spans="1:12" x14ac:dyDescent="0.25">
      <c r="A1229" s="29" t="s">
        <v>30</v>
      </c>
      <c r="B1229" s="15" t="s">
        <v>299</v>
      </c>
      <c r="C1229" s="15" t="s">
        <v>10</v>
      </c>
      <c r="D1229" s="16">
        <v>40306364</v>
      </c>
      <c r="E1229" s="17">
        <v>45413</v>
      </c>
      <c r="F1229" s="18">
        <f>MONTH(Data!$E1229)</f>
        <v>5</v>
      </c>
      <c r="G1229" s="16">
        <f>YEAR(Data!$E1229)</f>
        <v>2024</v>
      </c>
      <c r="H1229" s="15" t="s">
        <v>32</v>
      </c>
      <c r="I1229" s="15" t="str">
        <f t="shared" si="19"/>
        <v>Trường học</v>
      </c>
      <c r="J1229" s="15" t="s">
        <v>1284</v>
      </c>
      <c r="K1229" s="15" t="s">
        <v>1262</v>
      </c>
      <c r="L1229" s="32">
        <f>Data!$D1229/10^6</f>
        <v>40.306364000000002</v>
      </c>
    </row>
    <row r="1230" spans="1:12" x14ac:dyDescent="0.25">
      <c r="A1230" s="29" t="s">
        <v>28</v>
      </c>
      <c r="B1230" s="15" t="s">
        <v>323</v>
      </c>
      <c r="C1230" s="15" t="s">
        <v>14</v>
      </c>
      <c r="D1230" s="16">
        <v>31545455</v>
      </c>
      <c r="E1230" s="17">
        <v>45413</v>
      </c>
      <c r="F1230" s="18">
        <f>MONTH(Data!$E1230)</f>
        <v>5</v>
      </c>
      <c r="G1230" s="16">
        <f>YEAR(Data!$E1230)</f>
        <v>2024</v>
      </c>
      <c r="H1230" s="15" t="s">
        <v>29</v>
      </c>
      <c r="I1230" s="15" t="str">
        <f t="shared" si="19"/>
        <v>Trường học</v>
      </c>
      <c r="J1230" s="15" t="s">
        <v>1285</v>
      </c>
      <c r="K1230" s="15" t="s">
        <v>1272</v>
      </c>
      <c r="L1230" s="32">
        <f>Data!$D1230/10^6</f>
        <v>31.545455</v>
      </c>
    </row>
    <row r="1231" spans="1:12" x14ac:dyDescent="0.25">
      <c r="A1231" s="29" t="s">
        <v>27</v>
      </c>
      <c r="B1231" s="15" t="s">
        <v>266</v>
      </c>
      <c r="C1231" s="15" t="s">
        <v>10</v>
      </c>
      <c r="D1231" s="16">
        <v>13003000</v>
      </c>
      <c r="E1231" s="17">
        <v>45413</v>
      </c>
      <c r="F1231" s="18">
        <f>MONTH(Data!$E1231)</f>
        <v>5</v>
      </c>
      <c r="G1231" s="16">
        <f>YEAR(Data!$E1231)</f>
        <v>2024</v>
      </c>
      <c r="H1231" s="15" t="s">
        <v>11</v>
      </c>
      <c r="I1231" s="15" t="str">
        <f t="shared" si="19"/>
        <v>Trường học</v>
      </c>
      <c r="J1231" s="15" t="s">
        <v>1284</v>
      </c>
      <c r="K1231" s="15" t="s">
        <v>1262</v>
      </c>
      <c r="L1231" s="32">
        <f>Data!$D1231/10^6</f>
        <v>13.003</v>
      </c>
    </row>
    <row r="1232" spans="1:12" x14ac:dyDescent="0.25">
      <c r="A1232" s="29" t="s">
        <v>30</v>
      </c>
      <c r="B1232" s="15" t="s">
        <v>93</v>
      </c>
      <c r="C1232" s="15" t="s">
        <v>10</v>
      </c>
      <c r="D1232" s="16">
        <v>87010000</v>
      </c>
      <c r="E1232" s="17">
        <v>45413</v>
      </c>
      <c r="F1232" s="18">
        <f>MONTH(Data!$E1232)</f>
        <v>5</v>
      </c>
      <c r="G1232" s="16">
        <f>YEAR(Data!$E1232)</f>
        <v>2024</v>
      </c>
      <c r="H1232" s="15" t="s">
        <v>32</v>
      </c>
      <c r="I1232" s="15" t="str">
        <f t="shared" si="19"/>
        <v>Trường học</v>
      </c>
      <c r="J1232" s="15" t="s">
        <v>1285</v>
      </c>
      <c r="K1232" s="15" t="s">
        <v>1278</v>
      </c>
      <c r="L1232" s="32">
        <f>Data!$D1232/10^6</f>
        <v>87.01</v>
      </c>
    </row>
    <row r="1233" spans="1:12" x14ac:dyDescent="0.25">
      <c r="A1233" s="29" t="s">
        <v>30</v>
      </c>
      <c r="B1233" s="15" t="s">
        <v>93</v>
      </c>
      <c r="C1233" s="15" t="s">
        <v>10</v>
      </c>
      <c r="D1233" s="16">
        <v>86690000</v>
      </c>
      <c r="E1233" s="17">
        <v>45413</v>
      </c>
      <c r="F1233" s="18">
        <f>MONTH(Data!$E1233)</f>
        <v>5</v>
      </c>
      <c r="G1233" s="16">
        <f>YEAR(Data!$E1233)</f>
        <v>2024</v>
      </c>
      <c r="H1233" s="15" t="s">
        <v>32</v>
      </c>
      <c r="I1233" s="15" t="str">
        <f t="shared" si="19"/>
        <v>Trường học</v>
      </c>
      <c r="J1233" s="15" t="s">
        <v>1284</v>
      </c>
      <c r="K1233" s="15" t="s">
        <v>1278</v>
      </c>
      <c r="L1233" s="32">
        <f>Data!$D1233/10^6</f>
        <v>86.69</v>
      </c>
    </row>
    <row r="1234" spans="1:12" x14ac:dyDescent="0.25">
      <c r="A1234" s="29" t="s">
        <v>30</v>
      </c>
      <c r="B1234" s="15" t="s">
        <v>295</v>
      </c>
      <c r="C1234" s="15" t="s">
        <v>10</v>
      </c>
      <c r="D1234" s="16">
        <v>45360000</v>
      </c>
      <c r="E1234" s="17">
        <v>45413</v>
      </c>
      <c r="F1234" s="18">
        <f>MONTH(Data!$E1234)</f>
        <v>5</v>
      </c>
      <c r="G1234" s="16">
        <f>YEAR(Data!$E1234)</f>
        <v>2024</v>
      </c>
      <c r="H1234" s="15" t="s">
        <v>32</v>
      </c>
      <c r="I1234" s="15" t="str">
        <f t="shared" si="19"/>
        <v>Trường học</v>
      </c>
      <c r="J1234" s="15" t="s">
        <v>1285</v>
      </c>
      <c r="K1234" s="15" t="s">
        <v>1267</v>
      </c>
      <c r="L1234" s="32">
        <f>Data!$D1234/10^6</f>
        <v>45.36</v>
      </c>
    </row>
    <row r="1235" spans="1:12" x14ac:dyDescent="0.25">
      <c r="A1235" s="29" t="s">
        <v>21</v>
      </c>
      <c r="B1235" s="15" t="s">
        <v>327</v>
      </c>
      <c r="C1235" s="15" t="s">
        <v>149</v>
      </c>
      <c r="D1235" s="16">
        <v>9727273</v>
      </c>
      <c r="E1235" s="17">
        <v>45413</v>
      </c>
      <c r="F1235" s="18">
        <f>MONTH(Data!$E1235)</f>
        <v>5</v>
      </c>
      <c r="G1235" s="16">
        <f>YEAR(Data!$E1235)</f>
        <v>2024</v>
      </c>
      <c r="H1235" s="15" t="s">
        <v>22</v>
      </c>
      <c r="I1235" s="15" t="str">
        <f t="shared" si="19"/>
        <v>Trường học</v>
      </c>
      <c r="J1235" s="15" t="s">
        <v>1284</v>
      </c>
      <c r="K1235" s="15" t="s">
        <v>1264</v>
      </c>
      <c r="L1235" s="32">
        <f>Data!$D1235/10^6</f>
        <v>9.7272730000000003</v>
      </c>
    </row>
    <row r="1236" spans="1:12" x14ac:dyDescent="0.25">
      <c r="A1236" s="29" t="s">
        <v>50</v>
      </c>
      <c r="B1236" s="15" t="s">
        <v>305</v>
      </c>
      <c r="C1236" s="15" t="s">
        <v>14</v>
      </c>
      <c r="D1236" s="16">
        <v>24545455</v>
      </c>
      <c r="E1236" s="17">
        <v>45413</v>
      </c>
      <c r="F1236" s="18">
        <f>MONTH(Data!$E1236)</f>
        <v>5</v>
      </c>
      <c r="G1236" s="16">
        <f>YEAR(Data!$E1236)</f>
        <v>2024</v>
      </c>
      <c r="H1236" s="15" t="s">
        <v>35</v>
      </c>
      <c r="I1236" s="15" t="str">
        <f t="shared" si="19"/>
        <v>Trường học</v>
      </c>
      <c r="J1236" s="15" t="s">
        <v>1285</v>
      </c>
      <c r="K1236" s="15" t="s">
        <v>1264</v>
      </c>
      <c r="L1236" s="32">
        <f>Data!$D1236/10^6</f>
        <v>24.545455</v>
      </c>
    </row>
    <row r="1237" spans="1:12" x14ac:dyDescent="0.25">
      <c r="A1237" s="29" t="s">
        <v>28</v>
      </c>
      <c r="B1237" s="15" t="s">
        <v>331</v>
      </c>
      <c r="C1237" s="15" t="s">
        <v>10</v>
      </c>
      <c r="D1237" s="16">
        <v>75145455</v>
      </c>
      <c r="E1237" s="17">
        <v>45413</v>
      </c>
      <c r="F1237" s="18">
        <f>MONTH(Data!$E1237)</f>
        <v>5</v>
      </c>
      <c r="G1237" s="16">
        <f>YEAR(Data!$E1237)</f>
        <v>2024</v>
      </c>
      <c r="H1237" s="15" t="s">
        <v>29</v>
      </c>
      <c r="I1237" s="15" t="str">
        <f t="shared" si="19"/>
        <v>Trường học</v>
      </c>
      <c r="J1237" s="15" t="s">
        <v>1284</v>
      </c>
      <c r="K1237" s="15" t="s">
        <v>1267</v>
      </c>
      <c r="L1237" s="32">
        <f>Data!$D1237/10^6</f>
        <v>75.145454999999998</v>
      </c>
    </row>
    <row r="1238" spans="1:12" x14ac:dyDescent="0.25">
      <c r="A1238" s="29" t="s">
        <v>28</v>
      </c>
      <c r="B1238" s="15" t="s">
        <v>325</v>
      </c>
      <c r="C1238" s="15" t="s">
        <v>14</v>
      </c>
      <c r="D1238" s="16">
        <v>83054545</v>
      </c>
      <c r="E1238" s="17">
        <v>45413</v>
      </c>
      <c r="F1238" s="18">
        <f>MONTH(Data!$E1238)</f>
        <v>5</v>
      </c>
      <c r="G1238" s="16">
        <f>YEAR(Data!$E1238)</f>
        <v>2024</v>
      </c>
      <c r="H1238" s="15" t="s">
        <v>29</v>
      </c>
      <c r="I1238" s="15" t="str">
        <f t="shared" si="19"/>
        <v>Trường học</v>
      </c>
      <c r="J1238" s="15" t="s">
        <v>1285</v>
      </c>
      <c r="K1238" s="15" t="s">
        <v>1272</v>
      </c>
      <c r="L1238" s="32">
        <f>Data!$D1238/10^6</f>
        <v>83.054545000000005</v>
      </c>
    </row>
    <row r="1239" spans="1:12" x14ac:dyDescent="0.25">
      <c r="A1239" s="29" t="s">
        <v>30</v>
      </c>
      <c r="B1239" s="15" t="s">
        <v>346</v>
      </c>
      <c r="C1239" s="15" t="s">
        <v>10</v>
      </c>
      <c r="D1239" s="16">
        <v>32018182</v>
      </c>
      <c r="E1239" s="17">
        <v>45413</v>
      </c>
      <c r="F1239" s="18">
        <f>MONTH(Data!$E1239)</f>
        <v>5</v>
      </c>
      <c r="G1239" s="16">
        <f>YEAR(Data!$E1239)</f>
        <v>2024</v>
      </c>
      <c r="H1239" s="15" t="s">
        <v>32</v>
      </c>
      <c r="I1239" s="15" t="str">
        <f t="shared" si="19"/>
        <v>Trường học</v>
      </c>
      <c r="J1239" s="15" t="s">
        <v>1284</v>
      </c>
      <c r="K1239" s="15" t="s">
        <v>1262</v>
      </c>
      <c r="L1239" s="32">
        <f>Data!$D1239/10^6</f>
        <v>32.018182000000003</v>
      </c>
    </row>
    <row r="1240" spans="1:12" x14ac:dyDescent="0.25">
      <c r="A1240" s="29" t="s">
        <v>78</v>
      </c>
      <c r="B1240" s="15" t="s">
        <v>329</v>
      </c>
      <c r="C1240" s="15" t="s">
        <v>10</v>
      </c>
      <c r="D1240" s="16">
        <v>66888000</v>
      </c>
      <c r="E1240" s="17">
        <v>45413</v>
      </c>
      <c r="F1240" s="18">
        <f>MONTH(Data!$E1240)</f>
        <v>5</v>
      </c>
      <c r="G1240" s="16">
        <f>YEAR(Data!$E1240)</f>
        <v>2024</v>
      </c>
      <c r="H1240" s="15" t="s">
        <v>15</v>
      </c>
      <c r="I1240" s="15" t="str">
        <f t="shared" si="19"/>
        <v>Trường học</v>
      </c>
      <c r="J1240" s="15" t="s">
        <v>1285</v>
      </c>
      <c r="K1240" s="15" t="s">
        <v>1263</v>
      </c>
      <c r="L1240" s="32">
        <f>Data!$D1240/10^6</f>
        <v>66.888000000000005</v>
      </c>
    </row>
    <row r="1241" spans="1:12" x14ac:dyDescent="0.25">
      <c r="A1241" s="29" t="s">
        <v>37</v>
      </c>
      <c r="B1241" s="15" t="s">
        <v>315</v>
      </c>
      <c r="C1241" s="15" t="s">
        <v>10</v>
      </c>
      <c r="D1241" s="16">
        <v>24086364</v>
      </c>
      <c r="E1241" s="17">
        <v>45413</v>
      </c>
      <c r="F1241" s="18">
        <f>MONTH(Data!$E1241)</f>
        <v>5</v>
      </c>
      <c r="G1241" s="16">
        <f>YEAR(Data!$E1241)</f>
        <v>2024</v>
      </c>
      <c r="H1241" s="15" t="s">
        <v>11</v>
      </c>
      <c r="I1241" s="15" t="str">
        <f t="shared" si="19"/>
        <v>Trường học</v>
      </c>
      <c r="J1241" s="15" t="s">
        <v>1284</v>
      </c>
      <c r="K1241" s="15" t="s">
        <v>1263</v>
      </c>
      <c r="L1241" s="32">
        <f>Data!$D1241/10^6</f>
        <v>24.086364</v>
      </c>
    </row>
    <row r="1242" spans="1:12" x14ac:dyDescent="0.25">
      <c r="A1242" s="29" t="s">
        <v>28</v>
      </c>
      <c r="B1242" s="15" t="s">
        <v>1253</v>
      </c>
      <c r="C1242" s="15" t="s">
        <v>10</v>
      </c>
      <c r="D1242" s="16">
        <v>72745455</v>
      </c>
      <c r="E1242" s="17">
        <v>45413</v>
      </c>
      <c r="F1242" s="18">
        <f>MONTH(Data!$E1242)</f>
        <v>5</v>
      </c>
      <c r="G1242" s="16">
        <f>YEAR(Data!$E1242)</f>
        <v>2024</v>
      </c>
      <c r="H1242" s="15" t="s">
        <v>29</v>
      </c>
      <c r="I1242" s="15" t="str">
        <f t="shared" si="19"/>
        <v>Trường học</v>
      </c>
      <c r="J1242" s="15" t="s">
        <v>1285</v>
      </c>
      <c r="K1242" s="15" t="s">
        <v>1267</v>
      </c>
      <c r="L1242" s="32">
        <f>Data!$D1242/10^6</f>
        <v>72.745455000000007</v>
      </c>
    </row>
    <row r="1243" spans="1:12" x14ac:dyDescent="0.25">
      <c r="A1243" s="29" t="s">
        <v>75</v>
      </c>
      <c r="B1243" s="15" t="s">
        <v>394</v>
      </c>
      <c r="C1243" s="15" t="s">
        <v>10</v>
      </c>
      <c r="D1243" s="16">
        <v>9409091</v>
      </c>
      <c r="E1243" s="17">
        <v>45444</v>
      </c>
      <c r="F1243" s="18">
        <f>MONTH(Data!$E1243)</f>
        <v>6</v>
      </c>
      <c r="G1243" s="16">
        <f>YEAR(Data!$E1243)</f>
        <v>2024</v>
      </c>
      <c r="H1243" s="15" t="s">
        <v>15</v>
      </c>
      <c r="I1243" s="15" t="str">
        <f t="shared" si="19"/>
        <v>Bệnh viện</v>
      </c>
      <c r="J1243" s="15" t="s">
        <v>1284</v>
      </c>
      <c r="K1243" s="15" t="s">
        <v>1262</v>
      </c>
      <c r="L1243" s="32">
        <f>Data!$D1243/10^6</f>
        <v>9.4090910000000001</v>
      </c>
    </row>
    <row r="1244" spans="1:12" x14ac:dyDescent="0.25">
      <c r="A1244" s="29" t="s">
        <v>56</v>
      </c>
      <c r="B1244" s="15" t="s">
        <v>364</v>
      </c>
      <c r="C1244" s="15" t="s">
        <v>10</v>
      </c>
      <c r="D1244" s="16">
        <v>163398182</v>
      </c>
      <c r="E1244" s="17">
        <v>45444</v>
      </c>
      <c r="F1244" s="18">
        <f>MONTH(Data!$E1244)</f>
        <v>6</v>
      </c>
      <c r="G1244" s="16">
        <f>YEAR(Data!$E1244)</f>
        <v>2024</v>
      </c>
      <c r="H1244" s="15" t="s">
        <v>25</v>
      </c>
      <c r="I1244" s="15" t="str">
        <f t="shared" si="19"/>
        <v>Bệnh viện</v>
      </c>
      <c r="J1244" s="15" t="s">
        <v>1285</v>
      </c>
      <c r="K1244" s="15" t="s">
        <v>1267</v>
      </c>
      <c r="L1244" s="32">
        <f>Data!$D1244/10^6</f>
        <v>163.39818199999999</v>
      </c>
    </row>
    <row r="1245" spans="1:12" x14ac:dyDescent="0.25">
      <c r="A1245" s="29" t="s">
        <v>72</v>
      </c>
      <c r="B1245" s="15" t="s">
        <v>112</v>
      </c>
      <c r="C1245" s="15" t="s">
        <v>10</v>
      </c>
      <c r="D1245" s="16">
        <v>31385455</v>
      </c>
      <c r="E1245" s="17">
        <v>45444</v>
      </c>
      <c r="F1245" s="18">
        <f>MONTH(Data!$E1245)</f>
        <v>6</v>
      </c>
      <c r="G1245" s="16">
        <f>YEAR(Data!$E1245)</f>
        <v>2024</v>
      </c>
      <c r="H1245" s="15" t="s">
        <v>22</v>
      </c>
      <c r="I1245" s="15" t="str">
        <f t="shared" si="19"/>
        <v>Bệnh viện</v>
      </c>
      <c r="J1245" s="15" t="s">
        <v>1284</v>
      </c>
      <c r="K1245" s="15" t="s">
        <v>1263</v>
      </c>
      <c r="L1245" s="32">
        <f>Data!$D1245/10^6</f>
        <v>31.385455</v>
      </c>
    </row>
    <row r="1246" spans="1:12" x14ac:dyDescent="0.25">
      <c r="A1246" s="29" t="s">
        <v>45</v>
      </c>
      <c r="B1246" s="15" t="s">
        <v>335</v>
      </c>
      <c r="C1246" s="15" t="s">
        <v>149</v>
      </c>
      <c r="D1246" s="16">
        <v>75045455</v>
      </c>
      <c r="E1246" s="17">
        <v>45444</v>
      </c>
      <c r="F1246" s="18">
        <f>MONTH(Data!$E1246)</f>
        <v>6</v>
      </c>
      <c r="G1246" s="16">
        <f>YEAR(Data!$E1246)</f>
        <v>2024</v>
      </c>
      <c r="H1246" s="15" t="s">
        <v>29</v>
      </c>
      <c r="I1246" s="15" t="str">
        <f t="shared" si="19"/>
        <v>Bệnh viện</v>
      </c>
      <c r="J1246" s="15" t="s">
        <v>1285</v>
      </c>
      <c r="K1246" s="15" t="s">
        <v>1264</v>
      </c>
      <c r="L1246" s="32">
        <f>Data!$D1246/10^6</f>
        <v>75.045455000000004</v>
      </c>
    </row>
    <row r="1247" spans="1:12" x14ac:dyDescent="0.25">
      <c r="A1247" s="29" t="s">
        <v>78</v>
      </c>
      <c r="B1247" s="15" t="s">
        <v>378</v>
      </c>
      <c r="C1247" s="15" t="s">
        <v>149</v>
      </c>
      <c r="D1247" s="16">
        <v>45163636</v>
      </c>
      <c r="E1247" s="17">
        <v>45444</v>
      </c>
      <c r="F1247" s="18">
        <f>MONTH(Data!$E1247)</f>
        <v>6</v>
      </c>
      <c r="G1247" s="16">
        <f>YEAR(Data!$E1247)</f>
        <v>2024</v>
      </c>
      <c r="H1247" s="15" t="s">
        <v>15</v>
      </c>
      <c r="I1247" s="15" t="str">
        <f t="shared" si="19"/>
        <v>Bệnh viện</v>
      </c>
      <c r="J1247" s="15" t="s">
        <v>1284</v>
      </c>
      <c r="K1247" s="15" t="s">
        <v>1272</v>
      </c>
      <c r="L1247" s="32">
        <f>Data!$D1247/10^6</f>
        <v>45.163635999999997</v>
      </c>
    </row>
    <row r="1248" spans="1:12" x14ac:dyDescent="0.25">
      <c r="A1248" s="29" t="s">
        <v>13</v>
      </c>
      <c r="B1248" s="15" t="s">
        <v>1042</v>
      </c>
      <c r="C1248" s="15" t="s">
        <v>10</v>
      </c>
      <c r="D1248" s="16">
        <v>15854545</v>
      </c>
      <c r="E1248" s="17">
        <v>45444</v>
      </c>
      <c r="F1248" s="18">
        <f>MONTH(Data!$E1248)</f>
        <v>6</v>
      </c>
      <c r="G1248" s="16">
        <f>YEAR(Data!$E1248)</f>
        <v>2024</v>
      </c>
      <c r="H1248" s="15" t="s">
        <v>15</v>
      </c>
      <c r="I1248" s="15" t="str">
        <f t="shared" si="19"/>
        <v>Doanh nghiệp</v>
      </c>
      <c r="J1248" s="15" t="s">
        <v>1285</v>
      </c>
      <c r="K1248" s="15" t="s">
        <v>1263</v>
      </c>
      <c r="L1248" s="32">
        <f>Data!$D1248/10^6</f>
        <v>15.854545</v>
      </c>
    </row>
    <row r="1249" spans="1:12" x14ac:dyDescent="0.25">
      <c r="A1249" s="29" t="s">
        <v>51</v>
      </c>
      <c r="B1249" s="15" t="s">
        <v>1044</v>
      </c>
      <c r="C1249" s="15" t="s">
        <v>149</v>
      </c>
      <c r="D1249" s="16">
        <v>35738182</v>
      </c>
      <c r="E1249" s="17">
        <v>45444</v>
      </c>
      <c r="F1249" s="18">
        <f>MONTH(Data!$E1249)</f>
        <v>6</v>
      </c>
      <c r="G1249" s="16">
        <f>YEAR(Data!$E1249)</f>
        <v>2024</v>
      </c>
      <c r="H1249" s="15" t="s">
        <v>42</v>
      </c>
      <c r="I1249" s="15" t="str">
        <f t="shared" si="19"/>
        <v>Doanh nghiệp</v>
      </c>
      <c r="J1249" s="15" t="s">
        <v>1284</v>
      </c>
      <c r="K1249" s="15" t="s">
        <v>1265</v>
      </c>
      <c r="L1249" s="32">
        <f>Data!$D1249/10^6</f>
        <v>35.738182000000002</v>
      </c>
    </row>
    <row r="1250" spans="1:12" x14ac:dyDescent="0.25">
      <c r="A1250" s="29" t="s">
        <v>51</v>
      </c>
      <c r="B1250" s="15" t="s">
        <v>1047</v>
      </c>
      <c r="C1250" s="15" t="s">
        <v>149</v>
      </c>
      <c r="D1250" s="16">
        <v>25920000</v>
      </c>
      <c r="E1250" s="17">
        <v>45444</v>
      </c>
      <c r="F1250" s="18">
        <f>MONTH(Data!$E1250)</f>
        <v>6</v>
      </c>
      <c r="G1250" s="16">
        <f>YEAR(Data!$E1250)</f>
        <v>2024</v>
      </c>
      <c r="H1250" s="15" t="s">
        <v>42</v>
      </c>
      <c r="I1250" s="15" t="str">
        <f t="shared" si="19"/>
        <v>Doanh nghiệp</v>
      </c>
      <c r="J1250" s="15" t="s">
        <v>1285</v>
      </c>
      <c r="K1250" s="15" t="s">
        <v>1265</v>
      </c>
      <c r="L1250" s="32">
        <f>Data!$D1250/10^6</f>
        <v>25.92</v>
      </c>
    </row>
    <row r="1251" spans="1:12" x14ac:dyDescent="0.25">
      <c r="A1251" s="29" t="s">
        <v>51</v>
      </c>
      <c r="B1251" s="15" t="s">
        <v>1055</v>
      </c>
      <c r="C1251" s="15" t="s">
        <v>149</v>
      </c>
      <c r="D1251" s="16">
        <v>35738182</v>
      </c>
      <c r="E1251" s="17">
        <v>45444</v>
      </c>
      <c r="F1251" s="18">
        <f>MONTH(Data!$E1251)</f>
        <v>6</v>
      </c>
      <c r="G1251" s="16">
        <f>YEAR(Data!$E1251)</f>
        <v>2024</v>
      </c>
      <c r="H1251" s="15" t="s">
        <v>42</v>
      </c>
      <c r="I1251" s="15" t="str">
        <f t="shared" si="19"/>
        <v>Doanh nghiệp</v>
      </c>
      <c r="J1251" s="15" t="s">
        <v>1284</v>
      </c>
      <c r="K1251" s="15" t="s">
        <v>1265</v>
      </c>
      <c r="L1251" s="32">
        <f>Data!$D1251/10^6</f>
        <v>35.738182000000002</v>
      </c>
    </row>
    <row r="1252" spans="1:12" x14ac:dyDescent="0.25">
      <c r="A1252" s="29" t="s">
        <v>160</v>
      </c>
      <c r="B1252" s="15" t="s">
        <v>1071</v>
      </c>
      <c r="C1252" s="15" t="s">
        <v>46</v>
      </c>
      <c r="D1252" s="16">
        <v>199589535</v>
      </c>
      <c r="E1252" s="17">
        <v>45444</v>
      </c>
      <c r="F1252" s="18">
        <f>MONTH(Data!$E1252)</f>
        <v>6</v>
      </c>
      <c r="G1252" s="16">
        <f>YEAR(Data!$E1252)</f>
        <v>2024</v>
      </c>
      <c r="H1252" s="15" t="s">
        <v>35</v>
      </c>
      <c r="I1252" s="15" t="str">
        <f t="shared" si="19"/>
        <v>Doanh nghiệp</v>
      </c>
      <c r="J1252" s="15" t="s">
        <v>1285</v>
      </c>
      <c r="K1252" s="15" t="s">
        <v>1265</v>
      </c>
      <c r="L1252" s="32">
        <f>Data!$D1252/10^6</f>
        <v>199.58953500000001</v>
      </c>
    </row>
    <row r="1253" spans="1:12" x14ac:dyDescent="0.25">
      <c r="A1253" s="29" t="s">
        <v>91</v>
      </c>
      <c r="B1253" s="15" t="s">
        <v>1069</v>
      </c>
      <c r="C1253" s="15" t="s">
        <v>14</v>
      </c>
      <c r="D1253" s="16">
        <v>19890909</v>
      </c>
      <c r="E1253" s="17">
        <v>45444</v>
      </c>
      <c r="F1253" s="18">
        <f>MONTH(Data!$E1253)</f>
        <v>6</v>
      </c>
      <c r="G1253" s="16">
        <f>YEAR(Data!$E1253)</f>
        <v>2024</v>
      </c>
      <c r="H1253" s="15" t="s">
        <v>42</v>
      </c>
      <c r="I1253" s="15" t="str">
        <f t="shared" si="19"/>
        <v>Doanh nghiệp</v>
      </c>
      <c r="J1253" s="15" t="s">
        <v>1284</v>
      </c>
      <c r="K1253" s="15" t="s">
        <v>1264</v>
      </c>
      <c r="L1253" s="32">
        <f>Data!$D1253/10^6</f>
        <v>19.890909000000001</v>
      </c>
    </row>
    <row r="1254" spans="1:12" x14ac:dyDescent="0.25">
      <c r="A1254" s="29" t="s">
        <v>107</v>
      </c>
      <c r="B1254" s="15" t="s">
        <v>1077</v>
      </c>
      <c r="C1254" s="15" t="s">
        <v>149</v>
      </c>
      <c r="D1254" s="16">
        <v>14727273</v>
      </c>
      <c r="E1254" s="17">
        <v>45444</v>
      </c>
      <c r="F1254" s="18">
        <f>MONTH(Data!$E1254)</f>
        <v>6</v>
      </c>
      <c r="G1254" s="16">
        <f>YEAR(Data!$E1254)</f>
        <v>2024</v>
      </c>
      <c r="H1254" s="15" t="s">
        <v>42</v>
      </c>
      <c r="I1254" s="15" t="str">
        <f t="shared" si="19"/>
        <v>Doanh nghiệp</v>
      </c>
      <c r="J1254" s="15" t="s">
        <v>1285</v>
      </c>
      <c r="K1254" s="15" t="s">
        <v>1265</v>
      </c>
      <c r="L1254" s="32">
        <f>Data!$D1254/10^6</f>
        <v>14.727273</v>
      </c>
    </row>
    <row r="1255" spans="1:12" x14ac:dyDescent="0.25">
      <c r="A1255" s="29" t="s">
        <v>107</v>
      </c>
      <c r="B1255" s="15" t="s">
        <v>1078</v>
      </c>
      <c r="C1255" s="15" t="s">
        <v>149</v>
      </c>
      <c r="D1255" s="16">
        <v>20917244</v>
      </c>
      <c r="E1255" s="17">
        <v>45444</v>
      </c>
      <c r="F1255" s="18">
        <f>MONTH(Data!$E1255)</f>
        <v>6</v>
      </c>
      <c r="G1255" s="16">
        <f>YEAR(Data!$E1255)</f>
        <v>2024</v>
      </c>
      <c r="H1255" s="15" t="s">
        <v>42</v>
      </c>
      <c r="I1255" s="15" t="str">
        <f t="shared" si="19"/>
        <v>Doanh nghiệp</v>
      </c>
      <c r="J1255" s="15" t="s">
        <v>1284</v>
      </c>
      <c r="K1255" s="15" t="s">
        <v>1265</v>
      </c>
      <c r="L1255" s="32">
        <f>Data!$D1255/10^6</f>
        <v>20.917244</v>
      </c>
    </row>
    <row r="1256" spans="1:12" x14ac:dyDescent="0.25">
      <c r="A1256" s="29" t="s">
        <v>107</v>
      </c>
      <c r="B1256" s="15" t="s">
        <v>1079</v>
      </c>
      <c r="C1256" s="15" t="s">
        <v>149</v>
      </c>
      <c r="D1256" s="16">
        <v>241704432</v>
      </c>
      <c r="E1256" s="17">
        <v>45444</v>
      </c>
      <c r="F1256" s="18">
        <f>MONTH(Data!$E1256)</f>
        <v>6</v>
      </c>
      <c r="G1256" s="16">
        <f>YEAR(Data!$E1256)</f>
        <v>2024</v>
      </c>
      <c r="H1256" s="15" t="s">
        <v>42</v>
      </c>
      <c r="I1256" s="15" t="str">
        <f t="shared" si="19"/>
        <v>Doanh nghiệp</v>
      </c>
      <c r="J1256" s="15" t="s">
        <v>1285</v>
      </c>
      <c r="K1256" s="15" t="s">
        <v>1265</v>
      </c>
      <c r="L1256" s="32">
        <f>Data!$D1256/10^6</f>
        <v>241.704432</v>
      </c>
    </row>
    <row r="1257" spans="1:12" x14ac:dyDescent="0.25">
      <c r="A1257" s="29" t="s">
        <v>21</v>
      </c>
      <c r="B1257" s="15" t="s">
        <v>1087</v>
      </c>
      <c r="C1257" s="15" t="s">
        <v>149</v>
      </c>
      <c r="D1257" s="16">
        <v>75000000</v>
      </c>
      <c r="E1257" s="17">
        <v>45444</v>
      </c>
      <c r="F1257" s="18">
        <f>MONTH(Data!$E1257)</f>
        <v>6</v>
      </c>
      <c r="G1257" s="16">
        <f>YEAR(Data!$E1257)</f>
        <v>2024</v>
      </c>
      <c r="H1257" s="15" t="s">
        <v>22</v>
      </c>
      <c r="I1257" s="15" t="str">
        <f t="shared" si="19"/>
        <v>Doanh nghiệp</v>
      </c>
      <c r="J1257" s="15" t="s">
        <v>1284</v>
      </c>
      <c r="K1257" s="15" t="s">
        <v>1267</v>
      </c>
      <c r="L1257" s="32">
        <f>Data!$D1257/10^6</f>
        <v>75</v>
      </c>
    </row>
    <row r="1258" spans="1:12" x14ac:dyDescent="0.25">
      <c r="A1258" s="29" t="s">
        <v>85</v>
      </c>
      <c r="B1258" s="15" t="s">
        <v>1095</v>
      </c>
      <c r="C1258" s="15" t="s">
        <v>149</v>
      </c>
      <c r="D1258" s="16">
        <v>130000000</v>
      </c>
      <c r="E1258" s="17">
        <v>45444</v>
      </c>
      <c r="F1258" s="18">
        <f>MONTH(Data!$E1258)</f>
        <v>6</v>
      </c>
      <c r="G1258" s="16">
        <f>YEAR(Data!$E1258)</f>
        <v>2024</v>
      </c>
      <c r="H1258" s="15" t="s">
        <v>15</v>
      </c>
      <c r="I1258" s="15" t="str">
        <f t="shared" si="19"/>
        <v>Doanh nghiệp</v>
      </c>
      <c r="J1258" s="15" t="s">
        <v>1285</v>
      </c>
      <c r="K1258" s="15" t="s">
        <v>1265</v>
      </c>
      <c r="L1258" s="32">
        <f>Data!$D1258/10^6</f>
        <v>130</v>
      </c>
    </row>
    <row r="1259" spans="1:12" x14ac:dyDescent="0.25">
      <c r="A1259" s="29" t="s">
        <v>85</v>
      </c>
      <c r="B1259" s="15" t="s">
        <v>1096</v>
      </c>
      <c r="C1259" s="15" t="s">
        <v>149</v>
      </c>
      <c r="D1259" s="16">
        <v>268036364</v>
      </c>
      <c r="E1259" s="17">
        <v>45444</v>
      </c>
      <c r="F1259" s="18">
        <f>MONTH(Data!$E1259)</f>
        <v>6</v>
      </c>
      <c r="G1259" s="16">
        <f>YEAR(Data!$E1259)</f>
        <v>2024</v>
      </c>
      <c r="H1259" s="15" t="s">
        <v>15</v>
      </c>
      <c r="I1259" s="15" t="str">
        <f t="shared" si="19"/>
        <v>Doanh nghiệp</v>
      </c>
      <c r="J1259" s="15" t="s">
        <v>1284</v>
      </c>
      <c r="K1259" s="15" t="s">
        <v>1265</v>
      </c>
      <c r="L1259" s="32">
        <f>Data!$D1259/10^6</f>
        <v>268.03636399999999</v>
      </c>
    </row>
    <row r="1260" spans="1:12" x14ac:dyDescent="0.25">
      <c r="A1260" s="29" t="s">
        <v>127</v>
      </c>
      <c r="B1260" s="15" t="s">
        <v>1104</v>
      </c>
      <c r="C1260" s="15" t="s">
        <v>10</v>
      </c>
      <c r="D1260" s="16">
        <v>277190909</v>
      </c>
      <c r="E1260" s="17">
        <v>45444</v>
      </c>
      <c r="F1260" s="18">
        <f>MONTH(Data!$E1260)</f>
        <v>6</v>
      </c>
      <c r="G1260" s="16">
        <f>YEAR(Data!$E1260)</f>
        <v>2024</v>
      </c>
      <c r="H1260" s="15" t="s">
        <v>32</v>
      </c>
      <c r="I1260" s="15" t="str">
        <f t="shared" si="19"/>
        <v>Doanh nghiệp</v>
      </c>
      <c r="J1260" s="15" t="s">
        <v>1285</v>
      </c>
      <c r="K1260" s="15" t="s">
        <v>1263</v>
      </c>
      <c r="L1260" s="32">
        <f>Data!$D1260/10^6</f>
        <v>277.19090899999998</v>
      </c>
    </row>
    <row r="1261" spans="1:12" x14ac:dyDescent="0.25">
      <c r="A1261" s="29" t="s">
        <v>157</v>
      </c>
      <c r="B1261" s="15" t="s">
        <v>1107</v>
      </c>
      <c r="C1261" s="15" t="s">
        <v>149</v>
      </c>
      <c r="D1261" s="16">
        <v>88805455</v>
      </c>
      <c r="E1261" s="17">
        <v>45444</v>
      </c>
      <c r="F1261" s="18">
        <f>MONTH(Data!$E1261)</f>
        <v>6</v>
      </c>
      <c r="G1261" s="16">
        <f>YEAR(Data!$E1261)</f>
        <v>2024</v>
      </c>
      <c r="H1261" s="15" t="s">
        <v>32</v>
      </c>
      <c r="I1261" s="15" t="str">
        <f t="shared" si="19"/>
        <v>Doanh nghiệp</v>
      </c>
      <c r="J1261" s="15" t="s">
        <v>1284</v>
      </c>
      <c r="K1261" s="15" t="s">
        <v>1272</v>
      </c>
      <c r="L1261" s="32">
        <f>Data!$D1261/10^6</f>
        <v>88.805454999999995</v>
      </c>
    </row>
    <row r="1262" spans="1:12" x14ac:dyDescent="0.25">
      <c r="A1262" s="29" t="s">
        <v>54</v>
      </c>
      <c r="B1262" s="15" t="s">
        <v>1109</v>
      </c>
      <c r="C1262" s="15" t="s">
        <v>149</v>
      </c>
      <c r="D1262" s="16">
        <v>656000000</v>
      </c>
      <c r="E1262" s="17">
        <v>45444</v>
      </c>
      <c r="F1262" s="18">
        <f>MONTH(Data!$E1262)</f>
        <v>6</v>
      </c>
      <c r="G1262" s="16">
        <f>YEAR(Data!$E1262)</f>
        <v>2024</v>
      </c>
      <c r="H1262" s="15" t="s">
        <v>15</v>
      </c>
      <c r="I1262" s="15" t="str">
        <f t="shared" si="19"/>
        <v>Doanh nghiệp</v>
      </c>
      <c r="J1262" s="15" t="s">
        <v>1285</v>
      </c>
      <c r="K1262" s="15" t="s">
        <v>1265</v>
      </c>
      <c r="L1262" s="32">
        <f>Data!$D1262/10^6</f>
        <v>656</v>
      </c>
    </row>
    <row r="1263" spans="1:12" x14ac:dyDescent="0.25">
      <c r="A1263" s="29" t="s">
        <v>130</v>
      </c>
      <c r="B1263" s="15" t="s">
        <v>1113</v>
      </c>
      <c r="C1263" s="15" t="s">
        <v>14</v>
      </c>
      <c r="D1263" s="16">
        <v>2756263540</v>
      </c>
      <c r="E1263" s="17">
        <v>45444</v>
      </c>
      <c r="F1263" s="18">
        <f>MONTH(Data!$E1263)</f>
        <v>6</v>
      </c>
      <c r="G1263" s="16">
        <f>YEAR(Data!$E1263)</f>
        <v>2024</v>
      </c>
      <c r="H1263" s="15" t="s">
        <v>22</v>
      </c>
      <c r="I1263" s="15" t="str">
        <f t="shared" si="19"/>
        <v>Doanh nghiệp</v>
      </c>
      <c r="J1263" s="15" t="s">
        <v>1284</v>
      </c>
      <c r="K1263" s="15" t="s">
        <v>1266</v>
      </c>
      <c r="L1263" s="32">
        <f>Data!$D1263/10^6</f>
        <v>2756.2635399999999</v>
      </c>
    </row>
    <row r="1264" spans="1:12" x14ac:dyDescent="0.25">
      <c r="A1264" s="29" t="s">
        <v>54</v>
      </c>
      <c r="B1264" s="15" t="s">
        <v>1122</v>
      </c>
      <c r="C1264" s="15" t="s">
        <v>149</v>
      </c>
      <c r="D1264" s="16">
        <v>60872727</v>
      </c>
      <c r="E1264" s="17">
        <v>45444</v>
      </c>
      <c r="F1264" s="18">
        <f>MONTH(Data!$E1264)</f>
        <v>6</v>
      </c>
      <c r="G1264" s="16">
        <f>YEAR(Data!$E1264)</f>
        <v>2024</v>
      </c>
      <c r="H1264" s="15" t="s">
        <v>15</v>
      </c>
      <c r="I1264" s="15" t="str">
        <f t="shared" si="19"/>
        <v>Doanh nghiệp</v>
      </c>
      <c r="J1264" s="15" t="s">
        <v>1285</v>
      </c>
      <c r="K1264" s="15" t="s">
        <v>1265</v>
      </c>
      <c r="L1264" s="32">
        <f>Data!$D1264/10^6</f>
        <v>60.872726999999998</v>
      </c>
    </row>
    <row r="1265" spans="1:12" x14ac:dyDescent="0.25">
      <c r="A1265" s="29" t="s">
        <v>30</v>
      </c>
      <c r="B1265" s="15" t="s">
        <v>1063</v>
      </c>
      <c r="C1265" s="15" t="s">
        <v>10</v>
      </c>
      <c r="D1265" s="16">
        <v>14409091</v>
      </c>
      <c r="E1265" s="17">
        <v>45444</v>
      </c>
      <c r="F1265" s="18">
        <f>MONTH(Data!$E1265)</f>
        <v>6</v>
      </c>
      <c r="G1265" s="16">
        <f>YEAR(Data!$E1265)</f>
        <v>2024</v>
      </c>
      <c r="H1265" s="15" t="s">
        <v>32</v>
      </c>
      <c r="I1265" s="15" t="str">
        <f t="shared" si="19"/>
        <v>Doanh nghiệp</v>
      </c>
      <c r="J1265" s="15" t="s">
        <v>1284</v>
      </c>
      <c r="K1265" s="15" t="s">
        <v>1262</v>
      </c>
      <c r="L1265" s="32">
        <f>Data!$D1265/10^6</f>
        <v>14.409091</v>
      </c>
    </row>
    <row r="1266" spans="1:12" x14ac:dyDescent="0.25">
      <c r="A1266" s="29" t="s">
        <v>45</v>
      </c>
      <c r="B1266" s="15" t="s">
        <v>1078</v>
      </c>
      <c r="C1266" s="15" t="s">
        <v>149</v>
      </c>
      <c r="D1266" s="16">
        <v>27343636</v>
      </c>
      <c r="E1266" s="17">
        <v>45444</v>
      </c>
      <c r="F1266" s="18">
        <f>MONTH(Data!$E1266)</f>
        <v>6</v>
      </c>
      <c r="G1266" s="16">
        <f>YEAR(Data!$E1266)</f>
        <v>2024</v>
      </c>
      <c r="H1266" s="15" t="s">
        <v>29</v>
      </c>
      <c r="I1266" s="15" t="str">
        <f t="shared" si="19"/>
        <v>Doanh nghiệp</v>
      </c>
      <c r="J1266" s="15" t="s">
        <v>1285</v>
      </c>
      <c r="K1266" s="15" t="s">
        <v>1262</v>
      </c>
      <c r="L1266" s="32">
        <f>Data!$D1266/10^6</f>
        <v>27.343636</v>
      </c>
    </row>
    <row r="1267" spans="1:12" x14ac:dyDescent="0.25">
      <c r="A1267" s="29" t="s">
        <v>78</v>
      </c>
      <c r="B1267" s="15" t="s">
        <v>1118</v>
      </c>
      <c r="C1267" s="15" t="s">
        <v>14</v>
      </c>
      <c r="D1267" s="16">
        <v>29975455</v>
      </c>
      <c r="E1267" s="17">
        <v>45444</v>
      </c>
      <c r="F1267" s="18">
        <f>MONTH(Data!$E1267)</f>
        <v>6</v>
      </c>
      <c r="G1267" s="16">
        <f>YEAR(Data!$E1267)</f>
        <v>2024</v>
      </c>
      <c r="H1267" s="15" t="s">
        <v>15</v>
      </c>
      <c r="I1267" s="15" t="str">
        <f t="shared" si="19"/>
        <v>Doanh nghiệp</v>
      </c>
      <c r="J1267" s="15" t="s">
        <v>1284</v>
      </c>
      <c r="K1267" s="15" t="s">
        <v>1277</v>
      </c>
      <c r="L1267" s="32">
        <f>Data!$D1267/10^6</f>
        <v>29.975455</v>
      </c>
    </row>
    <row r="1268" spans="1:12" x14ac:dyDescent="0.25">
      <c r="A1268" s="29" t="s">
        <v>21</v>
      </c>
      <c r="B1268" s="15" t="s">
        <v>1120</v>
      </c>
      <c r="C1268" s="15" t="s">
        <v>149</v>
      </c>
      <c r="D1268" s="16">
        <v>4745455</v>
      </c>
      <c r="E1268" s="17">
        <v>45444</v>
      </c>
      <c r="F1268" s="18">
        <f>MONTH(Data!$E1268)</f>
        <v>6</v>
      </c>
      <c r="G1268" s="16">
        <f>YEAR(Data!$E1268)</f>
        <v>2024</v>
      </c>
      <c r="H1268" s="15" t="s">
        <v>22</v>
      </c>
      <c r="I1268" s="15" t="str">
        <f t="shared" si="19"/>
        <v>Doanh nghiệp</v>
      </c>
      <c r="J1268" s="15" t="s">
        <v>1285</v>
      </c>
      <c r="K1268" s="15" t="s">
        <v>1264</v>
      </c>
      <c r="L1268" s="32">
        <f>Data!$D1268/10^6</f>
        <v>4.7454549999999998</v>
      </c>
    </row>
    <row r="1269" spans="1:12" x14ac:dyDescent="0.25">
      <c r="A1269" s="29" t="s">
        <v>36</v>
      </c>
      <c r="B1269" s="15" t="s">
        <v>1029</v>
      </c>
      <c r="C1269" s="15" t="s">
        <v>10</v>
      </c>
      <c r="D1269" s="16">
        <v>243050000</v>
      </c>
      <c r="E1269" s="17">
        <v>45444</v>
      </c>
      <c r="F1269" s="18">
        <f>MONTH(Data!$E1269)</f>
        <v>6</v>
      </c>
      <c r="G1269" s="16">
        <f>YEAR(Data!$E1269)</f>
        <v>2024</v>
      </c>
      <c r="H1269" s="15" t="s">
        <v>15</v>
      </c>
      <c r="I1269" s="15" t="str">
        <f t="shared" si="19"/>
        <v>Doanh nghiệp</v>
      </c>
      <c r="J1269" s="15" t="s">
        <v>1284</v>
      </c>
      <c r="K1269" s="15" t="s">
        <v>1263</v>
      </c>
      <c r="L1269" s="32">
        <f>Data!$D1269/10^6</f>
        <v>243.05</v>
      </c>
    </row>
    <row r="1270" spans="1:12" x14ac:dyDescent="0.25">
      <c r="A1270" s="29" t="s">
        <v>73</v>
      </c>
      <c r="B1270" s="15" t="s">
        <v>1033</v>
      </c>
      <c r="C1270" s="15" t="s">
        <v>10</v>
      </c>
      <c r="D1270" s="16">
        <v>222831673</v>
      </c>
      <c r="E1270" s="17">
        <v>45444</v>
      </c>
      <c r="F1270" s="18">
        <f>MONTH(Data!$E1270)</f>
        <v>6</v>
      </c>
      <c r="G1270" s="16">
        <f>YEAR(Data!$E1270)</f>
        <v>2024</v>
      </c>
      <c r="H1270" s="15" t="s">
        <v>32</v>
      </c>
      <c r="I1270" s="15" t="str">
        <f t="shared" si="19"/>
        <v>Doanh nghiệp</v>
      </c>
      <c r="J1270" s="15" t="s">
        <v>1285</v>
      </c>
      <c r="K1270" s="15" t="s">
        <v>1262</v>
      </c>
      <c r="L1270" s="32">
        <f>Data!$D1270/10^6</f>
        <v>222.83167299999999</v>
      </c>
    </row>
    <row r="1271" spans="1:12" x14ac:dyDescent="0.25">
      <c r="A1271" s="29" t="s">
        <v>39</v>
      </c>
      <c r="B1271" s="15" t="s">
        <v>1037</v>
      </c>
      <c r="C1271" s="15" t="s">
        <v>10</v>
      </c>
      <c r="D1271" s="16">
        <v>15525000</v>
      </c>
      <c r="E1271" s="17">
        <v>45444</v>
      </c>
      <c r="F1271" s="18">
        <f>MONTH(Data!$E1271)</f>
        <v>6</v>
      </c>
      <c r="G1271" s="16">
        <f>YEAR(Data!$E1271)</f>
        <v>2024</v>
      </c>
      <c r="H1271" s="15" t="s">
        <v>42</v>
      </c>
      <c r="I1271" s="15" t="str">
        <f t="shared" si="19"/>
        <v>Doanh nghiệp</v>
      </c>
      <c r="J1271" s="15" t="s">
        <v>1284</v>
      </c>
      <c r="K1271" s="15" t="s">
        <v>1263</v>
      </c>
      <c r="L1271" s="32">
        <f>Data!$D1271/10^6</f>
        <v>15.525</v>
      </c>
    </row>
    <row r="1272" spans="1:12" x14ac:dyDescent="0.25">
      <c r="A1272" s="29" t="s">
        <v>54</v>
      </c>
      <c r="B1272" s="15" t="s">
        <v>1041</v>
      </c>
      <c r="C1272" s="15" t="s">
        <v>149</v>
      </c>
      <c r="D1272" s="16">
        <v>60872727</v>
      </c>
      <c r="E1272" s="17">
        <v>45444</v>
      </c>
      <c r="F1272" s="18">
        <f>MONTH(Data!$E1272)</f>
        <v>6</v>
      </c>
      <c r="G1272" s="16">
        <f>YEAR(Data!$E1272)</f>
        <v>2024</v>
      </c>
      <c r="H1272" s="15" t="s">
        <v>15</v>
      </c>
      <c r="I1272" s="15" t="str">
        <f t="shared" si="19"/>
        <v>Doanh nghiệp</v>
      </c>
      <c r="J1272" s="15" t="s">
        <v>1285</v>
      </c>
      <c r="K1272" s="15" t="s">
        <v>1265</v>
      </c>
      <c r="L1272" s="32">
        <f>Data!$D1272/10^6</f>
        <v>60.872726999999998</v>
      </c>
    </row>
    <row r="1273" spans="1:12" x14ac:dyDescent="0.25">
      <c r="A1273" s="29" t="s">
        <v>54</v>
      </c>
      <c r="B1273" s="15" t="s">
        <v>1042</v>
      </c>
      <c r="C1273" s="15" t="s">
        <v>149</v>
      </c>
      <c r="D1273" s="16">
        <v>60872727</v>
      </c>
      <c r="E1273" s="17">
        <v>45444</v>
      </c>
      <c r="F1273" s="18">
        <f>MONTH(Data!$E1273)</f>
        <v>6</v>
      </c>
      <c r="G1273" s="16">
        <f>YEAR(Data!$E1273)</f>
        <v>2024</v>
      </c>
      <c r="H1273" s="15" t="s">
        <v>15</v>
      </c>
      <c r="I1273" s="15" t="str">
        <f t="shared" si="19"/>
        <v>Doanh nghiệp</v>
      </c>
      <c r="J1273" s="15" t="s">
        <v>1284</v>
      </c>
      <c r="K1273" s="15" t="s">
        <v>1265</v>
      </c>
      <c r="L1273" s="32">
        <f>Data!$D1273/10^6</f>
        <v>60.872726999999998</v>
      </c>
    </row>
    <row r="1274" spans="1:12" x14ac:dyDescent="0.25">
      <c r="A1274" s="29" t="s">
        <v>54</v>
      </c>
      <c r="B1274" s="15" t="s">
        <v>1043</v>
      </c>
      <c r="C1274" s="15" t="s">
        <v>149</v>
      </c>
      <c r="D1274" s="16">
        <v>60872727</v>
      </c>
      <c r="E1274" s="17">
        <v>45444</v>
      </c>
      <c r="F1274" s="18">
        <f>MONTH(Data!$E1274)</f>
        <v>6</v>
      </c>
      <c r="G1274" s="16">
        <f>YEAR(Data!$E1274)</f>
        <v>2024</v>
      </c>
      <c r="H1274" s="15" t="s">
        <v>15</v>
      </c>
      <c r="I1274" s="15" t="str">
        <f t="shared" si="19"/>
        <v>Doanh nghiệp</v>
      </c>
      <c r="J1274" s="15" t="s">
        <v>1285</v>
      </c>
      <c r="K1274" s="15" t="s">
        <v>1265</v>
      </c>
      <c r="L1274" s="32">
        <f>Data!$D1274/10^6</f>
        <v>60.872726999999998</v>
      </c>
    </row>
    <row r="1275" spans="1:12" x14ac:dyDescent="0.25">
      <c r="A1275" s="29" t="s">
        <v>54</v>
      </c>
      <c r="B1275" s="15" t="s">
        <v>1044</v>
      </c>
      <c r="C1275" s="15" t="s">
        <v>149</v>
      </c>
      <c r="D1275" s="16">
        <v>60872727</v>
      </c>
      <c r="E1275" s="17">
        <v>45444</v>
      </c>
      <c r="F1275" s="18">
        <f>MONTH(Data!$E1275)</f>
        <v>6</v>
      </c>
      <c r="G1275" s="16">
        <f>YEAR(Data!$E1275)</f>
        <v>2024</v>
      </c>
      <c r="H1275" s="15" t="s">
        <v>15</v>
      </c>
      <c r="I1275" s="15" t="str">
        <f t="shared" si="19"/>
        <v>Doanh nghiệp</v>
      </c>
      <c r="J1275" s="15" t="s">
        <v>1284</v>
      </c>
      <c r="K1275" s="15" t="s">
        <v>1265</v>
      </c>
      <c r="L1275" s="32">
        <f>Data!$D1275/10^6</f>
        <v>60.872726999999998</v>
      </c>
    </row>
    <row r="1276" spans="1:12" x14ac:dyDescent="0.25">
      <c r="A1276" s="29" t="s">
        <v>30</v>
      </c>
      <c r="B1276" s="15" t="s">
        <v>1058</v>
      </c>
      <c r="C1276" s="15" t="s">
        <v>10</v>
      </c>
      <c r="D1276" s="16">
        <v>179311036</v>
      </c>
      <c r="E1276" s="17">
        <v>45444</v>
      </c>
      <c r="F1276" s="18">
        <f>MONTH(Data!$E1276)</f>
        <v>6</v>
      </c>
      <c r="G1276" s="16">
        <f>YEAR(Data!$E1276)</f>
        <v>2024</v>
      </c>
      <c r="H1276" s="15" t="s">
        <v>32</v>
      </c>
      <c r="I1276" s="15" t="str">
        <f t="shared" si="19"/>
        <v>Doanh nghiệp</v>
      </c>
      <c r="J1276" s="15" t="s">
        <v>1285</v>
      </c>
      <c r="K1276" s="15" t="s">
        <v>1263</v>
      </c>
      <c r="L1276" s="32">
        <f>Data!$D1276/10^6</f>
        <v>179.311036</v>
      </c>
    </row>
    <row r="1277" spans="1:12" x14ac:dyDescent="0.25">
      <c r="A1277" s="29" t="s">
        <v>30</v>
      </c>
      <c r="B1277" s="15" t="s">
        <v>1059</v>
      </c>
      <c r="C1277" s="15" t="s">
        <v>14</v>
      </c>
      <c r="D1277" s="16">
        <v>44045455</v>
      </c>
      <c r="E1277" s="17">
        <v>45444</v>
      </c>
      <c r="F1277" s="18">
        <f>MONTH(Data!$E1277)</f>
        <v>6</v>
      </c>
      <c r="G1277" s="16">
        <f>YEAR(Data!$E1277)</f>
        <v>2024</v>
      </c>
      <c r="H1277" s="15" t="s">
        <v>32</v>
      </c>
      <c r="I1277" s="15" t="str">
        <f t="shared" si="19"/>
        <v>Doanh nghiệp</v>
      </c>
      <c r="J1277" s="15" t="s">
        <v>1284</v>
      </c>
      <c r="K1277" s="15" t="s">
        <v>1264</v>
      </c>
      <c r="L1277" s="32">
        <f>Data!$D1277/10^6</f>
        <v>44.045454999999997</v>
      </c>
    </row>
    <row r="1278" spans="1:12" x14ac:dyDescent="0.25">
      <c r="A1278" s="29" t="s">
        <v>8</v>
      </c>
      <c r="B1278" s="15" t="s">
        <v>1080</v>
      </c>
      <c r="C1278" s="15" t="s">
        <v>10</v>
      </c>
      <c r="D1278" s="16">
        <v>14317401</v>
      </c>
      <c r="E1278" s="17">
        <v>45444</v>
      </c>
      <c r="F1278" s="18">
        <f>MONTH(Data!$E1278)</f>
        <v>6</v>
      </c>
      <c r="G1278" s="16">
        <f>YEAR(Data!$E1278)</f>
        <v>2024</v>
      </c>
      <c r="H1278" s="15" t="s">
        <v>11</v>
      </c>
      <c r="I1278" s="15" t="str">
        <f t="shared" si="19"/>
        <v>Doanh nghiệp</v>
      </c>
      <c r="J1278" s="15" t="s">
        <v>1285</v>
      </c>
      <c r="K1278" s="15" t="s">
        <v>1263</v>
      </c>
      <c r="L1278" s="32">
        <f>Data!$D1278/10^6</f>
        <v>14.317401</v>
      </c>
    </row>
    <row r="1279" spans="1:12" x14ac:dyDescent="0.25">
      <c r="A1279" s="29" t="s">
        <v>111</v>
      </c>
      <c r="B1279" s="15" t="s">
        <v>1084</v>
      </c>
      <c r="C1279" s="15" t="s">
        <v>46</v>
      </c>
      <c r="D1279" s="16">
        <v>312545455</v>
      </c>
      <c r="E1279" s="17">
        <v>45444</v>
      </c>
      <c r="F1279" s="18">
        <f>MONTH(Data!$E1279)</f>
        <v>6</v>
      </c>
      <c r="G1279" s="16">
        <f>YEAR(Data!$E1279)</f>
        <v>2024</v>
      </c>
      <c r="H1279" s="15" t="s">
        <v>22</v>
      </c>
      <c r="I1279" s="15" t="str">
        <f t="shared" si="19"/>
        <v>Doanh nghiệp</v>
      </c>
      <c r="J1279" s="15" t="s">
        <v>1284</v>
      </c>
      <c r="K1279" s="15" t="s">
        <v>1265</v>
      </c>
      <c r="L1279" s="32">
        <f>Data!$D1279/10^6</f>
        <v>312.545455</v>
      </c>
    </row>
    <row r="1280" spans="1:12" x14ac:dyDescent="0.25">
      <c r="A1280" s="29" t="s">
        <v>52</v>
      </c>
      <c r="B1280" s="15" t="s">
        <v>1088</v>
      </c>
      <c r="C1280" s="15" t="s">
        <v>149</v>
      </c>
      <c r="D1280" s="16">
        <v>198980000</v>
      </c>
      <c r="E1280" s="17">
        <v>45444</v>
      </c>
      <c r="F1280" s="18">
        <f>MONTH(Data!$E1280)</f>
        <v>6</v>
      </c>
      <c r="G1280" s="16">
        <f>YEAR(Data!$E1280)</f>
        <v>2024</v>
      </c>
      <c r="H1280" s="15" t="s">
        <v>35</v>
      </c>
      <c r="I1280" s="15" t="str">
        <f t="shared" si="19"/>
        <v>Doanh nghiệp</v>
      </c>
      <c r="J1280" s="15" t="s">
        <v>1285</v>
      </c>
      <c r="K1280" s="15" t="s">
        <v>1264</v>
      </c>
      <c r="L1280" s="32">
        <f>Data!$D1280/10^6</f>
        <v>198.98</v>
      </c>
    </row>
    <row r="1281" spans="1:12" x14ac:dyDescent="0.25">
      <c r="A1281" s="29" t="s">
        <v>52</v>
      </c>
      <c r="B1281" s="15" t="s">
        <v>1089</v>
      </c>
      <c r="C1281" s="15" t="s">
        <v>149</v>
      </c>
      <c r="D1281" s="16">
        <v>58026400</v>
      </c>
      <c r="E1281" s="17">
        <v>45444</v>
      </c>
      <c r="F1281" s="18">
        <f>MONTH(Data!$E1281)</f>
        <v>6</v>
      </c>
      <c r="G1281" s="16">
        <f>YEAR(Data!$E1281)</f>
        <v>2024</v>
      </c>
      <c r="H1281" s="15" t="s">
        <v>35</v>
      </c>
      <c r="I1281" s="15" t="str">
        <f t="shared" si="19"/>
        <v>Doanh nghiệp</v>
      </c>
      <c r="J1281" s="15" t="s">
        <v>1284</v>
      </c>
      <c r="K1281" s="15" t="s">
        <v>1264</v>
      </c>
      <c r="L1281" s="32">
        <f>Data!$D1281/10^6</f>
        <v>58.026400000000002</v>
      </c>
    </row>
    <row r="1282" spans="1:12" x14ac:dyDescent="0.25">
      <c r="A1282" s="29" t="s">
        <v>73</v>
      </c>
      <c r="B1282" s="15" t="s">
        <v>1122</v>
      </c>
      <c r="C1282" s="15" t="s">
        <v>10</v>
      </c>
      <c r="D1282" s="16">
        <v>34964545</v>
      </c>
      <c r="E1282" s="17">
        <v>45444</v>
      </c>
      <c r="F1282" s="18">
        <f>MONTH(Data!$E1282)</f>
        <v>6</v>
      </c>
      <c r="G1282" s="16">
        <f>YEAR(Data!$E1282)</f>
        <v>2024</v>
      </c>
      <c r="H1282" s="15" t="s">
        <v>32</v>
      </c>
      <c r="I1282" s="15" t="str">
        <f t="shared" si="19"/>
        <v>Doanh nghiệp</v>
      </c>
      <c r="J1282" s="15" t="s">
        <v>1285</v>
      </c>
      <c r="K1282" s="15" t="s">
        <v>1263</v>
      </c>
      <c r="L1282" s="32">
        <f>Data!$D1282/10^6</f>
        <v>34.964545000000001</v>
      </c>
    </row>
    <row r="1283" spans="1:12" x14ac:dyDescent="0.25">
      <c r="A1283" s="29" t="s">
        <v>52</v>
      </c>
      <c r="B1283" s="15" t="s">
        <v>1032</v>
      </c>
      <c r="C1283" s="15" t="s">
        <v>10</v>
      </c>
      <c r="D1283" s="16">
        <v>70477000</v>
      </c>
      <c r="E1283" s="17">
        <v>45444</v>
      </c>
      <c r="F1283" s="18">
        <f>MONTH(Data!$E1283)</f>
        <v>6</v>
      </c>
      <c r="G1283" s="16">
        <f>YEAR(Data!$E1283)</f>
        <v>2024</v>
      </c>
      <c r="H1283" s="15" t="s">
        <v>35</v>
      </c>
      <c r="I1283" s="15" t="str">
        <f t="shared" ref="I1283:I1346" si="20">IF(ISNUMBER(SEARCH("Công ty",$B1283)),"Doanh nghiệp",IF(ISNUMBER(SEARCH("Doanh nghiệp",$B1283)),"Doanh nghiệp",IF(ISNUMBER(SEARCH("Tập đoàn",$B1283)),"Doanh nghiệp",
IF(ISNUMBER(SEARCH("Bệnh viện",$B1283)),"Bệnh viện",
IF(ISNUMBER(SEARCH("Ngân hàng",$B1283)),"Ngân hàng",IF(ISNUMBER(SEARCH("trường",$B1283)),"Trường học",IF(ISNUMBER(SEARCH("học viện",$B1283)),"Trường học",
IF(ISNUMBER(SEARCH("Bộ",$B1283)),"Sở ban ngành",IF(ISNUMBER(SEARCH("Đoàn",$B1283)),"Sở ban ngành",IF(ISNUMBER(SEARCH("Phòng",$B1283)),"Sở ban ngành",IF(ISNUMBER(SEARCH("UBND",$B1283)),"Sở ban ngành",IF(ISNUMBER(SEARCH("ủy ban",$B1283)),"Sở ban ngành",IF(ISNUMBER(SEARCH("công an",$B1283)),"Sở ban ngành",IF(ISNUMBER(SEARCH("sở",$B1283)),"Sở ban ngành",IF(ISNUMBER(SEARCH("thôn",$B1283)),"Sở ban ngành",IF(ISNUMBER(SEARCH("xã",$B1283)),"Sở ban ngành",IF(ISNUMBER(SEARCH("quân khu",$B1283)),"Sở ban ngành",IF(ISNUMBER(SEARCH("cục",$B1283)),"Sở ban ngành",IF(ISNUMBER(SEARCH("viện",$B1283)),"Sở ban ngành",IF(ISNUMBER(SEARCH("quỹ",$B1283)),"Sở ban ngành",IF(ISNUMBER(SEARCH("trung tâm",$B1283)),"Sở ban ngành",IF(ISNUMBER(SEARCH("quân chủng",$B1283)),"Sở ban ngành",IF(ISNUMBER(SEARCH("hội",$B1283)),"Sở ban ngành",
"Khác")))))))))))))))))))))))</f>
        <v>Doanh nghiệp</v>
      </c>
      <c r="J1283" s="15" t="s">
        <v>1284</v>
      </c>
      <c r="K1283" s="15" t="s">
        <v>1263</v>
      </c>
      <c r="L1283" s="32">
        <f>Data!$D1283/10^6</f>
        <v>70.477000000000004</v>
      </c>
    </row>
    <row r="1284" spans="1:12" x14ac:dyDescent="0.25">
      <c r="A1284" s="29" t="s">
        <v>92</v>
      </c>
      <c r="B1284" s="15" t="s">
        <v>1040</v>
      </c>
      <c r="C1284" s="15" t="s">
        <v>10</v>
      </c>
      <c r="D1284" s="16">
        <v>41809091</v>
      </c>
      <c r="E1284" s="17">
        <v>45444</v>
      </c>
      <c r="F1284" s="18">
        <f>MONTH(Data!$E1284)</f>
        <v>6</v>
      </c>
      <c r="G1284" s="16">
        <f>YEAR(Data!$E1284)</f>
        <v>2024</v>
      </c>
      <c r="H1284" s="15" t="s">
        <v>29</v>
      </c>
      <c r="I1284" s="15" t="str">
        <f t="shared" si="20"/>
        <v>Doanh nghiệp</v>
      </c>
      <c r="J1284" s="15" t="s">
        <v>1285</v>
      </c>
      <c r="K1284" s="15" t="s">
        <v>1263</v>
      </c>
      <c r="L1284" s="32">
        <f>Data!$D1284/10^6</f>
        <v>41.809091000000002</v>
      </c>
    </row>
    <row r="1285" spans="1:12" x14ac:dyDescent="0.25">
      <c r="A1285" s="29" t="s">
        <v>107</v>
      </c>
      <c r="B1285" s="15" t="s">
        <v>1057</v>
      </c>
      <c r="C1285" s="15" t="s">
        <v>149</v>
      </c>
      <c r="D1285" s="16">
        <v>44025266</v>
      </c>
      <c r="E1285" s="17">
        <v>45444</v>
      </c>
      <c r="F1285" s="18">
        <f>MONTH(Data!$E1285)</f>
        <v>6</v>
      </c>
      <c r="G1285" s="16">
        <f>YEAR(Data!$E1285)</f>
        <v>2024</v>
      </c>
      <c r="H1285" s="15" t="s">
        <v>42</v>
      </c>
      <c r="I1285" s="15" t="str">
        <f t="shared" si="20"/>
        <v>Doanh nghiệp</v>
      </c>
      <c r="J1285" s="15" t="s">
        <v>1284</v>
      </c>
      <c r="K1285" s="15" t="s">
        <v>1272</v>
      </c>
      <c r="L1285" s="32">
        <f>Data!$D1285/10^6</f>
        <v>44.025266000000002</v>
      </c>
    </row>
    <row r="1286" spans="1:12" x14ac:dyDescent="0.25">
      <c r="A1286" s="29" t="s">
        <v>74</v>
      </c>
      <c r="B1286" s="15" t="s">
        <v>1059</v>
      </c>
      <c r="C1286" s="15" t="s">
        <v>46</v>
      </c>
      <c r="D1286" s="16">
        <v>209427273</v>
      </c>
      <c r="E1286" s="17">
        <v>45444</v>
      </c>
      <c r="F1286" s="18">
        <f>MONTH(Data!$E1286)</f>
        <v>6</v>
      </c>
      <c r="G1286" s="16">
        <f>YEAR(Data!$E1286)</f>
        <v>2024</v>
      </c>
      <c r="H1286" s="15" t="s">
        <v>11</v>
      </c>
      <c r="I1286" s="15" t="str">
        <f t="shared" si="20"/>
        <v>Doanh nghiệp</v>
      </c>
      <c r="J1286" s="15" t="s">
        <v>1285</v>
      </c>
      <c r="K1286" s="15" t="s">
        <v>1265</v>
      </c>
      <c r="L1286" s="32">
        <f>Data!$D1286/10^6</f>
        <v>209.42727300000001</v>
      </c>
    </row>
    <row r="1287" spans="1:12" x14ac:dyDescent="0.25">
      <c r="A1287" s="29" t="s">
        <v>102</v>
      </c>
      <c r="B1287" s="15" t="s">
        <v>1073</v>
      </c>
      <c r="C1287" s="15" t="s">
        <v>14</v>
      </c>
      <c r="D1287" s="16">
        <v>57818182</v>
      </c>
      <c r="E1287" s="17">
        <v>45444</v>
      </c>
      <c r="F1287" s="18">
        <f>MONTH(Data!$E1287)</f>
        <v>6</v>
      </c>
      <c r="G1287" s="16">
        <f>YEAR(Data!$E1287)</f>
        <v>2024</v>
      </c>
      <c r="H1287" s="15" t="s">
        <v>22</v>
      </c>
      <c r="I1287" s="15" t="str">
        <f t="shared" si="20"/>
        <v>Doanh nghiệp</v>
      </c>
      <c r="J1287" s="15" t="s">
        <v>1284</v>
      </c>
      <c r="K1287" s="15" t="s">
        <v>1264</v>
      </c>
      <c r="L1287" s="32">
        <f>Data!$D1287/10^6</f>
        <v>57.818182</v>
      </c>
    </row>
    <row r="1288" spans="1:12" x14ac:dyDescent="0.25">
      <c r="A1288" s="29" t="s">
        <v>109</v>
      </c>
      <c r="B1288" s="15" t="s">
        <v>1082</v>
      </c>
      <c r="C1288" s="15" t="s">
        <v>10</v>
      </c>
      <c r="D1288" s="16">
        <v>48305182</v>
      </c>
      <c r="E1288" s="17">
        <v>45444</v>
      </c>
      <c r="F1288" s="18">
        <f>MONTH(Data!$E1288)</f>
        <v>6</v>
      </c>
      <c r="G1288" s="16">
        <f>YEAR(Data!$E1288)</f>
        <v>2024</v>
      </c>
      <c r="H1288" s="15" t="s">
        <v>22</v>
      </c>
      <c r="I1288" s="15" t="str">
        <f t="shared" si="20"/>
        <v>Doanh nghiệp</v>
      </c>
      <c r="J1288" s="15" t="s">
        <v>1285</v>
      </c>
      <c r="K1288" s="15" t="s">
        <v>1262</v>
      </c>
      <c r="L1288" s="32">
        <f>Data!$D1288/10^6</f>
        <v>48.305182000000002</v>
      </c>
    </row>
    <row r="1289" spans="1:12" x14ac:dyDescent="0.25">
      <c r="A1289" s="29" t="s">
        <v>8</v>
      </c>
      <c r="B1289" s="15" t="s">
        <v>1026</v>
      </c>
      <c r="C1289" s="15" t="s">
        <v>149</v>
      </c>
      <c r="D1289" s="16">
        <v>200001233</v>
      </c>
      <c r="E1289" s="17">
        <v>45444</v>
      </c>
      <c r="F1289" s="18">
        <f>MONTH(Data!$E1289)</f>
        <v>6</v>
      </c>
      <c r="G1289" s="16">
        <f>YEAR(Data!$E1289)</f>
        <v>2024</v>
      </c>
      <c r="H1289" s="15" t="s">
        <v>11</v>
      </c>
      <c r="I1289" s="15" t="str">
        <f t="shared" si="20"/>
        <v>Doanh nghiệp</v>
      </c>
      <c r="J1289" s="15" t="s">
        <v>1284</v>
      </c>
      <c r="K1289" s="15" t="s">
        <v>1263</v>
      </c>
      <c r="L1289" s="32">
        <f>Data!$D1289/10^6</f>
        <v>200.00123300000001</v>
      </c>
    </row>
    <row r="1290" spans="1:12" x14ac:dyDescent="0.25">
      <c r="A1290" s="29" t="s">
        <v>71</v>
      </c>
      <c r="B1290" s="15" t="s">
        <v>1091</v>
      </c>
      <c r="C1290" s="15" t="s">
        <v>149</v>
      </c>
      <c r="D1290" s="16">
        <v>24568159</v>
      </c>
      <c r="E1290" s="17">
        <v>45444</v>
      </c>
      <c r="F1290" s="18">
        <f>MONTH(Data!$E1290)</f>
        <v>6</v>
      </c>
      <c r="G1290" s="16">
        <f>YEAR(Data!$E1290)</f>
        <v>2024</v>
      </c>
      <c r="H1290" s="15" t="s">
        <v>11</v>
      </c>
      <c r="I1290" s="15" t="str">
        <f t="shared" si="20"/>
        <v>Doanh nghiệp</v>
      </c>
      <c r="J1290" s="15" t="s">
        <v>1285</v>
      </c>
      <c r="K1290" s="15" t="s">
        <v>1264</v>
      </c>
      <c r="L1290" s="32">
        <f>Data!$D1290/10^6</f>
        <v>24.568159000000001</v>
      </c>
    </row>
    <row r="1291" spans="1:12" x14ac:dyDescent="0.25">
      <c r="A1291" s="29" t="s">
        <v>27</v>
      </c>
      <c r="B1291" s="15" t="s">
        <v>1109</v>
      </c>
      <c r="C1291" s="15" t="s">
        <v>10</v>
      </c>
      <c r="D1291" s="16">
        <v>40952245</v>
      </c>
      <c r="E1291" s="17">
        <v>45444</v>
      </c>
      <c r="F1291" s="18">
        <f>MONTH(Data!$E1291)</f>
        <v>6</v>
      </c>
      <c r="G1291" s="16">
        <f>YEAR(Data!$E1291)</f>
        <v>2024</v>
      </c>
      <c r="H1291" s="15" t="s">
        <v>11</v>
      </c>
      <c r="I1291" s="15" t="str">
        <f t="shared" si="20"/>
        <v>Doanh nghiệp</v>
      </c>
      <c r="J1291" s="15" t="s">
        <v>1284</v>
      </c>
      <c r="K1291" s="15" t="s">
        <v>1263</v>
      </c>
      <c r="L1291" s="32">
        <f>Data!$D1291/10^6</f>
        <v>40.952244999999998</v>
      </c>
    </row>
    <row r="1292" spans="1:12" x14ac:dyDescent="0.25">
      <c r="A1292" s="29" t="s">
        <v>51</v>
      </c>
      <c r="B1292" s="15" t="s">
        <v>1113</v>
      </c>
      <c r="C1292" s="15" t="s">
        <v>10</v>
      </c>
      <c r="D1292" s="16">
        <v>69930000</v>
      </c>
      <c r="E1292" s="17">
        <v>45444</v>
      </c>
      <c r="F1292" s="18">
        <f>MONTH(Data!$E1292)</f>
        <v>6</v>
      </c>
      <c r="G1292" s="16">
        <f>YEAR(Data!$E1292)</f>
        <v>2024</v>
      </c>
      <c r="H1292" s="15" t="s">
        <v>42</v>
      </c>
      <c r="I1292" s="15" t="str">
        <f t="shared" si="20"/>
        <v>Doanh nghiệp</v>
      </c>
      <c r="J1292" s="15" t="s">
        <v>1285</v>
      </c>
      <c r="K1292" s="15" t="s">
        <v>1263</v>
      </c>
      <c r="L1292" s="32">
        <f>Data!$D1292/10^6</f>
        <v>69.930000000000007</v>
      </c>
    </row>
    <row r="1293" spans="1:12" x14ac:dyDescent="0.25">
      <c r="A1293" s="29" t="s">
        <v>85</v>
      </c>
      <c r="B1293" s="15" t="s">
        <v>1062</v>
      </c>
      <c r="C1293" s="15" t="s">
        <v>10</v>
      </c>
      <c r="D1293" s="16">
        <v>26925000</v>
      </c>
      <c r="E1293" s="17">
        <v>45444</v>
      </c>
      <c r="F1293" s="18">
        <f>MONTH(Data!$E1293)</f>
        <v>6</v>
      </c>
      <c r="G1293" s="16">
        <f>YEAR(Data!$E1293)</f>
        <v>2024</v>
      </c>
      <c r="H1293" s="15" t="s">
        <v>15</v>
      </c>
      <c r="I1293" s="15" t="str">
        <f t="shared" si="20"/>
        <v>Doanh nghiệp</v>
      </c>
      <c r="J1293" s="15" t="s">
        <v>1284</v>
      </c>
      <c r="K1293" s="15" t="s">
        <v>1267</v>
      </c>
      <c r="L1293" s="32">
        <f>Data!$D1293/10^6</f>
        <v>26.925000000000001</v>
      </c>
    </row>
    <row r="1294" spans="1:12" x14ac:dyDescent="0.25">
      <c r="A1294" s="29" t="s">
        <v>51</v>
      </c>
      <c r="B1294" s="15" t="s">
        <v>1080</v>
      </c>
      <c r="C1294" s="15" t="s">
        <v>10</v>
      </c>
      <c r="D1294" s="16">
        <v>35895455</v>
      </c>
      <c r="E1294" s="17">
        <v>45444</v>
      </c>
      <c r="F1294" s="18">
        <f>MONTH(Data!$E1294)</f>
        <v>6</v>
      </c>
      <c r="G1294" s="16">
        <f>YEAR(Data!$E1294)</f>
        <v>2024</v>
      </c>
      <c r="H1294" s="15" t="s">
        <v>42</v>
      </c>
      <c r="I1294" s="15" t="str">
        <f t="shared" si="20"/>
        <v>Doanh nghiệp</v>
      </c>
      <c r="J1294" s="15" t="s">
        <v>1285</v>
      </c>
      <c r="K1294" s="15" t="s">
        <v>1262</v>
      </c>
      <c r="L1294" s="32">
        <f>Data!$D1294/10^6</f>
        <v>35.895454999999998</v>
      </c>
    </row>
    <row r="1295" spans="1:12" x14ac:dyDescent="0.25">
      <c r="A1295" s="29" t="s">
        <v>28</v>
      </c>
      <c r="B1295" s="15" t="s">
        <v>1103</v>
      </c>
      <c r="C1295" s="15" t="s">
        <v>10</v>
      </c>
      <c r="D1295" s="16">
        <v>23708182</v>
      </c>
      <c r="E1295" s="17">
        <v>45444</v>
      </c>
      <c r="F1295" s="18">
        <f>MONTH(Data!$E1295)</f>
        <v>6</v>
      </c>
      <c r="G1295" s="16">
        <f>YEAR(Data!$E1295)</f>
        <v>2024</v>
      </c>
      <c r="H1295" s="15" t="s">
        <v>29</v>
      </c>
      <c r="I1295" s="15" t="str">
        <f t="shared" si="20"/>
        <v>Doanh nghiệp</v>
      </c>
      <c r="J1295" s="15" t="s">
        <v>1284</v>
      </c>
      <c r="K1295" s="15" t="s">
        <v>1268</v>
      </c>
      <c r="L1295" s="32">
        <f>Data!$D1295/10^6</f>
        <v>23.708182000000001</v>
      </c>
    </row>
    <row r="1296" spans="1:12" x14ac:dyDescent="0.25">
      <c r="A1296" s="29" t="s">
        <v>73</v>
      </c>
      <c r="B1296" s="15" t="s">
        <v>1112</v>
      </c>
      <c r="C1296" s="15" t="s">
        <v>10</v>
      </c>
      <c r="D1296" s="16">
        <v>16988422</v>
      </c>
      <c r="E1296" s="17">
        <v>45444</v>
      </c>
      <c r="F1296" s="18">
        <f>MONTH(Data!$E1296)</f>
        <v>6</v>
      </c>
      <c r="G1296" s="16">
        <f>YEAR(Data!$E1296)</f>
        <v>2024</v>
      </c>
      <c r="H1296" s="15" t="s">
        <v>32</v>
      </c>
      <c r="I1296" s="15" t="str">
        <f t="shared" si="20"/>
        <v>Doanh nghiệp</v>
      </c>
      <c r="J1296" s="15" t="s">
        <v>1285</v>
      </c>
      <c r="K1296" s="15" t="s">
        <v>1263</v>
      </c>
      <c r="L1296" s="32">
        <f>Data!$D1296/10^6</f>
        <v>16.988422</v>
      </c>
    </row>
    <row r="1297" spans="1:12" x14ac:dyDescent="0.25">
      <c r="A1297" s="29" t="s">
        <v>73</v>
      </c>
      <c r="B1297" s="15" t="s">
        <v>1025</v>
      </c>
      <c r="C1297" s="15" t="s">
        <v>10</v>
      </c>
      <c r="D1297" s="16">
        <v>31510909</v>
      </c>
      <c r="E1297" s="17">
        <v>45444</v>
      </c>
      <c r="F1297" s="18">
        <f>MONTH(Data!$E1297)</f>
        <v>6</v>
      </c>
      <c r="G1297" s="16">
        <f>YEAR(Data!$E1297)</f>
        <v>2024</v>
      </c>
      <c r="H1297" s="15" t="s">
        <v>32</v>
      </c>
      <c r="I1297" s="15" t="str">
        <f t="shared" si="20"/>
        <v>Doanh nghiệp</v>
      </c>
      <c r="J1297" s="15" t="s">
        <v>1284</v>
      </c>
      <c r="K1297" s="15" t="s">
        <v>1263</v>
      </c>
      <c r="L1297" s="32">
        <f>Data!$D1297/10^6</f>
        <v>31.510909000000002</v>
      </c>
    </row>
    <row r="1298" spans="1:12" x14ac:dyDescent="0.25">
      <c r="A1298" s="29" t="s">
        <v>23</v>
      </c>
      <c r="B1298" s="15" t="s">
        <v>1029</v>
      </c>
      <c r="C1298" s="15" t="s">
        <v>10</v>
      </c>
      <c r="D1298" s="16">
        <v>57070800</v>
      </c>
      <c r="E1298" s="17">
        <v>45444</v>
      </c>
      <c r="F1298" s="18">
        <f>MONTH(Data!$E1298)</f>
        <v>6</v>
      </c>
      <c r="G1298" s="16">
        <f>YEAR(Data!$E1298)</f>
        <v>2024</v>
      </c>
      <c r="H1298" s="15" t="s">
        <v>25</v>
      </c>
      <c r="I1298" s="15" t="str">
        <f t="shared" si="20"/>
        <v>Doanh nghiệp</v>
      </c>
      <c r="J1298" s="15" t="s">
        <v>1285</v>
      </c>
      <c r="K1298" s="15" t="s">
        <v>1262</v>
      </c>
      <c r="L1298" s="32">
        <f>Data!$D1298/10^6</f>
        <v>57.070799999999998</v>
      </c>
    </row>
    <row r="1299" spans="1:12" x14ac:dyDescent="0.25">
      <c r="A1299" s="29" t="s">
        <v>33</v>
      </c>
      <c r="B1299" s="15" t="s">
        <v>1041</v>
      </c>
      <c r="C1299" s="15" t="s">
        <v>46</v>
      </c>
      <c r="D1299" s="16">
        <v>287331818</v>
      </c>
      <c r="E1299" s="17">
        <v>45444</v>
      </c>
      <c r="F1299" s="18">
        <f>MONTH(Data!$E1299)</f>
        <v>6</v>
      </c>
      <c r="G1299" s="16">
        <f>YEAR(Data!$E1299)</f>
        <v>2024</v>
      </c>
      <c r="H1299" s="15" t="s">
        <v>35</v>
      </c>
      <c r="I1299" s="15" t="str">
        <f t="shared" si="20"/>
        <v>Doanh nghiệp</v>
      </c>
      <c r="J1299" s="15" t="s">
        <v>1284</v>
      </c>
      <c r="K1299" s="15" t="s">
        <v>1265</v>
      </c>
      <c r="L1299" s="32">
        <f>Data!$D1299/10^6</f>
        <v>287.331818</v>
      </c>
    </row>
    <row r="1300" spans="1:12" x14ac:dyDescent="0.25">
      <c r="A1300" s="29" t="s">
        <v>92</v>
      </c>
      <c r="B1300" s="15" t="s">
        <v>1047</v>
      </c>
      <c r="C1300" s="15" t="s">
        <v>14</v>
      </c>
      <c r="D1300" s="16">
        <v>98181818</v>
      </c>
      <c r="E1300" s="17">
        <v>45444</v>
      </c>
      <c r="F1300" s="18">
        <f>MONTH(Data!$E1300)</f>
        <v>6</v>
      </c>
      <c r="G1300" s="16">
        <f>YEAR(Data!$E1300)</f>
        <v>2024</v>
      </c>
      <c r="H1300" s="15" t="s">
        <v>29</v>
      </c>
      <c r="I1300" s="15" t="str">
        <f t="shared" si="20"/>
        <v>Doanh nghiệp</v>
      </c>
      <c r="J1300" s="15" t="s">
        <v>1285</v>
      </c>
      <c r="K1300" s="15" t="s">
        <v>1275</v>
      </c>
      <c r="L1300" s="32">
        <f>Data!$D1300/10^6</f>
        <v>98.181818000000007</v>
      </c>
    </row>
    <row r="1301" spans="1:12" x14ac:dyDescent="0.25">
      <c r="A1301" s="29" t="s">
        <v>33</v>
      </c>
      <c r="B1301" s="15" t="s">
        <v>1058</v>
      </c>
      <c r="C1301" s="15" t="s">
        <v>14</v>
      </c>
      <c r="D1301" s="16">
        <v>3271153091</v>
      </c>
      <c r="E1301" s="17">
        <v>45444</v>
      </c>
      <c r="F1301" s="18">
        <f>MONTH(Data!$E1301)</f>
        <v>6</v>
      </c>
      <c r="G1301" s="16">
        <f>YEAR(Data!$E1301)</f>
        <v>2024</v>
      </c>
      <c r="H1301" s="15" t="s">
        <v>35</v>
      </c>
      <c r="I1301" s="15" t="str">
        <f t="shared" si="20"/>
        <v>Doanh nghiệp</v>
      </c>
      <c r="J1301" s="15" t="s">
        <v>1284</v>
      </c>
      <c r="K1301" s="15" t="s">
        <v>1266</v>
      </c>
      <c r="L1301" s="32">
        <f>Data!$D1301/10^6</f>
        <v>3271.1530910000001</v>
      </c>
    </row>
    <row r="1302" spans="1:12" x14ac:dyDescent="0.25">
      <c r="A1302" s="29" t="s">
        <v>160</v>
      </c>
      <c r="B1302" s="15" t="s">
        <v>1059</v>
      </c>
      <c r="C1302" s="15" t="s">
        <v>14</v>
      </c>
      <c r="D1302" s="16">
        <v>25398615</v>
      </c>
      <c r="E1302" s="17">
        <v>45444</v>
      </c>
      <c r="F1302" s="18">
        <f>MONTH(Data!$E1302)</f>
        <v>6</v>
      </c>
      <c r="G1302" s="16">
        <f>YEAR(Data!$E1302)</f>
        <v>2024</v>
      </c>
      <c r="H1302" s="15" t="s">
        <v>35</v>
      </c>
      <c r="I1302" s="15" t="str">
        <f t="shared" si="20"/>
        <v>Doanh nghiệp</v>
      </c>
      <c r="J1302" s="15" t="s">
        <v>1285</v>
      </c>
      <c r="K1302" s="15" t="s">
        <v>1264</v>
      </c>
      <c r="L1302" s="32">
        <f>Data!$D1302/10^6</f>
        <v>25.398614999999999</v>
      </c>
    </row>
    <row r="1303" spans="1:12" x14ac:dyDescent="0.25">
      <c r="A1303" s="29" t="s">
        <v>56</v>
      </c>
      <c r="B1303" s="15" t="s">
        <v>1070</v>
      </c>
      <c r="C1303" s="15" t="s">
        <v>10</v>
      </c>
      <c r="D1303" s="16">
        <v>23909091</v>
      </c>
      <c r="E1303" s="17">
        <v>45444</v>
      </c>
      <c r="F1303" s="18">
        <f>MONTH(Data!$E1303)</f>
        <v>6</v>
      </c>
      <c r="G1303" s="16">
        <f>YEAR(Data!$E1303)</f>
        <v>2024</v>
      </c>
      <c r="H1303" s="15" t="s">
        <v>25</v>
      </c>
      <c r="I1303" s="15" t="str">
        <f t="shared" si="20"/>
        <v>Doanh nghiệp</v>
      </c>
      <c r="J1303" s="15" t="s">
        <v>1284</v>
      </c>
      <c r="K1303" s="15" t="s">
        <v>1262</v>
      </c>
      <c r="L1303" s="32">
        <f>Data!$D1303/10^6</f>
        <v>23.909091</v>
      </c>
    </row>
    <row r="1304" spans="1:12" x14ac:dyDescent="0.25">
      <c r="A1304" s="29" t="s">
        <v>111</v>
      </c>
      <c r="B1304" s="15" t="s">
        <v>1083</v>
      </c>
      <c r="C1304" s="15" t="s">
        <v>14</v>
      </c>
      <c r="D1304" s="16">
        <v>327020000</v>
      </c>
      <c r="E1304" s="17">
        <v>45444</v>
      </c>
      <c r="F1304" s="18">
        <f>MONTH(Data!$E1304)</f>
        <v>6</v>
      </c>
      <c r="G1304" s="16">
        <f>YEAR(Data!$E1304)</f>
        <v>2024</v>
      </c>
      <c r="H1304" s="15" t="s">
        <v>22</v>
      </c>
      <c r="I1304" s="15" t="str">
        <f t="shared" si="20"/>
        <v>Doanh nghiệp</v>
      </c>
      <c r="J1304" s="15" t="s">
        <v>1285</v>
      </c>
      <c r="K1304" s="15" t="s">
        <v>1264</v>
      </c>
      <c r="L1304" s="32">
        <f>Data!$D1304/10^6</f>
        <v>327.02</v>
      </c>
    </row>
    <row r="1305" spans="1:12" x14ac:dyDescent="0.25">
      <c r="A1305" s="29" t="s">
        <v>59</v>
      </c>
      <c r="B1305" s="15" t="s">
        <v>1106</v>
      </c>
      <c r="C1305" s="15" t="s">
        <v>10</v>
      </c>
      <c r="D1305" s="16">
        <v>99383385</v>
      </c>
      <c r="E1305" s="17">
        <v>45444</v>
      </c>
      <c r="F1305" s="18">
        <f>MONTH(Data!$E1305)</f>
        <v>6</v>
      </c>
      <c r="G1305" s="16">
        <f>YEAR(Data!$E1305)</f>
        <v>2024</v>
      </c>
      <c r="H1305" s="15" t="s">
        <v>22</v>
      </c>
      <c r="I1305" s="15" t="str">
        <f t="shared" si="20"/>
        <v>Doanh nghiệp</v>
      </c>
      <c r="J1305" s="15" t="s">
        <v>1284</v>
      </c>
      <c r="K1305" s="15" t="s">
        <v>1267</v>
      </c>
      <c r="L1305" s="32">
        <f>Data!$D1305/10^6</f>
        <v>99.383385000000004</v>
      </c>
    </row>
    <row r="1306" spans="1:12" x14ac:dyDescent="0.25">
      <c r="A1306" s="29" t="s">
        <v>50</v>
      </c>
      <c r="B1306" s="15" t="s">
        <v>1112</v>
      </c>
      <c r="C1306" s="15" t="s">
        <v>10</v>
      </c>
      <c r="D1306" s="16">
        <v>624724215</v>
      </c>
      <c r="E1306" s="17">
        <v>45444</v>
      </c>
      <c r="F1306" s="18">
        <f>MONTH(Data!$E1306)</f>
        <v>6</v>
      </c>
      <c r="G1306" s="16">
        <f>YEAR(Data!$E1306)</f>
        <v>2024</v>
      </c>
      <c r="H1306" s="15" t="s">
        <v>35</v>
      </c>
      <c r="I1306" s="15" t="str">
        <f t="shared" si="20"/>
        <v>Doanh nghiệp</v>
      </c>
      <c r="J1306" s="15" t="s">
        <v>1285</v>
      </c>
      <c r="K1306" s="15" t="s">
        <v>1263</v>
      </c>
      <c r="L1306" s="32">
        <f>Data!$D1306/10^6</f>
        <v>624.72421499999996</v>
      </c>
    </row>
    <row r="1307" spans="1:12" x14ac:dyDescent="0.25">
      <c r="A1307" s="29" t="s">
        <v>85</v>
      </c>
      <c r="B1307" s="15" t="s">
        <v>1027</v>
      </c>
      <c r="C1307" s="15" t="s">
        <v>10</v>
      </c>
      <c r="D1307" s="16">
        <v>120477273</v>
      </c>
      <c r="E1307" s="17">
        <v>45444</v>
      </c>
      <c r="F1307" s="18">
        <f>MONTH(Data!$E1307)</f>
        <v>6</v>
      </c>
      <c r="G1307" s="16">
        <f>YEAR(Data!$E1307)</f>
        <v>2024</v>
      </c>
      <c r="H1307" s="15" t="s">
        <v>15</v>
      </c>
      <c r="I1307" s="15" t="str">
        <f t="shared" si="20"/>
        <v>Doanh nghiệp</v>
      </c>
      <c r="J1307" s="15" t="s">
        <v>1284</v>
      </c>
      <c r="K1307" s="15" t="s">
        <v>1267</v>
      </c>
      <c r="L1307" s="32">
        <f>Data!$D1307/10^6</f>
        <v>120.477273</v>
      </c>
    </row>
    <row r="1308" spans="1:12" x14ac:dyDescent="0.25">
      <c r="A1308" s="29" t="s">
        <v>107</v>
      </c>
      <c r="B1308" s="15" t="s">
        <v>1047</v>
      </c>
      <c r="C1308" s="15" t="s">
        <v>10</v>
      </c>
      <c r="D1308" s="16">
        <v>26367005</v>
      </c>
      <c r="E1308" s="17">
        <v>45444</v>
      </c>
      <c r="F1308" s="18">
        <f>MONTH(Data!$E1308)</f>
        <v>6</v>
      </c>
      <c r="G1308" s="16">
        <f>YEAR(Data!$E1308)</f>
        <v>2024</v>
      </c>
      <c r="H1308" s="15" t="s">
        <v>42</v>
      </c>
      <c r="I1308" s="15" t="str">
        <f t="shared" si="20"/>
        <v>Doanh nghiệp</v>
      </c>
      <c r="J1308" s="15" t="s">
        <v>1285</v>
      </c>
      <c r="K1308" s="15" t="s">
        <v>1263</v>
      </c>
      <c r="L1308" s="32">
        <f>Data!$D1308/10^6</f>
        <v>26.367004999999999</v>
      </c>
    </row>
    <row r="1309" spans="1:12" x14ac:dyDescent="0.25">
      <c r="A1309" s="29" t="s">
        <v>116</v>
      </c>
      <c r="B1309" s="15" t="s">
        <v>1065</v>
      </c>
      <c r="C1309" s="15" t="s">
        <v>46</v>
      </c>
      <c r="D1309" s="16">
        <v>93415455</v>
      </c>
      <c r="E1309" s="17">
        <v>45444</v>
      </c>
      <c r="F1309" s="18">
        <f>MONTH(Data!$E1309)</f>
        <v>6</v>
      </c>
      <c r="G1309" s="16">
        <f>YEAR(Data!$E1309)</f>
        <v>2024</v>
      </c>
      <c r="H1309" s="15" t="s">
        <v>15</v>
      </c>
      <c r="I1309" s="15" t="str">
        <f t="shared" si="20"/>
        <v>Doanh nghiệp</v>
      </c>
      <c r="J1309" s="15" t="s">
        <v>1284</v>
      </c>
      <c r="K1309" s="15" t="s">
        <v>1265</v>
      </c>
      <c r="L1309" s="32">
        <f>Data!$D1309/10^6</f>
        <v>93.415454999999994</v>
      </c>
    </row>
    <row r="1310" spans="1:12" x14ac:dyDescent="0.25">
      <c r="A1310" s="29" t="s">
        <v>62</v>
      </c>
      <c r="B1310" s="15" t="s">
        <v>1068</v>
      </c>
      <c r="C1310" s="15" t="s">
        <v>10</v>
      </c>
      <c r="D1310" s="16">
        <v>82100295</v>
      </c>
      <c r="E1310" s="17">
        <v>45444</v>
      </c>
      <c r="F1310" s="18">
        <f>MONTH(Data!$E1310)</f>
        <v>6</v>
      </c>
      <c r="G1310" s="16">
        <f>YEAR(Data!$E1310)</f>
        <v>2024</v>
      </c>
      <c r="H1310" s="15" t="s">
        <v>15</v>
      </c>
      <c r="I1310" s="15" t="str">
        <f t="shared" si="20"/>
        <v>Doanh nghiệp</v>
      </c>
      <c r="J1310" s="15" t="s">
        <v>1285</v>
      </c>
      <c r="K1310" s="15" t="s">
        <v>1276</v>
      </c>
      <c r="L1310" s="32">
        <f>Data!$D1310/10^6</f>
        <v>82.100295000000003</v>
      </c>
    </row>
    <row r="1311" spans="1:12" x14ac:dyDescent="0.25">
      <c r="A1311" s="29" t="s">
        <v>85</v>
      </c>
      <c r="B1311" s="15" t="s">
        <v>1070</v>
      </c>
      <c r="C1311" s="15" t="s">
        <v>14</v>
      </c>
      <c r="D1311" s="16">
        <v>853800020</v>
      </c>
      <c r="E1311" s="17">
        <v>45444</v>
      </c>
      <c r="F1311" s="18">
        <f>MONTH(Data!$E1311)</f>
        <v>6</v>
      </c>
      <c r="G1311" s="16">
        <f>YEAR(Data!$E1311)</f>
        <v>2024</v>
      </c>
      <c r="H1311" s="15" t="s">
        <v>15</v>
      </c>
      <c r="I1311" s="15" t="str">
        <f t="shared" si="20"/>
        <v>Doanh nghiệp</v>
      </c>
      <c r="J1311" s="15" t="s">
        <v>1284</v>
      </c>
      <c r="K1311" s="15" t="s">
        <v>1275</v>
      </c>
      <c r="L1311" s="32">
        <f>Data!$D1311/10^6</f>
        <v>853.80002000000002</v>
      </c>
    </row>
    <row r="1312" spans="1:12" x14ac:dyDescent="0.25">
      <c r="A1312" s="29" t="s">
        <v>62</v>
      </c>
      <c r="B1312" s="15" t="s">
        <v>1080</v>
      </c>
      <c r="C1312" s="15" t="s">
        <v>10</v>
      </c>
      <c r="D1312" s="16">
        <v>28152455</v>
      </c>
      <c r="E1312" s="17">
        <v>45444</v>
      </c>
      <c r="F1312" s="18">
        <f>MONTH(Data!$E1312)</f>
        <v>6</v>
      </c>
      <c r="G1312" s="16">
        <f>YEAR(Data!$E1312)</f>
        <v>2024</v>
      </c>
      <c r="H1312" s="15" t="s">
        <v>15</v>
      </c>
      <c r="I1312" s="15" t="str">
        <f t="shared" si="20"/>
        <v>Doanh nghiệp</v>
      </c>
      <c r="J1312" s="15" t="s">
        <v>1285</v>
      </c>
      <c r="K1312" s="15" t="s">
        <v>1263</v>
      </c>
      <c r="L1312" s="32">
        <f>Data!$D1312/10^6</f>
        <v>28.152455</v>
      </c>
    </row>
    <row r="1313" spans="1:12" x14ac:dyDescent="0.25">
      <c r="A1313" s="29" t="s">
        <v>8</v>
      </c>
      <c r="B1313" s="15" t="s">
        <v>1100</v>
      </c>
      <c r="C1313" s="15" t="s">
        <v>14</v>
      </c>
      <c r="D1313" s="16">
        <v>338166589</v>
      </c>
      <c r="E1313" s="17">
        <v>45444</v>
      </c>
      <c r="F1313" s="18">
        <f>MONTH(Data!$E1313)</f>
        <v>6</v>
      </c>
      <c r="G1313" s="16">
        <f>YEAR(Data!$E1313)</f>
        <v>2024</v>
      </c>
      <c r="H1313" s="15" t="s">
        <v>11</v>
      </c>
      <c r="I1313" s="15" t="str">
        <f t="shared" si="20"/>
        <v>Doanh nghiệp</v>
      </c>
      <c r="J1313" s="15" t="s">
        <v>1284</v>
      </c>
      <c r="K1313" s="15" t="s">
        <v>1264</v>
      </c>
      <c r="L1313" s="32">
        <f>Data!$D1313/10^6</f>
        <v>338.16658899999999</v>
      </c>
    </row>
    <row r="1314" spans="1:12" x14ac:dyDescent="0.25">
      <c r="A1314" s="29" t="s">
        <v>47</v>
      </c>
      <c r="B1314" s="15" t="s">
        <v>1101</v>
      </c>
      <c r="C1314" s="15" t="s">
        <v>14</v>
      </c>
      <c r="D1314" s="16">
        <v>80278364</v>
      </c>
      <c r="E1314" s="17">
        <v>45444</v>
      </c>
      <c r="F1314" s="18">
        <f>MONTH(Data!$E1314)</f>
        <v>6</v>
      </c>
      <c r="G1314" s="16">
        <f>YEAR(Data!$E1314)</f>
        <v>2024</v>
      </c>
      <c r="H1314" s="15" t="s">
        <v>29</v>
      </c>
      <c r="I1314" s="15" t="str">
        <f t="shared" si="20"/>
        <v>Doanh nghiệp</v>
      </c>
      <c r="J1314" s="15" t="s">
        <v>1285</v>
      </c>
      <c r="K1314" s="15" t="s">
        <v>1273</v>
      </c>
      <c r="L1314" s="32">
        <f>Data!$D1314/10^6</f>
        <v>80.278363999999996</v>
      </c>
    </row>
    <row r="1315" spans="1:12" x14ac:dyDescent="0.25">
      <c r="A1315" s="29" t="s">
        <v>268</v>
      </c>
      <c r="B1315" s="15" t="s">
        <v>1104</v>
      </c>
      <c r="C1315" s="15" t="s">
        <v>14</v>
      </c>
      <c r="D1315" s="16">
        <v>85066000</v>
      </c>
      <c r="E1315" s="17">
        <v>45444</v>
      </c>
      <c r="F1315" s="18">
        <f>MONTH(Data!$E1315)</f>
        <v>6</v>
      </c>
      <c r="G1315" s="16">
        <f>YEAR(Data!$E1315)</f>
        <v>2024</v>
      </c>
      <c r="H1315" s="15" t="s">
        <v>25</v>
      </c>
      <c r="I1315" s="15" t="str">
        <f t="shared" si="20"/>
        <v>Doanh nghiệp</v>
      </c>
      <c r="J1315" s="15" t="s">
        <v>1284</v>
      </c>
      <c r="K1315" s="15" t="s">
        <v>1264</v>
      </c>
      <c r="L1315" s="32">
        <f>Data!$D1315/10^6</f>
        <v>85.066000000000003</v>
      </c>
    </row>
    <row r="1316" spans="1:12" x14ac:dyDescent="0.25">
      <c r="A1316" s="29" t="s">
        <v>268</v>
      </c>
      <c r="B1316" s="15" t="s">
        <v>1112</v>
      </c>
      <c r="C1316" s="15" t="s">
        <v>14</v>
      </c>
      <c r="D1316" s="16">
        <v>76702969</v>
      </c>
      <c r="E1316" s="17">
        <v>45444</v>
      </c>
      <c r="F1316" s="18">
        <f>MONTH(Data!$E1316)</f>
        <v>6</v>
      </c>
      <c r="G1316" s="16">
        <f>YEAR(Data!$E1316)</f>
        <v>2024</v>
      </c>
      <c r="H1316" s="15" t="s">
        <v>25</v>
      </c>
      <c r="I1316" s="15" t="str">
        <f t="shared" si="20"/>
        <v>Doanh nghiệp</v>
      </c>
      <c r="J1316" s="15" t="s">
        <v>1285</v>
      </c>
      <c r="K1316" s="15" t="s">
        <v>1264</v>
      </c>
      <c r="L1316" s="32">
        <f>Data!$D1316/10^6</f>
        <v>76.702968999999996</v>
      </c>
    </row>
    <row r="1317" spans="1:12" x14ac:dyDescent="0.25">
      <c r="A1317" s="29" t="s">
        <v>51</v>
      </c>
      <c r="B1317" s="15" t="s">
        <v>1117</v>
      </c>
      <c r="C1317" s="15" t="s">
        <v>149</v>
      </c>
      <c r="D1317" s="16">
        <v>7272727</v>
      </c>
      <c r="E1317" s="17">
        <v>45444</v>
      </c>
      <c r="F1317" s="18">
        <f>MONTH(Data!$E1317)</f>
        <v>6</v>
      </c>
      <c r="G1317" s="16">
        <f>YEAR(Data!$E1317)</f>
        <v>2024</v>
      </c>
      <c r="H1317" s="15" t="s">
        <v>42</v>
      </c>
      <c r="I1317" s="15" t="str">
        <f t="shared" si="20"/>
        <v>Doanh nghiệp</v>
      </c>
      <c r="J1317" s="15" t="s">
        <v>1284</v>
      </c>
      <c r="K1317" s="15" t="s">
        <v>1265</v>
      </c>
      <c r="L1317" s="32">
        <f>Data!$D1317/10^6</f>
        <v>7.2727269999999997</v>
      </c>
    </row>
    <row r="1318" spans="1:12" x14ac:dyDescent="0.25">
      <c r="A1318" s="29" t="s">
        <v>51</v>
      </c>
      <c r="B1318" s="15" t="s">
        <v>1119</v>
      </c>
      <c r="C1318" s="15" t="s">
        <v>149</v>
      </c>
      <c r="D1318" s="16">
        <v>7272727</v>
      </c>
      <c r="E1318" s="17">
        <v>45444</v>
      </c>
      <c r="F1318" s="18">
        <f>MONTH(Data!$E1318)</f>
        <v>6</v>
      </c>
      <c r="G1318" s="16">
        <f>YEAR(Data!$E1318)</f>
        <v>2024</v>
      </c>
      <c r="H1318" s="15" t="s">
        <v>42</v>
      </c>
      <c r="I1318" s="15" t="str">
        <f t="shared" si="20"/>
        <v>Doanh nghiệp</v>
      </c>
      <c r="J1318" s="15" t="s">
        <v>1285</v>
      </c>
      <c r="K1318" s="15" t="s">
        <v>1265</v>
      </c>
      <c r="L1318" s="32">
        <f>Data!$D1318/10^6</f>
        <v>7.2727269999999997</v>
      </c>
    </row>
    <row r="1319" spans="1:12" x14ac:dyDescent="0.25">
      <c r="A1319" s="29" t="s">
        <v>51</v>
      </c>
      <c r="B1319" s="15" t="s">
        <v>1121</v>
      </c>
      <c r="C1319" s="15" t="s">
        <v>149</v>
      </c>
      <c r="D1319" s="16">
        <v>7272727</v>
      </c>
      <c r="E1319" s="17">
        <v>45444</v>
      </c>
      <c r="F1319" s="18">
        <f>MONTH(Data!$E1319)</f>
        <v>6</v>
      </c>
      <c r="G1319" s="16">
        <f>YEAR(Data!$E1319)</f>
        <v>2024</v>
      </c>
      <c r="H1319" s="15" t="s">
        <v>42</v>
      </c>
      <c r="I1319" s="15" t="str">
        <f t="shared" si="20"/>
        <v>Doanh nghiệp</v>
      </c>
      <c r="J1319" s="15" t="s">
        <v>1284</v>
      </c>
      <c r="K1319" s="15" t="s">
        <v>1265</v>
      </c>
      <c r="L1319" s="32">
        <f>Data!$D1319/10^6</f>
        <v>7.2727269999999997</v>
      </c>
    </row>
    <row r="1320" spans="1:12" x14ac:dyDescent="0.25">
      <c r="A1320" s="29" t="s">
        <v>209</v>
      </c>
      <c r="B1320" s="15" t="s">
        <v>1025</v>
      </c>
      <c r="C1320" s="15" t="s">
        <v>149</v>
      </c>
      <c r="D1320" s="16">
        <v>41950000</v>
      </c>
      <c r="E1320" s="17">
        <v>45444</v>
      </c>
      <c r="F1320" s="18">
        <f>MONTH(Data!$E1320)</f>
        <v>6</v>
      </c>
      <c r="G1320" s="16">
        <f>YEAR(Data!$E1320)</f>
        <v>2024</v>
      </c>
      <c r="H1320" s="15" t="s">
        <v>32</v>
      </c>
      <c r="I1320" s="15" t="str">
        <f t="shared" si="20"/>
        <v>Doanh nghiệp</v>
      </c>
      <c r="J1320" s="15" t="s">
        <v>1285</v>
      </c>
      <c r="K1320" s="15" t="s">
        <v>1262</v>
      </c>
      <c r="L1320" s="32">
        <f>Data!$D1320/10^6</f>
        <v>41.95</v>
      </c>
    </row>
    <row r="1321" spans="1:12" x14ac:dyDescent="0.25">
      <c r="A1321" s="29" t="s">
        <v>92</v>
      </c>
      <c r="B1321" s="15" t="s">
        <v>1061</v>
      </c>
      <c r="C1321" s="15" t="s">
        <v>14</v>
      </c>
      <c r="D1321" s="16">
        <v>39636364</v>
      </c>
      <c r="E1321" s="17">
        <v>45444</v>
      </c>
      <c r="F1321" s="18">
        <f>MONTH(Data!$E1321)</f>
        <v>6</v>
      </c>
      <c r="G1321" s="16">
        <f>YEAR(Data!$E1321)</f>
        <v>2024</v>
      </c>
      <c r="H1321" s="15" t="s">
        <v>29</v>
      </c>
      <c r="I1321" s="15" t="str">
        <f t="shared" si="20"/>
        <v>Doanh nghiệp</v>
      </c>
      <c r="J1321" s="15" t="s">
        <v>1284</v>
      </c>
      <c r="K1321" s="15" t="s">
        <v>1275</v>
      </c>
      <c r="L1321" s="32">
        <f>Data!$D1321/10^6</f>
        <v>39.636364</v>
      </c>
    </row>
    <row r="1322" spans="1:12" x14ac:dyDescent="0.25">
      <c r="A1322" s="29" t="s">
        <v>92</v>
      </c>
      <c r="B1322" s="15" t="s">
        <v>1062</v>
      </c>
      <c r="C1322" s="15" t="s">
        <v>14</v>
      </c>
      <c r="D1322" s="16">
        <v>60900727</v>
      </c>
      <c r="E1322" s="17">
        <v>45444</v>
      </c>
      <c r="F1322" s="18">
        <f>MONTH(Data!$E1322)</f>
        <v>6</v>
      </c>
      <c r="G1322" s="16">
        <f>YEAR(Data!$E1322)</f>
        <v>2024</v>
      </c>
      <c r="H1322" s="15" t="s">
        <v>29</v>
      </c>
      <c r="I1322" s="15" t="str">
        <f t="shared" si="20"/>
        <v>Doanh nghiệp</v>
      </c>
      <c r="J1322" s="15" t="s">
        <v>1285</v>
      </c>
      <c r="K1322" s="15" t="s">
        <v>1275</v>
      </c>
      <c r="L1322" s="32">
        <f>Data!$D1322/10^6</f>
        <v>60.900727000000003</v>
      </c>
    </row>
    <row r="1323" spans="1:12" x14ac:dyDescent="0.25">
      <c r="A1323" s="29" t="s">
        <v>128</v>
      </c>
      <c r="B1323" s="15" t="s">
        <v>1073</v>
      </c>
      <c r="C1323" s="15" t="s">
        <v>14</v>
      </c>
      <c r="D1323" s="16">
        <v>68100000</v>
      </c>
      <c r="E1323" s="17">
        <v>45444</v>
      </c>
      <c r="F1323" s="18">
        <f>MONTH(Data!$E1323)</f>
        <v>6</v>
      </c>
      <c r="G1323" s="16">
        <f>YEAR(Data!$E1323)</f>
        <v>2024</v>
      </c>
      <c r="H1323" s="15" t="s">
        <v>42</v>
      </c>
      <c r="I1323" s="15" t="str">
        <f t="shared" si="20"/>
        <v>Doanh nghiệp</v>
      </c>
      <c r="J1323" s="15" t="s">
        <v>1284</v>
      </c>
      <c r="K1323" s="15" t="s">
        <v>1272</v>
      </c>
      <c r="L1323" s="32">
        <f>Data!$D1323/10^6</f>
        <v>68.099999999999994</v>
      </c>
    </row>
    <row r="1324" spans="1:12" x14ac:dyDescent="0.25">
      <c r="A1324" s="29" t="s">
        <v>160</v>
      </c>
      <c r="B1324" s="15" t="s">
        <v>1086</v>
      </c>
      <c r="C1324" s="15" t="s">
        <v>149</v>
      </c>
      <c r="D1324" s="16">
        <v>39436364</v>
      </c>
      <c r="E1324" s="17">
        <v>45444</v>
      </c>
      <c r="F1324" s="18">
        <f>MONTH(Data!$E1324)</f>
        <v>6</v>
      </c>
      <c r="G1324" s="16">
        <f>YEAR(Data!$E1324)</f>
        <v>2024</v>
      </c>
      <c r="H1324" s="15" t="s">
        <v>35</v>
      </c>
      <c r="I1324" s="15" t="str">
        <f t="shared" si="20"/>
        <v>Doanh nghiệp</v>
      </c>
      <c r="J1324" s="15" t="s">
        <v>1285</v>
      </c>
      <c r="K1324" s="15" t="s">
        <v>1264</v>
      </c>
      <c r="L1324" s="32">
        <f>Data!$D1324/10^6</f>
        <v>39.436363999999998</v>
      </c>
    </row>
    <row r="1325" spans="1:12" x14ac:dyDescent="0.25">
      <c r="A1325" s="29" t="s">
        <v>89</v>
      </c>
      <c r="B1325" s="15" t="s">
        <v>1088</v>
      </c>
      <c r="C1325" s="15" t="s">
        <v>10</v>
      </c>
      <c r="D1325" s="16">
        <v>348748400</v>
      </c>
      <c r="E1325" s="17">
        <v>45444</v>
      </c>
      <c r="F1325" s="18">
        <f>MONTH(Data!$E1325)</f>
        <v>6</v>
      </c>
      <c r="G1325" s="16">
        <f>YEAR(Data!$E1325)</f>
        <v>2024</v>
      </c>
      <c r="H1325" s="15" t="s">
        <v>11</v>
      </c>
      <c r="I1325" s="15" t="str">
        <f t="shared" si="20"/>
        <v>Doanh nghiệp</v>
      </c>
      <c r="J1325" s="15" t="s">
        <v>1284</v>
      </c>
      <c r="K1325" s="15" t="s">
        <v>1262</v>
      </c>
      <c r="L1325" s="32">
        <f>Data!$D1325/10^6</f>
        <v>348.7484</v>
      </c>
    </row>
    <row r="1326" spans="1:12" x14ac:dyDescent="0.25">
      <c r="A1326" s="29" t="s">
        <v>160</v>
      </c>
      <c r="B1326" s="15" t="s">
        <v>1093</v>
      </c>
      <c r="C1326" s="15" t="s">
        <v>46</v>
      </c>
      <c r="D1326" s="16">
        <v>178259555</v>
      </c>
      <c r="E1326" s="17">
        <v>45444</v>
      </c>
      <c r="F1326" s="18">
        <f>MONTH(Data!$E1326)</f>
        <v>6</v>
      </c>
      <c r="G1326" s="16">
        <f>YEAR(Data!$E1326)</f>
        <v>2024</v>
      </c>
      <c r="H1326" s="15" t="s">
        <v>35</v>
      </c>
      <c r="I1326" s="15" t="str">
        <f t="shared" si="20"/>
        <v>Doanh nghiệp</v>
      </c>
      <c r="J1326" s="15" t="s">
        <v>1285</v>
      </c>
      <c r="K1326" s="15" t="s">
        <v>1265</v>
      </c>
      <c r="L1326" s="32">
        <f>Data!$D1326/10^6</f>
        <v>178.25955500000001</v>
      </c>
    </row>
    <row r="1327" spans="1:12" x14ac:dyDescent="0.25">
      <c r="A1327" s="29" t="s">
        <v>72</v>
      </c>
      <c r="B1327" s="15" t="s">
        <v>1037</v>
      </c>
      <c r="C1327" s="15" t="s">
        <v>14</v>
      </c>
      <c r="D1327" s="16">
        <v>28550700</v>
      </c>
      <c r="E1327" s="17">
        <v>45444</v>
      </c>
      <c r="F1327" s="18">
        <f>MONTH(Data!$E1327)</f>
        <v>6</v>
      </c>
      <c r="G1327" s="16">
        <f>YEAR(Data!$E1327)</f>
        <v>2024</v>
      </c>
      <c r="H1327" s="15" t="s">
        <v>22</v>
      </c>
      <c r="I1327" s="15" t="str">
        <f t="shared" si="20"/>
        <v>Doanh nghiệp</v>
      </c>
      <c r="J1327" s="15" t="s">
        <v>1284</v>
      </c>
      <c r="K1327" s="15" t="s">
        <v>1264</v>
      </c>
      <c r="L1327" s="32">
        <f>Data!$D1327/10^6</f>
        <v>28.550699999999999</v>
      </c>
    </row>
    <row r="1328" spans="1:12" x14ac:dyDescent="0.25">
      <c r="A1328" s="29" t="s">
        <v>37</v>
      </c>
      <c r="B1328" s="15" t="s">
        <v>1066</v>
      </c>
      <c r="C1328" s="15" t="s">
        <v>14</v>
      </c>
      <c r="D1328" s="16">
        <v>100654545</v>
      </c>
      <c r="E1328" s="17">
        <v>45444</v>
      </c>
      <c r="F1328" s="18">
        <f>MONTH(Data!$E1328)</f>
        <v>6</v>
      </c>
      <c r="G1328" s="16">
        <f>YEAR(Data!$E1328)</f>
        <v>2024</v>
      </c>
      <c r="H1328" s="15" t="s">
        <v>11</v>
      </c>
      <c r="I1328" s="15" t="str">
        <f t="shared" si="20"/>
        <v>Doanh nghiệp</v>
      </c>
      <c r="J1328" s="15" t="s">
        <v>1285</v>
      </c>
      <c r="K1328" s="15" t="s">
        <v>1264</v>
      </c>
      <c r="L1328" s="32">
        <f>Data!$D1328/10^6</f>
        <v>100.654545</v>
      </c>
    </row>
    <row r="1329" spans="1:12" x14ac:dyDescent="0.25">
      <c r="A1329" s="29" t="s">
        <v>37</v>
      </c>
      <c r="B1329" s="15" t="s">
        <v>1067</v>
      </c>
      <c r="C1329" s="15" t="s">
        <v>10</v>
      </c>
      <c r="D1329" s="16">
        <v>29461400</v>
      </c>
      <c r="E1329" s="17">
        <v>45444</v>
      </c>
      <c r="F1329" s="18">
        <f>MONTH(Data!$E1329)</f>
        <v>6</v>
      </c>
      <c r="G1329" s="16">
        <f>YEAR(Data!$E1329)</f>
        <v>2024</v>
      </c>
      <c r="H1329" s="15" t="s">
        <v>11</v>
      </c>
      <c r="I1329" s="15" t="str">
        <f t="shared" si="20"/>
        <v>Doanh nghiệp</v>
      </c>
      <c r="J1329" s="15" t="s">
        <v>1284</v>
      </c>
      <c r="K1329" s="15" t="s">
        <v>1263</v>
      </c>
      <c r="L1329" s="32">
        <f>Data!$D1329/10^6</f>
        <v>29.461400000000001</v>
      </c>
    </row>
    <row r="1330" spans="1:12" x14ac:dyDescent="0.25">
      <c r="A1330" s="29" t="s">
        <v>72</v>
      </c>
      <c r="B1330" s="15" t="s">
        <v>1078</v>
      </c>
      <c r="C1330" s="15" t="s">
        <v>10</v>
      </c>
      <c r="D1330" s="16">
        <v>12461339</v>
      </c>
      <c r="E1330" s="17">
        <v>45444</v>
      </c>
      <c r="F1330" s="18">
        <f>MONTH(Data!$E1330)</f>
        <v>6</v>
      </c>
      <c r="G1330" s="16">
        <f>YEAR(Data!$E1330)</f>
        <v>2024</v>
      </c>
      <c r="H1330" s="15" t="s">
        <v>22</v>
      </c>
      <c r="I1330" s="15" t="str">
        <f t="shared" si="20"/>
        <v>Doanh nghiệp</v>
      </c>
      <c r="J1330" s="15" t="s">
        <v>1285</v>
      </c>
      <c r="K1330" s="15" t="s">
        <v>1263</v>
      </c>
      <c r="L1330" s="32">
        <f>Data!$D1330/10^6</f>
        <v>12.461339000000001</v>
      </c>
    </row>
    <row r="1331" spans="1:12" x14ac:dyDescent="0.25">
      <c r="A1331" s="29" t="s">
        <v>17</v>
      </c>
      <c r="B1331" s="15" t="s">
        <v>1086</v>
      </c>
      <c r="C1331" s="15" t="s">
        <v>46</v>
      </c>
      <c r="D1331" s="16">
        <v>147652727</v>
      </c>
      <c r="E1331" s="17">
        <v>45444</v>
      </c>
      <c r="F1331" s="18">
        <f>MONTH(Data!$E1331)</f>
        <v>6</v>
      </c>
      <c r="G1331" s="16">
        <f>YEAR(Data!$E1331)</f>
        <v>2024</v>
      </c>
      <c r="H1331" s="15" t="s">
        <v>11</v>
      </c>
      <c r="I1331" s="15" t="str">
        <f t="shared" si="20"/>
        <v>Doanh nghiệp</v>
      </c>
      <c r="J1331" s="15" t="s">
        <v>1284</v>
      </c>
      <c r="K1331" s="15" t="s">
        <v>1265</v>
      </c>
      <c r="L1331" s="32">
        <f>Data!$D1331/10^6</f>
        <v>147.652727</v>
      </c>
    </row>
    <row r="1332" spans="1:12" x14ac:dyDescent="0.25">
      <c r="A1332" s="29" t="s">
        <v>73</v>
      </c>
      <c r="B1332" s="15" t="s">
        <v>1041</v>
      </c>
      <c r="C1332" s="15" t="s">
        <v>10</v>
      </c>
      <c r="D1332" s="16">
        <v>20688495</v>
      </c>
      <c r="E1332" s="17">
        <v>45444</v>
      </c>
      <c r="F1332" s="18">
        <f>MONTH(Data!$E1332)</f>
        <v>6</v>
      </c>
      <c r="G1332" s="16">
        <f>YEAR(Data!$E1332)</f>
        <v>2024</v>
      </c>
      <c r="H1332" s="15" t="s">
        <v>32</v>
      </c>
      <c r="I1332" s="15" t="str">
        <f t="shared" si="20"/>
        <v>Doanh nghiệp</v>
      </c>
      <c r="J1332" s="15" t="s">
        <v>1285</v>
      </c>
      <c r="K1332" s="15" t="s">
        <v>1263</v>
      </c>
      <c r="L1332" s="32">
        <f>Data!$D1332/10^6</f>
        <v>20.688495</v>
      </c>
    </row>
    <row r="1333" spans="1:12" x14ac:dyDescent="0.25">
      <c r="A1333" s="29" t="s">
        <v>85</v>
      </c>
      <c r="B1333" s="15" t="s">
        <v>1074</v>
      </c>
      <c r="C1333" s="15" t="s">
        <v>10</v>
      </c>
      <c r="D1333" s="16">
        <v>19327656</v>
      </c>
      <c r="E1333" s="17">
        <v>45444</v>
      </c>
      <c r="F1333" s="18">
        <f>MONTH(Data!$E1333)</f>
        <v>6</v>
      </c>
      <c r="G1333" s="16">
        <f>YEAR(Data!$E1333)</f>
        <v>2024</v>
      </c>
      <c r="H1333" s="15" t="s">
        <v>15</v>
      </c>
      <c r="I1333" s="15" t="str">
        <f t="shared" si="20"/>
        <v>Doanh nghiệp</v>
      </c>
      <c r="J1333" s="15" t="s">
        <v>1284</v>
      </c>
      <c r="K1333" s="15" t="s">
        <v>1263</v>
      </c>
      <c r="L1333" s="32">
        <f>Data!$D1333/10^6</f>
        <v>19.327656000000001</v>
      </c>
    </row>
    <row r="1334" spans="1:12" x14ac:dyDescent="0.25">
      <c r="A1334" s="29" t="s">
        <v>85</v>
      </c>
      <c r="B1334" s="15" t="s">
        <v>1075</v>
      </c>
      <c r="C1334" s="15" t="s">
        <v>10</v>
      </c>
      <c r="D1334" s="16">
        <v>22925673</v>
      </c>
      <c r="E1334" s="17">
        <v>45444</v>
      </c>
      <c r="F1334" s="18">
        <f>MONTH(Data!$E1334)</f>
        <v>6</v>
      </c>
      <c r="G1334" s="16">
        <f>YEAR(Data!$E1334)</f>
        <v>2024</v>
      </c>
      <c r="H1334" s="15" t="s">
        <v>15</v>
      </c>
      <c r="I1334" s="15" t="str">
        <f t="shared" si="20"/>
        <v>Doanh nghiệp</v>
      </c>
      <c r="J1334" s="15" t="s">
        <v>1285</v>
      </c>
      <c r="K1334" s="15" t="s">
        <v>1263</v>
      </c>
      <c r="L1334" s="32">
        <f>Data!$D1334/10^6</f>
        <v>22.925673</v>
      </c>
    </row>
    <row r="1335" spans="1:12" x14ac:dyDescent="0.25">
      <c r="A1335" s="29" t="s">
        <v>85</v>
      </c>
      <c r="B1335" s="15" t="s">
        <v>1076</v>
      </c>
      <c r="C1335" s="15" t="s">
        <v>10</v>
      </c>
      <c r="D1335" s="16">
        <v>54911253</v>
      </c>
      <c r="E1335" s="17">
        <v>45444</v>
      </c>
      <c r="F1335" s="18">
        <f>MONTH(Data!$E1335)</f>
        <v>6</v>
      </c>
      <c r="G1335" s="16">
        <f>YEAR(Data!$E1335)</f>
        <v>2024</v>
      </c>
      <c r="H1335" s="15" t="s">
        <v>15</v>
      </c>
      <c r="I1335" s="15" t="str">
        <f t="shared" si="20"/>
        <v>Doanh nghiệp</v>
      </c>
      <c r="J1335" s="15" t="s">
        <v>1284</v>
      </c>
      <c r="K1335" s="15" t="s">
        <v>1263</v>
      </c>
      <c r="L1335" s="32">
        <f>Data!$D1335/10^6</f>
        <v>54.911253000000002</v>
      </c>
    </row>
    <row r="1336" spans="1:12" x14ac:dyDescent="0.25">
      <c r="A1336" s="29" t="s">
        <v>30</v>
      </c>
      <c r="B1336" s="15" t="s">
        <v>1103</v>
      </c>
      <c r="C1336" s="15" t="s">
        <v>46</v>
      </c>
      <c r="D1336" s="16">
        <v>155033557</v>
      </c>
      <c r="E1336" s="17">
        <v>45444</v>
      </c>
      <c r="F1336" s="18">
        <f>MONTH(Data!$E1336)</f>
        <v>6</v>
      </c>
      <c r="G1336" s="16">
        <f>YEAR(Data!$E1336)</f>
        <v>2024</v>
      </c>
      <c r="H1336" s="15" t="s">
        <v>32</v>
      </c>
      <c r="I1336" s="15" t="str">
        <f t="shared" si="20"/>
        <v>Doanh nghiệp</v>
      </c>
      <c r="J1336" s="15" t="s">
        <v>1285</v>
      </c>
      <c r="K1336" s="15" t="s">
        <v>1265</v>
      </c>
      <c r="L1336" s="32">
        <f>Data!$D1336/10^6</f>
        <v>155.033557</v>
      </c>
    </row>
    <row r="1337" spans="1:12" x14ac:dyDescent="0.25">
      <c r="A1337" s="29" t="s">
        <v>128</v>
      </c>
      <c r="B1337" s="15" t="s">
        <v>1114</v>
      </c>
      <c r="C1337" s="15" t="s">
        <v>149</v>
      </c>
      <c r="D1337" s="16">
        <v>273000000</v>
      </c>
      <c r="E1337" s="17">
        <v>45444</v>
      </c>
      <c r="F1337" s="18">
        <f>MONTH(Data!$E1337)</f>
        <v>6</v>
      </c>
      <c r="G1337" s="16">
        <f>YEAR(Data!$E1337)</f>
        <v>2024</v>
      </c>
      <c r="H1337" s="15" t="s">
        <v>42</v>
      </c>
      <c r="I1337" s="15" t="str">
        <f t="shared" si="20"/>
        <v>Doanh nghiệp</v>
      </c>
      <c r="J1337" s="15" t="s">
        <v>1284</v>
      </c>
      <c r="K1337" s="15" t="s">
        <v>1262</v>
      </c>
      <c r="L1337" s="32">
        <f>Data!$D1337/10^6</f>
        <v>273</v>
      </c>
    </row>
    <row r="1338" spans="1:12" x14ac:dyDescent="0.25">
      <c r="A1338" s="29" t="s">
        <v>21</v>
      </c>
      <c r="B1338" s="15" t="s">
        <v>1118</v>
      </c>
      <c r="C1338" s="15" t="s">
        <v>149</v>
      </c>
      <c r="D1338" s="16">
        <v>28130471</v>
      </c>
      <c r="E1338" s="17">
        <v>45444</v>
      </c>
      <c r="F1338" s="18">
        <f>MONTH(Data!$E1338)</f>
        <v>6</v>
      </c>
      <c r="G1338" s="16">
        <f>YEAR(Data!$E1338)</f>
        <v>2024</v>
      </c>
      <c r="H1338" s="15" t="s">
        <v>22</v>
      </c>
      <c r="I1338" s="15" t="str">
        <f t="shared" si="20"/>
        <v>Doanh nghiệp</v>
      </c>
      <c r="J1338" s="15" t="s">
        <v>1285</v>
      </c>
      <c r="K1338" s="15" t="s">
        <v>1264</v>
      </c>
      <c r="L1338" s="32">
        <f>Data!$D1338/10^6</f>
        <v>28.130471</v>
      </c>
    </row>
    <row r="1339" spans="1:12" x14ac:dyDescent="0.25">
      <c r="A1339" s="29" t="s">
        <v>102</v>
      </c>
      <c r="B1339" s="15" t="s">
        <v>1125</v>
      </c>
      <c r="C1339" s="15" t="s">
        <v>10</v>
      </c>
      <c r="D1339" s="16">
        <v>41930509</v>
      </c>
      <c r="E1339" s="17">
        <v>45444</v>
      </c>
      <c r="F1339" s="18">
        <f>MONTH(Data!$E1339)</f>
        <v>6</v>
      </c>
      <c r="G1339" s="16">
        <f>YEAR(Data!$E1339)</f>
        <v>2024</v>
      </c>
      <c r="H1339" s="15" t="s">
        <v>22</v>
      </c>
      <c r="I1339" s="15" t="str">
        <f t="shared" si="20"/>
        <v>Doanh nghiệp</v>
      </c>
      <c r="J1339" s="15" t="s">
        <v>1284</v>
      </c>
      <c r="K1339" s="15" t="s">
        <v>1262</v>
      </c>
      <c r="L1339" s="32">
        <f>Data!$D1339/10^6</f>
        <v>41.930509000000001</v>
      </c>
    </row>
    <row r="1340" spans="1:12" x14ac:dyDescent="0.25">
      <c r="A1340" s="29" t="s">
        <v>85</v>
      </c>
      <c r="B1340" s="15" t="s">
        <v>1138</v>
      </c>
      <c r="C1340" s="15" t="s">
        <v>10</v>
      </c>
      <c r="D1340" s="16">
        <v>19467400</v>
      </c>
      <c r="E1340" s="17">
        <v>45444</v>
      </c>
      <c r="F1340" s="18">
        <f>MONTH(Data!$E1340)</f>
        <v>6</v>
      </c>
      <c r="G1340" s="16">
        <f>YEAR(Data!$E1340)</f>
        <v>2024</v>
      </c>
      <c r="H1340" s="15" t="s">
        <v>15</v>
      </c>
      <c r="I1340" s="15" t="str">
        <f t="shared" si="20"/>
        <v>Doanh nghiệp</v>
      </c>
      <c r="J1340" s="15" t="s">
        <v>1285</v>
      </c>
      <c r="K1340" s="15" t="s">
        <v>1263</v>
      </c>
      <c r="L1340" s="32">
        <f>Data!$D1340/10^6</f>
        <v>19.467400000000001</v>
      </c>
    </row>
    <row r="1341" spans="1:12" x14ac:dyDescent="0.25">
      <c r="A1341" s="29" t="s">
        <v>13</v>
      </c>
      <c r="B1341" s="15" t="s">
        <v>1153</v>
      </c>
      <c r="C1341" s="15" t="s">
        <v>14</v>
      </c>
      <c r="D1341" s="16">
        <v>77814000</v>
      </c>
      <c r="E1341" s="17">
        <v>45444</v>
      </c>
      <c r="F1341" s="18">
        <f>MONTH(Data!$E1341)</f>
        <v>6</v>
      </c>
      <c r="G1341" s="16">
        <f>YEAR(Data!$E1341)</f>
        <v>2024</v>
      </c>
      <c r="H1341" s="15" t="s">
        <v>15</v>
      </c>
      <c r="I1341" s="15" t="str">
        <f t="shared" si="20"/>
        <v>Doanh nghiệp</v>
      </c>
      <c r="J1341" s="15" t="s">
        <v>1284</v>
      </c>
      <c r="K1341" s="15" t="s">
        <v>1277</v>
      </c>
      <c r="L1341" s="32">
        <f>Data!$D1341/10^6</f>
        <v>77.813999999999993</v>
      </c>
    </row>
    <row r="1342" spans="1:12" x14ac:dyDescent="0.25">
      <c r="A1342" s="29" t="s">
        <v>55</v>
      </c>
      <c r="B1342" s="15" t="s">
        <v>1148</v>
      </c>
      <c r="C1342" s="15" t="s">
        <v>10</v>
      </c>
      <c r="D1342" s="16">
        <v>67907000</v>
      </c>
      <c r="E1342" s="17">
        <v>45444</v>
      </c>
      <c r="F1342" s="18">
        <f>MONTH(Data!$E1342)</f>
        <v>6</v>
      </c>
      <c r="G1342" s="16">
        <f>YEAR(Data!$E1342)</f>
        <v>2024</v>
      </c>
      <c r="H1342" s="15" t="s">
        <v>15</v>
      </c>
      <c r="I1342" s="15" t="str">
        <f t="shared" si="20"/>
        <v>Doanh nghiệp</v>
      </c>
      <c r="J1342" s="15" t="s">
        <v>1285</v>
      </c>
      <c r="K1342" s="15" t="s">
        <v>1262</v>
      </c>
      <c r="L1342" s="32">
        <f>Data!$D1342/10^6</f>
        <v>67.906999999999996</v>
      </c>
    </row>
    <row r="1343" spans="1:12" x14ac:dyDescent="0.25">
      <c r="A1343" s="29" t="s">
        <v>23</v>
      </c>
      <c r="B1343" s="15" t="s">
        <v>1153</v>
      </c>
      <c r="C1343" s="15" t="s">
        <v>46</v>
      </c>
      <c r="D1343" s="16">
        <v>134765455</v>
      </c>
      <c r="E1343" s="17">
        <v>45444</v>
      </c>
      <c r="F1343" s="18">
        <f>MONTH(Data!$E1343)</f>
        <v>6</v>
      </c>
      <c r="G1343" s="16">
        <f>YEAR(Data!$E1343)</f>
        <v>2024</v>
      </c>
      <c r="H1343" s="15" t="s">
        <v>25</v>
      </c>
      <c r="I1343" s="15" t="str">
        <f t="shared" si="20"/>
        <v>Doanh nghiệp</v>
      </c>
      <c r="J1343" s="15" t="s">
        <v>1284</v>
      </c>
      <c r="K1343" s="15" t="s">
        <v>1265</v>
      </c>
      <c r="L1343" s="32">
        <f>Data!$D1343/10^6</f>
        <v>134.765455</v>
      </c>
    </row>
    <row r="1344" spans="1:12" x14ac:dyDescent="0.25">
      <c r="A1344" s="29" t="s">
        <v>27</v>
      </c>
      <c r="B1344" s="15" t="s">
        <v>1155</v>
      </c>
      <c r="C1344" s="15" t="s">
        <v>14</v>
      </c>
      <c r="D1344" s="16">
        <v>25700000</v>
      </c>
      <c r="E1344" s="17">
        <v>45444</v>
      </c>
      <c r="F1344" s="18">
        <f>MONTH(Data!$E1344)</f>
        <v>6</v>
      </c>
      <c r="G1344" s="16">
        <f>YEAR(Data!$E1344)</f>
        <v>2024</v>
      </c>
      <c r="H1344" s="15" t="s">
        <v>11</v>
      </c>
      <c r="I1344" s="15" t="str">
        <f t="shared" si="20"/>
        <v>Doanh nghiệp</v>
      </c>
      <c r="J1344" s="15" t="s">
        <v>1285</v>
      </c>
      <c r="K1344" s="15" t="s">
        <v>1264</v>
      </c>
      <c r="L1344" s="32">
        <f>Data!$D1344/10^6</f>
        <v>25.7</v>
      </c>
    </row>
    <row r="1345" spans="1:12" x14ac:dyDescent="0.25">
      <c r="A1345" s="29" t="s">
        <v>157</v>
      </c>
      <c r="B1345" s="15" t="s">
        <v>1129</v>
      </c>
      <c r="C1345" s="15" t="s">
        <v>10</v>
      </c>
      <c r="D1345" s="16">
        <v>17100000</v>
      </c>
      <c r="E1345" s="17">
        <v>45444</v>
      </c>
      <c r="F1345" s="18">
        <f>MONTH(Data!$E1345)</f>
        <v>6</v>
      </c>
      <c r="G1345" s="16">
        <f>YEAR(Data!$E1345)</f>
        <v>2024</v>
      </c>
      <c r="H1345" s="15" t="s">
        <v>32</v>
      </c>
      <c r="I1345" s="15" t="str">
        <f t="shared" si="20"/>
        <v>Doanh nghiệp</v>
      </c>
      <c r="J1345" s="15" t="s">
        <v>1284</v>
      </c>
      <c r="K1345" s="15" t="s">
        <v>1262</v>
      </c>
      <c r="L1345" s="32">
        <f>Data!$D1345/10^6</f>
        <v>17.100000000000001</v>
      </c>
    </row>
    <row r="1346" spans="1:12" x14ac:dyDescent="0.25">
      <c r="A1346" s="29" t="s">
        <v>36</v>
      </c>
      <c r="B1346" s="15" t="s">
        <v>1143</v>
      </c>
      <c r="C1346" s="15" t="s">
        <v>14</v>
      </c>
      <c r="D1346" s="16">
        <v>17881818</v>
      </c>
      <c r="E1346" s="17">
        <v>45444</v>
      </c>
      <c r="F1346" s="18">
        <f>MONTH(Data!$E1346)</f>
        <v>6</v>
      </c>
      <c r="G1346" s="16">
        <f>YEAR(Data!$E1346)</f>
        <v>2024</v>
      </c>
      <c r="H1346" s="15" t="s">
        <v>15</v>
      </c>
      <c r="I1346" s="15" t="str">
        <f t="shared" si="20"/>
        <v>Doanh nghiệp</v>
      </c>
      <c r="J1346" s="15" t="s">
        <v>1285</v>
      </c>
      <c r="K1346" s="15" t="s">
        <v>1264</v>
      </c>
      <c r="L1346" s="32">
        <f>Data!$D1346/10^6</f>
        <v>17.881817999999999</v>
      </c>
    </row>
    <row r="1347" spans="1:12" x14ac:dyDescent="0.25">
      <c r="A1347" s="29" t="s">
        <v>98</v>
      </c>
      <c r="B1347" s="15" t="s">
        <v>1145</v>
      </c>
      <c r="C1347" s="15" t="s">
        <v>46</v>
      </c>
      <c r="D1347" s="16">
        <v>717900000</v>
      </c>
      <c r="E1347" s="17">
        <v>45444</v>
      </c>
      <c r="F1347" s="18">
        <f>MONTH(Data!$E1347)</f>
        <v>6</v>
      </c>
      <c r="G1347" s="16">
        <f>YEAR(Data!$E1347)</f>
        <v>2024</v>
      </c>
      <c r="H1347" s="15" t="s">
        <v>11</v>
      </c>
      <c r="I1347" s="15" t="str">
        <f t="shared" ref="I1347:I1410" si="21">IF(ISNUMBER(SEARCH("Công ty",$B1347)),"Doanh nghiệp",IF(ISNUMBER(SEARCH("Doanh nghiệp",$B1347)),"Doanh nghiệp",IF(ISNUMBER(SEARCH("Tập đoàn",$B1347)),"Doanh nghiệp",
IF(ISNUMBER(SEARCH("Bệnh viện",$B1347)),"Bệnh viện",
IF(ISNUMBER(SEARCH("Ngân hàng",$B1347)),"Ngân hàng",IF(ISNUMBER(SEARCH("trường",$B1347)),"Trường học",IF(ISNUMBER(SEARCH("học viện",$B1347)),"Trường học",
IF(ISNUMBER(SEARCH("Bộ",$B1347)),"Sở ban ngành",IF(ISNUMBER(SEARCH("Đoàn",$B1347)),"Sở ban ngành",IF(ISNUMBER(SEARCH("Phòng",$B1347)),"Sở ban ngành",IF(ISNUMBER(SEARCH("UBND",$B1347)),"Sở ban ngành",IF(ISNUMBER(SEARCH("ủy ban",$B1347)),"Sở ban ngành",IF(ISNUMBER(SEARCH("công an",$B1347)),"Sở ban ngành",IF(ISNUMBER(SEARCH("sở",$B1347)),"Sở ban ngành",IF(ISNUMBER(SEARCH("thôn",$B1347)),"Sở ban ngành",IF(ISNUMBER(SEARCH("xã",$B1347)),"Sở ban ngành",IF(ISNUMBER(SEARCH("quân khu",$B1347)),"Sở ban ngành",IF(ISNUMBER(SEARCH("cục",$B1347)),"Sở ban ngành",IF(ISNUMBER(SEARCH("viện",$B1347)),"Sở ban ngành",IF(ISNUMBER(SEARCH("quỹ",$B1347)),"Sở ban ngành",IF(ISNUMBER(SEARCH("trung tâm",$B1347)),"Sở ban ngành",IF(ISNUMBER(SEARCH("quân chủng",$B1347)),"Sở ban ngành",IF(ISNUMBER(SEARCH("hội",$B1347)),"Sở ban ngành",
"Khác")))))))))))))))))))))))</f>
        <v>Doanh nghiệp</v>
      </c>
      <c r="J1347" s="15" t="s">
        <v>1284</v>
      </c>
      <c r="K1347" s="15" t="s">
        <v>1265</v>
      </c>
      <c r="L1347" s="32">
        <f>Data!$D1347/10^6</f>
        <v>717.9</v>
      </c>
    </row>
    <row r="1348" spans="1:12" x14ac:dyDescent="0.25">
      <c r="A1348" s="29" t="s">
        <v>55</v>
      </c>
      <c r="B1348" s="15" t="s">
        <v>1151</v>
      </c>
      <c r="C1348" s="15" t="s">
        <v>10</v>
      </c>
      <c r="D1348" s="16">
        <v>84518500</v>
      </c>
      <c r="E1348" s="17">
        <v>45444</v>
      </c>
      <c r="F1348" s="18">
        <f>MONTH(Data!$E1348)</f>
        <v>6</v>
      </c>
      <c r="G1348" s="16">
        <f>YEAR(Data!$E1348)</f>
        <v>2024</v>
      </c>
      <c r="H1348" s="15" t="s">
        <v>15</v>
      </c>
      <c r="I1348" s="15" t="str">
        <f t="shared" si="21"/>
        <v>Doanh nghiệp</v>
      </c>
      <c r="J1348" s="15" t="s">
        <v>1285</v>
      </c>
      <c r="K1348" s="15" t="s">
        <v>1263</v>
      </c>
      <c r="L1348" s="32">
        <f>Data!$D1348/10^6</f>
        <v>84.518500000000003</v>
      </c>
    </row>
    <row r="1349" spans="1:12" x14ac:dyDescent="0.25">
      <c r="A1349" s="29" t="s">
        <v>95</v>
      </c>
      <c r="B1349" s="15" t="s">
        <v>1155</v>
      </c>
      <c r="C1349" s="15" t="s">
        <v>14</v>
      </c>
      <c r="D1349" s="16">
        <v>120321818</v>
      </c>
      <c r="E1349" s="17">
        <v>45444</v>
      </c>
      <c r="F1349" s="18">
        <f>MONTH(Data!$E1349)</f>
        <v>6</v>
      </c>
      <c r="G1349" s="16">
        <f>YEAR(Data!$E1349)</f>
        <v>2024</v>
      </c>
      <c r="H1349" s="15" t="s">
        <v>35</v>
      </c>
      <c r="I1349" s="15" t="str">
        <f t="shared" si="21"/>
        <v>Doanh nghiệp</v>
      </c>
      <c r="J1349" s="15" t="s">
        <v>1284</v>
      </c>
      <c r="K1349" s="15" t="s">
        <v>1264</v>
      </c>
      <c r="L1349" s="32">
        <f>Data!$D1349/10^6</f>
        <v>120.32181799999999</v>
      </c>
    </row>
    <row r="1350" spans="1:12" x14ac:dyDescent="0.25">
      <c r="A1350" s="29" t="s">
        <v>33</v>
      </c>
      <c r="B1350" s="15" t="s">
        <v>1125</v>
      </c>
      <c r="C1350" s="15" t="s">
        <v>14</v>
      </c>
      <c r="D1350" s="16">
        <v>51840000</v>
      </c>
      <c r="E1350" s="17">
        <v>45444</v>
      </c>
      <c r="F1350" s="18">
        <f>MONTH(Data!$E1350)</f>
        <v>6</v>
      </c>
      <c r="G1350" s="16">
        <f>YEAR(Data!$E1350)</f>
        <v>2024</v>
      </c>
      <c r="H1350" s="15" t="s">
        <v>35</v>
      </c>
      <c r="I1350" s="15" t="str">
        <f t="shared" si="21"/>
        <v>Doanh nghiệp</v>
      </c>
      <c r="J1350" s="15" t="s">
        <v>1285</v>
      </c>
      <c r="K1350" s="15" t="s">
        <v>1264</v>
      </c>
      <c r="L1350" s="32">
        <f>Data!$D1350/10^6</f>
        <v>51.84</v>
      </c>
    </row>
    <row r="1351" spans="1:12" x14ac:dyDescent="0.25">
      <c r="A1351" s="29" t="s">
        <v>30</v>
      </c>
      <c r="B1351" s="15" t="s">
        <v>1126</v>
      </c>
      <c r="C1351" s="15" t="s">
        <v>14</v>
      </c>
      <c r="D1351" s="16">
        <v>29435455</v>
      </c>
      <c r="E1351" s="17">
        <v>45444</v>
      </c>
      <c r="F1351" s="18">
        <f>MONTH(Data!$E1351)</f>
        <v>6</v>
      </c>
      <c r="G1351" s="16">
        <f>YEAR(Data!$E1351)</f>
        <v>2024</v>
      </c>
      <c r="H1351" s="15" t="s">
        <v>32</v>
      </c>
      <c r="I1351" s="15" t="str">
        <f t="shared" si="21"/>
        <v>Doanh nghiệp</v>
      </c>
      <c r="J1351" s="15" t="s">
        <v>1284</v>
      </c>
      <c r="K1351" s="15" t="s">
        <v>1264</v>
      </c>
      <c r="L1351" s="32">
        <f>Data!$D1351/10^6</f>
        <v>29.435455000000001</v>
      </c>
    </row>
    <row r="1352" spans="1:12" x14ac:dyDescent="0.25">
      <c r="A1352" s="29" t="s">
        <v>65</v>
      </c>
      <c r="B1352" s="15" t="s">
        <v>1127</v>
      </c>
      <c r="C1352" s="15" t="s">
        <v>10</v>
      </c>
      <c r="D1352" s="16">
        <v>20547820</v>
      </c>
      <c r="E1352" s="17">
        <v>45444</v>
      </c>
      <c r="F1352" s="18">
        <f>MONTH(Data!$E1352)</f>
        <v>6</v>
      </c>
      <c r="G1352" s="16">
        <f>YEAR(Data!$E1352)</f>
        <v>2024</v>
      </c>
      <c r="H1352" s="15" t="s">
        <v>25</v>
      </c>
      <c r="I1352" s="15" t="str">
        <f t="shared" si="21"/>
        <v>Doanh nghiệp</v>
      </c>
      <c r="J1352" s="15" t="s">
        <v>1285</v>
      </c>
      <c r="K1352" s="15" t="s">
        <v>1267</v>
      </c>
      <c r="L1352" s="32">
        <f>Data!$D1352/10^6</f>
        <v>20.547820000000002</v>
      </c>
    </row>
    <row r="1353" spans="1:12" x14ac:dyDescent="0.25">
      <c r="A1353" s="29" t="s">
        <v>50</v>
      </c>
      <c r="B1353" s="15" t="s">
        <v>1128</v>
      </c>
      <c r="C1353" s="15" t="s">
        <v>14</v>
      </c>
      <c r="D1353" s="16">
        <v>22554545</v>
      </c>
      <c r="E1353" s="17">
        <v>45444</v>
      </c>
      <c r="F1353" s="18">
        <f>MONTH(Data!$E1353)</f>
        <v>6</v>
      </c>
      <c r="G1353" s="16">
        <f>YEAR(Data!$E1353)</f>
        <v>2024</v>
      </c>
      <c r="H1353" s="15" t="s">
        <v>35</v>
      </c>
      <c r="I1353" s="15" t="str">
        <f t="shared" si="21"/>
        <v>Doanh nghiệp</v>
      </c>
      <c r="J1353" s="15" t="s">
        <v>1284</v>
      </c>
      <c r="K1353" s="15" t="s">
        <v>1264</v>
      </c>
      <c r="L1353" s="32">
        <f>Data!$D1353/10^6</f>
        <v>22.554545000000001</v>
      </c>
    </row>
    <row r="1354" spans="1:12" x14ac:dyDescent="0.25">
      <c r="A1354" s="29" t="s">
        <v>50</v>
      </c>
      <c r="B1354" s="15" t="s">
        <v>1129</v>
      </c>
      <c r="C1354" s="15" t="s">
        <v>14</v>
      </c>
      <c r="D1354" s="16">
        <v>33831818</v>
      </c>
      <c r="E1354" s="17">
        <v>45444</v>
      </c>
      <c r="F1354" s="18">
        <f>MONTH(Data!$E1354)</f>
        <v>6</v>
      </c>
      <c r="G1354" s="16">
        <f>YEAR(Data!$E1354)</f>
        <v>2024</v>
      </c>
      <c r="H1354" s="15" t="s">
        <v>35</v>
      </c>
      <c r="I1354" s="15" t="str">
        <f t="shared" si="21"/>
        <v>Doanh nghiệp</v>
      </c>
      <c r="J1354" s="15" t="s">
        <v>1285</v>
      </c>
      <c r="K1354" s="15" t="s">
        <v>1264</v>
      </c>
      <c r="L1354" s="32">
        <f>Data!$D1354/10^6</f>
        <v>33.831817999999998</v>
      </c>
    </row>
    <row r="1355" spans="1:12" x14ac:dyDescent="0.25">
      <c r="A1355" s="29" t="s">
        <v>345</v>
      </c>
      <c r="B1355" s="15" t="s">
        <v>1130</v>
      </c>
      <c r="C1355" s="15" t="s">
        <v>14</v>
      </c>
      <c r="D1355" s="16">
        <v>103909091</v>
      </c>
      <c r="E1355" s="17">
        <v>45444</v>
      </c>
      <c r="F1355" s="18">
        <f>MONTH(Data!$E1355)</f>
        <v>6</v>
      </c>
      <c r="G1355" s="16">
        <f>YEAR(Data!$E1355)</f>
        <v>2024</v>
      </c>
      <c r="H1355" s="15" t="s">
        <v>35</v>
      </c>
      <c r="I1355" s="15" t="str">
        <f t="shared" si="21"/>
        <v>Doanh nghiệp</v>
      </c>
      <c r="J1355" s="15" t="s">
        <v>1284</v>
      </c>
      <c r="K1355" s="15" t="s">
        <v>1264</v>
      </c>
      <c r="L1355" s="32">
        <f>Data!$D1355/10^6</f>
        <v>103.909091</v>
      </c>
    </row>
    <row r="1356" spans="1:12" x14ac:dyDescent="0.25">
      <c r="A1356" s="29" t="s">
        <v>116</v>
      </c>
      <c r="B1356" s="15" t="s">
        <v>1131</v>
      </c>
      <c r="C1356" s="15" t="s">
        <v>10</v>
      </c>
      <c r="D1356" s="16">
        <v>24745000</v>
      </c>
      <c r="E1356" s="17">
        <v>45444</v>
      </c>
      <c r="F1356" s="18">
        <f>MONTH(Data!$E1356)</f>
        <v>6</v>
      </c>
      <c r="G1356" s="16">
        <f>YEAR(Data!$E1356)</f>
        <v>2024</v>
      </c>
      <c r="H1356" s="15" t="s">
        <v>15</v>
      </c>
      <c r="I1356" s="15" t="str">
        <f t="shared" si="21"/>
        <v>Doanh nghiệp</v>
      </c>
      <c r="J1356" s="15" t="s">
        <v>1285</v>
      </c>
      <c r="K1356" s="15" t="s">
        <v>1267</v>
      </c>
      <c r="L1356" s="32">
        <f>Data!$D1356/10^6</f>
        <v>24.745000000000001</v>
      </c>
    </row>
    <row r="1357" spans="1:12" x14ac:dyDescent="0.25">
      <c r="A1357" s="29" t="s">
        <v>75</v>
      </c>
      <c r="B1357" s="15" t="s">
        <v>1141</v>
      </c>
      <c r="C1357" s="15" t="s">
        <v>149</v>
      </c>
      <c r="D1357" s="16">
        <v>56500000</v>
      </c>
      <c r="E1357" s="17">
        <v>45444</v>
      </c>
      <c r="F1357" s="18">
        <f>MONTH(Data!$E1357)</f>
        <v>6</v>
      </c>
      <c r="G1357" s="16">
        <f>YEAR(Data!$E1357)</f>
        <v>2024</v>
      </c>
      <c r="H1357" s="15" t="s">
        <v>15</v>
      </c>
      <c r="I1357" s="15" t="str">
        <f t="shared" si="21"/>
        <v>Doanh nghiệp</v>
      </c>
      <c r="J1357" s="15" t="s">
        <v>1284</v>
      </c>
      <c r="K1357" s="15" t="s">
        <v>1263</v>
      </c>
      <c r="L1357" s="32">
        <f>Data!$D1357/10^6</f>
        <v>56.5</v>
      </c>
    </row>
    <row r="1358" spans="1:12" x14ac:dyDescent="0.25">
      <c r="A1358" s="29" t="s">
        <v>78</v>
      </c>
      <c r="B1358" s="15" t="s">
        <v>1149</v>
      </c>
      <c r="C1358" s="15" t="s">
        <v>149</v>
      </c>
      <c r="D1358" s="16">
        <v>66184364</v>
      </c>
      <c r="E1358" s="17">
        <v>45444</v>
      </c>
      <c r="F1358" s="18">
        <f>MONTH(Data!$E1358)</f>
        <v>6</v>
      </c>
      <c r="G1358" s="16">
        <f>YEAR(Data!$E1358)</f>
        <v>2024</v>
      </c>
      <c r="H1358" s="15" t="s">
        <v>15</v>
      </c>
      <c r="I1358" s="15" t="str">
        <f t="shared" si="21"/>
        <v>Doanh nghiệp</v>
      </c>
      <c r="J1358" s="15" t="s">
        <v>1285</v>
      </c>
      <c r="K1358" s="15" t="s">
        <v>1263</v>
      </c>
      <c r="L1358" s="32">
        <f>Data!$D1358/10^6</f>
        <v>66.184364000000002</v>
      </c>
    </row>
    <row r="1359" spans="1:12" x14ac:dyDescent="0.25">
      <c r="A1359" s="29" t="s">
        <v>78</v>
      </c>
      <c r="B1359" s="15" t="s">
        <v>1150</v>
      </c>
      <c r="C1359" s="15" t="s">
        <v>149</v>
      </c>
      <c r="D1359" s="16">
        <v>37246073</v>
      </c>
      <c r="E1359" s="17">
        <v>45444</v>
      </c>
      <c r="F1359" s="18">
        <f>MONTH(Data!$E1359)</f>
        <v>6</v>
      </c>
      <c r="G1359" s="16">
        <f>YEAR(Data!$E1359)</f>
        <v>2024</v>
      </c>
      <c r="H1359" s="15" t="s">
        <v>15</v>
      </c>
      <c r="I1359" s="15" t="str">
        <f t="shared" si="21"/>
        <v>Doanh nghiệp</v>
      </c>
      <c r="J1359" s="15" t="s">
        <v>1284</v>
      </c>
      <c r="K1359" s="15" t="s">
        <v>1262</v>
      </c>
      <c r="L1359" s="32">
        <f>Data!$D1359/10^6</f>
        <v>37.246073000000003</v>
      </c>
    </row>
    <row r="1360" spans="1:12" x14ac:dyDescent="0.25">
      <c r="A1360" s="29" t="s">
        <v>79</v>
      </c>
      <c r="B1360" s="15" t="s">
        <v>1141</v>
      </c>
      <c r="C1360" s="15" t="s">
        <v>14</v>
      </c>
      <c r="D1360" s="16">
        <v>38146873</v>
      </c>
      <c r="E1360" s="17">
        <v>45444</v>
      </c>
      <c r="F1360" s="18">
        <f>MONTH(Data!$E1360)</f>
        <v>6</v>
      </c>
      <c r="G1360" s="16">
        <f>YEAR(Data!$E1360)</f>
        <v>2024</v>
      </c>
      <c r="H1360" s="15" t="s">
        <v>15</v>
      </c>
      <c r="I1360" s="15" t="str">
        <f t="shared" si="21"/>
        <v>Doanh nghiệp</v>
      </c>
      <c r="J1360" s="15" t="s">
        <v>1285</v>
      </c>
      <c r="K1360" s="15" t="s">
        <v>1264</v>
      </c>
      <c r="L1360" s="32">
        <f>Data!$D1360/10^6</f>
        <v>38.146872999999999</v>
      </c>
    </row>
    <row r="1361" spans="1:12" x14ac:dyDescent="0.25">
      <c r="A1361" s="29" t="s">
        <v>56</v>
      </c>
      <c r="B1361" s="15" t="s">
        <v>1180</v>
      </c>
      <c r="C1361" s="15" t="s">
        <v>10</v>
      </c>
      <c r="D1361" s="16">
        <v>33776364</v>
      </c>
      <c r="E1361" s="17">
        <v>45444</v>
      </c>
      <c r="F1361" s="18">
        <f>MONTH(Data!$E1361)</f>
        <v>6</v>
      </c>
      <c r="G1361" s="16">
        <f>YEAR(Data!$E1361)</f>
        <v>2024</v>
      </c>
      <c r="H1361" s="15" t="s">
        <v>25</v>
      </c>
      <c r="I1361" s="15" t="str">
        <f t="shared" si="21"/>
        <v>Doanh nghiệp</v>
      </c>
      <c r="J1361" s="15" t="s">
        <v>1284</v>
      </c>
      <c r="K1361" s="15" t="s">
        <v>1267</v>
      </c>
      <c r="L1361" s="32">
        <f>Data!$D1361/10^6</f>
        <v>33.776364000000001</v>
      </c>
    </row>
    <row r="1362" spans="1:12" x14ac:dyDescent="0.25">
      <c r="A1362" s="29" t="s">
        <v>95</v>
      </c>
      <c r="B1362" s="15" t="s">
        <v>1200</v>
      </c>
      <c r="C1362" s="15" t="s">
        <v>10</v>
      </c>
      <c r="D1362" s="16">
        <v>79800000</v>
      </c>
      <c r="E1362" s="17">
        <v>45444</v>
      </c>
      <c r="F1362" s="18">
        <f>MONTH(Data!$E1362)</f>
        <v>6</v>
      </c>
      <c r="G1362" s="16">
        <f>YEAR(Data!$E1362)</f>
        <v>2024</v>
      </c>
      <c r="H1362" s="15" t="s">
        <v>35</v>
      </c>
      <c r="I1362" s="15" t="str">
        <f t="shared" si="21"/>
        <v>Doanh nghiệp</v>
      </c>
      <c r="J1362" s="15" t="s">
        <v>1285</v>
      </c>
      <c r="K1362" s="15" t="s">
        <v>1278</v>
      </c>
      <c r="L1362" s="32">
        <f>Data!$D1362/10^6</f>
        <v>79.8</v>
      </c>
    </row>
    <row r="1363" spans="1:12" x14ac:dyDescent="0.25">
      <c r="A1363" s="29" t="s">
        <v>30</v>
      </c>
      <c r="B1363" s="15" t="s">
        <v>1217</v>
      </c>
      <c r="C1363" s="15" t="s">
        <v>10</v>
      </c>
      <c r="D1363" s="16">
        <v>1390943636</v>
      </c>
      <c r="E1363" s="17">
        <v>45444</v>
      </c>
      <c r="F1363" s="18">
        <f>MONTH(Data!$E1363)</f>
        <v>6</v>
      </c>
      <c r="G1363" s="16">
        <f>YEAR(Data!$E1363)</f>
        <v>2024</v>
      </c>
      <c r="H1363" s="15" t="s">
        <v>32</v>
      </c>
      <c r="I1363" s="15" t="str">
        <f t="shared" si="21"/>
        <v>Doanh nghiệp</v>
      </c>
      <c r="J1363" s="15" t="s">
        <v>1284</v>
      </c>
      <c r="K1363" s="15" t="s">
        <v>1276</v>
      </c>
      <c r="L1363" s="32">
        <f>Data!$D1363/10^6</f>
        <v>1390.943636</v>
      </c>
    </row>
    <row r="1364" spans="1:12" x14ac:dyDescent="0.25">
      <c r="A1364" s="29" t="s">
        <v>30</v>
      </c>
      <c r="B1364" s="15" t="s">
        <v>1218</v>
      </c>
      <c r="C1364" s="15" t="s">
        <v>14</v>
      </c>
      <c r="D1364" s="16">
        <v>21207273</v>
      </c>
      <c r="E1364" s="17">
        <v>45444</v>
      </c>
      <c r="F1364" s="18">
        <f>MONTH(Data!$E1364)</f>
        <v>6</v>
      </c>
      <c r="G1364" s="16">
        <f>YEAR(Data!$E1364)</f>
        <v>2024</v>
      </c>
      <c r="H1364" s="15" t="s">
        <v>32</v>
      </c>
      <c r="I1364" s="15" t="str">
        <f t="shared" si="21"/>
        <v>Doanh nghiệp</v>
      </c>
      <c r="J1364" s="15" t="s">
        <v>1285</v>
      </c>
      <c r="K1364" s="15" t="s">
        <v>1264</v>
      </c>
      <c r="L1364" s="32">
        <f>Data!$D1364/10^6</f>
        <v>21.207273000000001</v>
      </c>
    </row>
    <row r="1365" spans="1:12" x14ac:dyDescent="0.25">
      <c r="A1365" s="29" t="s">
        <v>74</v>
      </c>
      <c r="B1365" s="15" t="s">
        <v>1248</v>
      </c>
      <c r="C1365" s="15" t="s">
        <v>46</v>
      </c>
      <c r="D1365" s="16">
        <v>72718182</v>
      </c>
      <c r="E1365" s="17">
        <v>45444</v>
      </c>
      <c r="F1365" s="18">
        <f>MONTH(Data!$E1365)</f>
        <v>6</v>
      </c>
      <c r="G1365" s="16">
        <f>YEAR(Data!$E1365)</f>
        <v>2024</v>
      </c>
      <c r="H1365" s="15" t="s">
        <v>11</v>
      </c>
      <c r="I1365" s="15" t="str">
        <f t="shared" si="21"/>
        <v>Doanh nghiệp</v>
      </c>
      <c r="J1365" s="15" t="s">
        <v>1284</v>
      </c>
      <c r="K1365" s="15" t="s">
        <v>1271</v>
      </c>
      <c r="L1365" s="32">
        <f>Data!$D1365/10^6</f>
        <v>72.718181999999999</v>
      </c>
    </row>
    <row r="1366" spans="1:12" x14ac:dyDescent="0.25">
      <c r="A1366" s="29" t="s">
        <v>65</v>
      </c>
      <c r="B1366" s="15" t="s">
        <v>1249</v>
      </c>
      <c r="C1366" s="15" t="s">
        <v>46</v>
      </c>
      <c r="D1366" s="16">
        <v>136363636</v>
      </c>
      <c r="E1366" s="17">
        <v>45444</v>
      </c>
      <c r="F1366" s="18">
        <f>MONTH(Data!$E1366)</f>
        <v>6</v>
      </c>
      <c r="G1366" s="16">
        <f>YEAR(Data!$E1366)</f>
        <v>2024</v>
      </c>
      <c r="H1366" s="15" t="s">
        <v>25</v>
      </c>
      <c r="I1366" s="15" t="str">
        <f t="shared" si="21"/>
        <v>Doanh nghiệp</v>
      </c>
      <c r="J1366" s="15" t="s">
        <v>1285</v>
      </c>
      <c r="K1366" s="15" t="s">
        <v>1271</v>
      </c>
      <c r="L1366" s="32">
        <f>Data!$D1366/10^6</f>
        <v>136.36363600000001</v>
      </c>
    </row>
    <row r="1367" spans="1:12" x14ac:dyDescent="0.25">
      <c r="A1367" s="29" t="s">
        <v>74</v>
      </c>
      <c r="B1367" s="15" t="s">
        <v>1249</v>
      </c>
      <c r="C1367" s="15" t="s">
        <v>14</v>
      </c>
      <c r="D1367" s="16">
        <v>36772727</v>
      </c>
      <c r="E1367" s="17">
        <v>45444</v>
      </c>
      <c r="F1367" s="18">
        <f>MONTH(Data!$E1367)</f>
        <v>6</v>
      </c>
      <c r="G1367" s="16">
        <f>YEAR(Data!$E1367)</f>
        <v>2024</v>
      </c>
      <c r="H1367" s="15" t="s">
        <v>11</v>
      </c>
      <c r="I1367" s="15" t="str">
        <f t="shared" si="21"/>
        <v>Doanh nghiệp</v>
      </c>
      <c r="J1367" s="15" t="s">
        <v>1284</v>
      </c>
      <c r="K1367" s="15" t="s">
        <v>1264</v>
      </c>
      <c r="L1367" s="32">
        <f>Data!$D1367/10^6</f>
        <v>36.772727000000003</v>
      </c>
    </row>
    <row r="1368" spans="1:12" x14ac:dyDescent="0.25">
      <c r="A1368" s="29" t="s">
        <v>52</v>
      </c>
      <c r="B1368" s="15" t="s">
        <v>1248</v>
      </c>
      <c r="C1368" s="15" t="s">
        <v>14</v>
      </c>
      <c r="D1368" s="16">
        <v>63600000</v>
      </c>
      <c r="E1368" s="17">
        <v>45444</v>
      </c>
      <c r="F1368" s="18">
        <f>MONTH(Data!$E1368)</f>
        <v>6</v>
      </c>
      <c r="G1368" s="16">
        <f>YEAR(Data!$E1368)</f>
        <v>2024</v>
      </c>
      <c r="H1368" s="15" t="s">
        <v>35</v>
      </c>
      <c r="I1368" s="15" t="str">
        <f t="shared" si="21"/>
        <v>Doanh nghiệp</v>
      </c>
      <c r="J1368" s="15" t="s">
        <v>1285</v>
      </c>
      <c r="K1368" s="15" t="s">
        <v>1266</v>
      </c>
      <c r="L1368" s="32">
        <f>Data!$D1368/10^6</f>
        <v>63.6</v>
      </c>
    </row>
    <row r="1369" spans="1:12" x14ac:dyDescent="0.25">
      <c r="A1369" s="29" t="s">
        <v>79</v>
      </c>
      <c r="B1369" s="15" t="s">
        <v>395</v>
      </c>
      <c r="C1369" s="15" t="s">
        <v>10</v>
      </c>
      <c r="D1369" s="16">
        <v>33137273</v>
      </c>
      <c r="E1369" s="17">
        <v>45444</v>
      </c>
      <c r="F1369" s="18">
        <f>MONTH(Data!$E1369)</f>
        <v>6</v>
      </c>
      <c r="G1369" s="16">
        <f>YEAR(Data!$E1369)</f>
        <v>2024</v>
      </c>
      <c r="H1369" s="15" t="s">
        <v>15</v>
      </c>
      <c r="I1369" s="15" t="str">
        <f t="shared" si="21"/>
        <v>Sở ban ngành</v>
      </c>
      <c r="J1369" s="15" t="s">
        <v>1284</v>
      </c>
      <c r="K1369" s="15" t="s">
        <v>1276</v>
      </c>
      <c r="L1369" s="32">
        <f>Data!$D1369/10^6</f>
        <v>33.137273</v>
      </c>
    </row>
    <row r="1370" spans="1:12" x14ac:dyDescent="0.25">
      <c r="A1370" s="29" t="s">
        <v>209</v>
      </c>
      <c r="B1370" s="15" t="s">
        <v>385</v>
      </c>
      <c r="C1370" s="15" t="s">
        <v>149</v>
      </c>
      <c r="D1370" s="16">
        <v>35030000</v>
      </c>
      <c r="E1370" s="17">
        <v>45444</v>
      </c>
      <c r="F1370" s="18">
        <f>MONTH(Data!$E1370)</f>
        <v>6</v>
      </c>
      <c r="G1370" s="16">
        <f>YEAR(Data!$E1370)</f>
        <v>2024</v>
      </c>
      <c r="H1370" s="15" t="s">
        <v>32</v>
      </c>
      <c r="I1370" s="15" t="str">
        <f t="shared" si="21"/>
        <v>Sở ban ngành</v>
      </c>
      <c r="J1370" s="15" t="s">
        <v>1285</v>
      </c>
      <c r="K1370" s="15" t="s">
        <v>1272</v>
      </c>
      <c r="L1370" s="32">
        <f>Data!$D1370/10^6</f>
        <v>35.03</v>
      </c>
    </row>
    <row r="1371" spans="1:12" x14ac:dyDescent="0.25">
      <c r="A1371" s="29" t="s">
        <v>146</v>
      </c>
      <c r="B1371" s="15" t="s">
        <v>1067</v>
      </c>
      <c r="C1371" s="15" t="s">
        <v>10</v>
      </c>
      <c r="D1371" s="16">
        <v>1191280000</v>
      </c>
      <c r="E1371" s="17">
        <v>45444</v>
      </c>
      <c r="F1371" s="18">
        <f>MONTH(Data!$E1371)</f>
        <v>6</v>
      </c>
      <c r="G1371" s="16">
        <f>YEAR(Data!$E1371)</f>
        <v>2024</v>
      </c>
      <c r="H1371" s="15" t="s">
        <v>32</v>
      </c>
      <c r="I1371" s="15" t="str">
        <f t="shared" si="21"/>
        <v>Doanh nghiệp</v>
      </c>
      <c r="J1371" s="15" t="s">
        <v>1284</v>
      </c>
      <c r="K1371" s="15" t="s">
        <v>1267</v>
      </c>
      <c r="L1371" s="32">
        <f>Data!$D1371/10^6</f>
        <v>1191.28</v>
      </c>
    </row>
    <row r="1372" spans="1:12" x14ac:dyDescent="0.25">
      <c r="A1372" s="29" t="s">
        <v>87</v>
      </c>
      <c r="B1372" s="15" t="s">
        <v>1085</v>
      </c>
      <c r="C1372" s="15" t="s">
        <v>46</v>
      </c>
      <c r="D1372" s="16">
        <v>108872727</v>
      </c>
      <c r="E1372" s="17">
        <v>45444</v>
      </c>
      <c r="F1372" s="18">
        <f>MONTH(Data!$E1372)</f>
        <v>6</v>
      </c>
      <c r="G1372" s="16">
        <f>YEAR(Data!$E1372)</f>
        <v>2024</v>
      </c>
      <c r="H1372" s="15" t="s">
        <v>29</v>
      </c>
      <c r="I1372" s="15" t="str">
        <f t="shared" si="21"/>
        <v>Doanh nghiệp</v>
      </c>
      <c r="J1372" s="15" t="s">
        <v>1285</v>
      </c>
      <c r="K1372" s="15" t="s">
        <v>1271</v>
      </c>
      <c r="L1372" s="32">
        <f>Data!$D1372/10^6</f>
        <v>108.872727</v>
      </c>
    </row>
    <row r="1373" spans="1:12" x14ac:dyDescent="0.25">
      <c r="A1373" s="29" t="s">
        <v>87</v>
      </c>
      <c r="B1373" s="15" t="s">
        <v>1086</v>
      </c>
      <c r="C1373" s="15" t="s">
        <v>46</v>
      </c>
      <c r="D1373" s="16">
        <v>54436364</v>
      </c>
      <c r="E1373" s="17">
        <v>45444</v>
      </c>
      <c r="F1373" s="18">
        <f>MONTH(Data!$E1373)</f>
        <v>6</v>
      </c>
      <c r="G1373" s="16">
        <f>YEAR(Data!$E1373)</f>
        <v>2024</v>
      </c>
      <c r="H1373" s="15" t="s">
        <v>29</v>
      </c>
      <c r="I1373" s="15" t="str">
        <f t="shared" si="21"/>
        <v>Doanh nghiệp</v>
      </c>
      <c r="J1373" s="15" t="s">
        <v>1284</v>
      </c>
      <c r="K1373" s="15" t="s">
        <v>1271</v>
      </c>
      <c r="L1373" s="32">
        <f>Data!$D1373/10^6</f>
        <v>54.436363999999998</v>
      </c>
    </row>
    <row r="1374" spans="1:12" x14ac:dyDescent="0.25">
      <c r="A1374" s="29" t="s">
        <v>87</v>
      </c>
      <c r="B1374" s="15" t="s">
        <v>1087</v>
      </c>
      <c r="C1374" s="15" t="s">
        <v>46</v>
      </c>
      <c r="D1374" s="16">
        <v>398863636</v>
      </c>
      <c r="E1374" s="17">
        <v>45444</v>
      </c>
      <c r="F1374" s="18">
        <f>MONTH(Data!$E1374)</f>
        <v>6</v>
      </c>
      <c r="G1374" s="16">
        <f>YEAR(Data!$E1374)</f>
        <v>2024</v>
      </c>
      <c r="H1374" s="15" t="s">
        <v>29</v>
      </c>
      <c r="I1374" s="15" t="str">
        <f t="shared" si="21"/>
        <v>Doanh nghiệp</v>
      </c>
      <c r="J1374" s="15" t="s">
        <v>1285</v>
      </c>
      <c r="K1374" s="15" t="s">
        <v>1271</v>
      </c>
      <c r="L1374" s="32">
        <f>Data!$D1374/10^6</f>
        <v>398.86363599999999</v>
      </c>
    </row>
    <row r="1375" spans="1:12" x14ac:dyDescent="0.25">
      <c r="A1375" s="29" t="s">
        <v>87</v>
      </c>
      <c r="B1375" s="15" t="s">
        <v>1088</v>
      </c>
      <c r="C1375" s="15" t="s">
        <v>46</v>
      </c>
      <c r="D1375" s="16">
        <v>25403636</v>
      </c>
      <c r="E1375" s="17">
        <v>45444</v>
      </c>
      <c r="F1375" s="18">
        <f>MONTH(Data!$E1375)</f>
        <v>6</v>
      </c>
      <c r="G1375" s="16">
        <f>YEAR(Data!$E1375)</f>
        <v>2024</v>
      </c>
      <c r="H1375" s="15" t="s">
        <v>29</v>
      </c>
      <c r="I1375" s="15" t="str">
        <f t="shared" si="21"/>
        <v>Doanh nghiệp</v>
      </c>
      <c r="J1375" s="15" t="s">
        <v>1284</v>
      </c>
      <c r="K1375" s="15" t="s">
        <v>1271</v>
      </c>
      <c r="L1375" s="32">
        <f>Data!$D1375/10^6</f>
        <v>25.403635999999999</v>
      </c>
    </row>
    <row r="1376" spans="1:12" x14ac:dyDescent="0.25">
      <c r="A1376" s="29" t="s">
        <v>87</v>
      </c>
      <c r="B1376" s="15" t="s">
        <v>1089</v>
      </c>
      <c r="C1376" s="15" t="s">
        <v>46</v>
      </c>
      <c r="D1376" s="16">
        <v>13543636</v>
      </c>
      <c r="E1376" s="17">
        <v>45444</v>
      </c>
      <c r="F1376" s="18">
        <f>MONTH(Data!$E1376)</f>
        <v>6</v>
      </c>
      <c r="G1376" s="16">
        <f>YEAR(Data!$E1376)</f>
        <v>2024</v>
      </c>
      <c r="H1376" s="15" t="s">
        <v>29</v>
      </c>
      <c r="I1376" s="15" t="str">
        <f t="shared" si="21"/>
        <v>Doanh nghiệp</v>
      </c>
      <c r="J1376" s="15" t="s">
        <v>1285</v>
      </c>
      <c r="K1376" s="15" t="s">
        <v>1271</v>
      </c>
      <c r="L1376" s="32">
        <f>Data!$D1376/10^6</f>
        <v>13.543635999999999</v>
      </c>
    </row>
    <row r="1377" spans="1:12" x14ac:dyDescent="0.25">
      <c r="A1377" s="29" t="s">
        <v>87</v>
      </c>
      <c r="B1377" s="15" t="s">
        <v>1090</v>
      </c>
      <c r="C1377" s="15" t="s">
        <v>46</v>
      </c>
      <c r="D1377" s="16">
        <v>18752727</v>
      </c>
      <c r="E1377" s="17">
        <v>45444</v>
      </c>
      <c r="F1377" s="18">
        <f>MONTH(Data!$E1377)</f>
        <v>6</v>
      </c>
      <c r="G1377" s="16">
        <f>YEAR(Data!$E1377)</f>
        <v>2024</v>
      </c>
      <c r="H1377" s="15" t="s">
        <v>29</v>
      </c>
      <c r="I1377" s="15" t="str">
        <f t="shared" si="21"/>
        <v>Doanh nghiệp</v>
      </c>
      <c r="J1377" s="15" t="s">
        <v>1284</v>
      </c>
      <c r="K1377" s="15" t="s">
        <v>1271</v>
      </c>
      <c r="L1377" s="32">
        <f>Data!$D1377/10^6</f>
        <v>18.752727</v>
      </c>
    </row>
    <row r="1378" spans="1:12" x14ac:dyDescent="0.25">
      <c r="A1378" s="29" t="s">
        <v>17</v>
      </c>
      <c r="B1378" s="15" t="s">
        <v>360</v>
      </c>
      <c r="C1378" s="15" t="s">
        <v>149</v>
      </c>
      <c r="D1378" s="16">
        <v>842580000</v>
      </c>
      <c r="E1378" s="17">
        <v>45444</v>
      </c>
      <c r="F1378" s="18">
        <f>MONTH(Data!$E1378)</f>
        <v>6</v>
      </c>
      <c r="G1378" s="16">
        <f>YEAR(Data!$E1378)</f>
        <v>2024</v>
      </c>
      <c r="H1378" s="15" t="s">
        <v>11</v>
      </c>
      <c r="I1378" s="15" t="str">
        <f t="shared" si="21"/>
        <v>Sở ban ngành</v>
      </c>
      <c r="J1378" s="15" t="s">
        <v>1285</v>
      </c>
      <c r="K1378" s="15" t="s">
        <v>1263</v>
      </c>
      <c r="L1378" s="32">
        <f>Data!$D1378/10^6</f>
        <v>842.58</v>
      </c>
    </row>
    <row r="1379" spans="1:12" x14ac:dyDescent="0.25">
      <c r="A1379" s="29" t="s">
        <v>64</v>
      </c>
      <c r="B1379" s="15" t="s">
        <v>348</v>
      </c>
      <c r="C1379" s="15" t="s">
        <v>14</v>
      </c>
      <c r="D1379" s="16">
        <v>69426364</v>
      </c>
      <c r="E1379" s="17">
        <v>45444</v>
      </c>
      <c r="F1379" s="18">
        <f>MONTH(Data!$E1379)</f>
        <v>6</v>
      </c>
      <c r="G1379" s="16">
        <f>YEAR(Data!$E1379)</f>
        <v>2024</v>
      </c>
      <c r="H1379" s="15" t="s">
        <v>29</v>
      </c>
      <c r="I1379" s="15" t="str">
        <f t="shared" si="21"/>
        <v>Sở ban ngành</v>
      </c>
      <c r="J1379" s="15" t="s">
        <v>1284</v>
      </c>
      <c r="K1379" s="15" t="s">
        <v>1275</v>
      </c>
      <c r="L1379" s="32">
        <f>Data!$D1379/10^6</f>
        <v>69.426364000000007</v>
      </c>
    </row>
    <row r="1380" spans="1:12" x14ac:dyDescent="0.25">
      <c r="A1380" s="29" t="s">
        <v>56</v>
      </c>
      <c r="B1380" s="15" t="s">
        <v>351</v>
      </c>
      <c r="C1380" s="15" t="s">
        <v>14</v>
      </c>
      <c r="D1380" s="16">
        <v>89926364</v>
      </c>
      <c r="E1380" s="17">
        <v>45444</v>
      </c>
      <c r="F1380" s="18">
        <f>MONTH(Data!$E1380)</f>
        <v>6</v>
      </c>
      <c r="G1380" s="16">
        <f>YEAR(Data!$E1380)</f>
        <v>2024</v>
      </c>
      <c r="H1380" s="15" t="s">
        <v>25</v>
      </c>
      <c r="I1380" s="15" t="str">
        <f t="shared" si="21"/>
        <v>Sở ban ngành</v>
      </c>
      <c r="J1380" s="15" t="s">
        <v>1285</v>
      </c>
      <c r="K1380" s="15" t="s">
        <v>1273</v>
      </c>
      <c r="L1380" s="32">
        <f>Data!$D1380/10^6</f>
        <v>89.926364000000007</v>
      </c>
    </row>
    <row r="1381" spans="1:12" x14ac:dyDescent="0.25">
      <c r="A1381" s="29" t="s">
        <v>146</v>
      </c>
      <c r="B1381" s="15" t="s">
        <v>356</v>
      </c>
      <c r="C1381" s="15" t="s">
        <v>149</v>
      </c>
      <c r="D1381" s="16">
        <v>488287273</v>
      </c>
      <c r="E1381" s="17">
        <v>45444</v>
      </c>
      <c r="F1381" s="18">
        <f>MONTH(Data!$E1381)</f>
        <v>6</v>
      </c>
      <c r="G1381" s="16">
        <f>YEAR(Data!$E1381)</f>
        <v>2024</v>
      </c>
      <c r="H1381" s="15" t="s">
        <v>32</v>
      </c>
      <c r="I1381" s="15" t="str">
        <f t="shared" si="21"/>
        <v>Sở ban ngành</v>
      </c>
      <c r="J1381" s="15" t="s">
        <v>1284</v>
      </c>
      <c r="K1381" s="15" t="s">
        <v>1263</v>
      </c>
      <c r="L1381" s="32">
        <f>Data!$D1381/10^6</f>
        <v>488.28727300000003</v>
      </c>
    </row>
    <row r="1382" spans="1:12" x14ac:dyDescent="0.25">
      <c r="A1382" s="29" t="s">
        <v>62</v>
      </c>
      <c r="B1382" s="15" t="s">
        <v>82</v>
      </c>
      <c r="C1382" s="15" t="s">
        <v>10</v>
      </c>
      <c r="D1382" s="16">
        <v>10318182</v>
      </c>
      <c r="E1382" s="17">
        <v>45444</v>
      </c>
      <c r="F1382" s="18">
        <f>MONTH(Data!$E1382)</f>
        <v>6</v>
      </c>
      <c r="G1382" s="16">
        <f>YEAR(Data!$E1382)</f>
        <v>2024</v>
      </c>
      <c r="H1382" s="15" t="s">
        <v>15</v>
      </c>
      <c r="I1382" s="15" t="str">
        <f t="shared" si="21"/>
        <v>Sở ban ngành</v>
      </c>
      <c r="J1382" s="15" t="s">
        <v>1285</v>
      </c>
      <c r="K1382" s="15" t="s">
        <v>1263</v>
      </c>
      <c r="L1382" s="32">
        <f>Data!$D1382/10^6</f>
        <v>10.318182</v>
      </c>
    </row>
    <row r="1383" spans="1:12" x14ac:dyDescent="0.25">
      <c r="A1383" s="29" t="s">
        <v>78</v>
      </c>
      <c r="B1383" s="15" t="s">
        <v>362</v>
      </c>
      <c r="C1383" s="15" t="s">
        <v>46</v>
      </c>
      <c r="D1383" s="16">
        <v>23828655</v>
      </c>
      <c r="E1383" s="17">
        <v>45444</v>
      </c>
      <c r="F1383" s="18">
        <f>MONTH(Data!$E1383)</f>
        <v>6</v>
      </c>
      <c r="G1383" s="16">
        <f>YEAR(Data!$E1383)</f>
        <v>2024</v>
      </c>
      <c r="H1383" s="15" t="s">
        <v>15</v>
      </c>
      <c r="I1383" s="15" t="str">
        <f t="shared" si="21"/>
        <v>Sở ban ngành</v>
      </c>
      <c r="J1383" s="15" t="s">
        <v>1284</v>
      </c>
      <c r="K1383" s="15" t="s">
        <v>1271</v>
      </c>
      <c r="L1383" s="32">
        <f>Data!$D1383/10^6</f>
        <v>23.828655000000001</v>
      </c>
    </row>
    <row r="1384" spans="1:12" x14ac:dyDescent="0.25">
      <c r="A1384" s="29" t="s">
        <v>79</v>
      </c>
      <c r="B1384" s="15" t="s">
        <v>354</v>
      </c>
      <c r="C1384" s="15" t="s">
        <v>14</v>
      </c>
      <c r="D1384" s="16">
        <v>166272727</v>
      </c>
      <c r="E1384" s="17">
        <v>45444</v>
      </c>
      <c r="F1384" s="18">
        <f>MONTH(Data!$E1384)</f>
        <v>6</v>
      </c>
      <c r="G1384" s="16">
        <f>YEAR(Data!$E1384)</f>
        <v>2024</v>
      </c>
      <c r="H1384" s="15" t="s">
        <v>15</v>
      </c>
      <c r="I1384" s="15" t="str">
        <f t="shared" si="21"/>
        <v>Sở ban ngành</v>
      </c>
      <c r="J1384" s="15" t="s">
        <v>1285</v>
      </c>
      <c r="K1384" s="15" t="s">
        <v>1266</v>
      </c>
      <c r="L1384" s="32">
        <f>Data!$D1384/10^6</f>
        <v>166.272727</v>
      </c>
    </row>
    <row r="1385" spans="1:12" x14ac:dyDescent="0.25">
      <c r="A1385" s="29" t="s">
        <v>191</v>
      </c>
      <c r="B1385" s="15" t="s">
        <v>380</v>
      </c>
      <c r="C1385" s="15" t="s">
        <v>46</v>
      </c>
      <c r="D1385" s="16">
        <v>31090909</v>
      </c>
      <c r="E1385" s="17">
        <v>45444</v>
      </c>
      <c r="F1385" s="18">
        <f>MONTH(Data!$E1385)</f>
        <v>6</v>
      </c>
      <c r="G1385" s="16">
        <f>YEAR(Data!$E1385)</f>
        <v>2024</v>
      </c>
      <c r="H1385" s="15" t="s">
        <v>35</v>
      </c>
      <c r="I1385" s="15" t="str">
        <f t="shared" si="21"/>
        <v>Sở ban ngành</v>
      </c>
      <c r="J1385" s="15" t="s">
        <v>1284</v>
      </c>
      <c r="K1385" s="15" t="s">
        <v>1271</v>
      </c>
      <c r="L1385" s="32">
        <f>Data!$D1385/10^6</f>
        <v>31.090909</v>
      </c>
    </row>
    <row r="1386" spans="1:12" x14ac:dyDescent="0.25">
      <c r="A1386" s="29" t="s">
        <v>87</v>
      </c>
      <c r="B1386" s="15" t="s">
        <v>1253</v>
      </c>
      <c r="C1386" s="15" t="s">
        <v>46</v>
      </c>
      <c r="D1386" s="16">
        <v>50000000</v>
      </c>
      <c r="E1386" s="17">
        <v>45444</v>
      </c>
      <c r="F1386" s="18">
        <f>MONTH(Data!$E1386)</f>
        <v>6</v>
      </c>
      <c r="G1386" s="16">
        <f>YEAR(Data!$E1386)</f>
        <v>2024</v>
      </c>
      <c r="H1386" s="15" t="s">
        <v>29</v>
      </c>
      <c r="I1386" s="15" t="str">
        <f t="shared" si="21"/>
        <v>Trường học</v>
      </c>
      <c r="J1386" s="15" t="s">
        <v>1285</v>
      </c>
      <c r="K1386" s="15" t="s">
        <v>1271</v>
      </c>
      <c r="L1386" s="32">
        <f>Data!$D1386/10^6</f>
        <v>50</v>
      </c>
    </row>
    <row r="1387" spans="1:12" x14ac:dyDescent="0.25">
      <c r="A1387" s="29" t="s">
        <v>17</v>
      </c>
      <c r="B1387" s="15" t="s">
        <v>359</v>
      </c>
      <c r="C1387" s="15" t="s">
        <v>46</v>
      </c>
      <c r="D1387" s="16">
        <v>63521818</v>
      </c>
      <c r="E1387" s="17">
        <v>45444</v>
      </c>
      <c r="F1387" s="18">
        <f>MONTH(Data!$E1387)</f>
        <v>6</v>
      </c>
      <c r="G1387" s="16">
        <f>YEAR(Data!$E1387)</f>
        <v>2024</v>
      </c>
      <c r="H1387" s="15" t="s">
        <v>11</v>
      </c>
      <c r="I1387" s="15" t="str">
        <f t="shared" si="21"/>
        <v>Ngân hàng</v>
      </c>
      <c r="J1387" s="15" t="s">
        <v>1284</v>
      </c>
      <c r="K1387" s="15" t="s">
        <v>1271</v>
      </c>
      <c r="L1387" s="32">
        <f>Data!$D1387/10^6</f>
        <v>63.521818000000003</v>
      </c>
    </row>
    <row r="1388" spans="1:12" x14ac:dyDescent="0.25">
      <c r="A1388" s="29" t="s">
        <v>33</v>
      </c>
      <c r="B1388" s="15" t="s">
        <v>358</v>
      </c>
      <c r="C1388" s="15" t="s">
        <v>41</v>
      </c>
      <c r="D1388" s="16">
        <v>64431818</v>
      </c>
      <c r="E1388" s="17">
        <v>45444</v>
      </c>
      <c r="F1388" s="18">
        <f>MONTH(Data!$E1388)</f>
        <v>6</v>
      </c>
      <c r="G1388" s="16">
        <f>YEAR(Data!$E1388)</f>
        <v>2024</v>
      </c>
      <c r="H1388" s="15" t="s">
        <v>35</v>
      </c>
      <c r="I1388" s="15" t="str">
        <f t="shared" si="21"/>
        <v>Ngân hàng</v>
      </c>
      <c r="J1388" s="15" t="s">
        <v>1285</v>
      </c>
      <c r="K1388" s="15" t="s">
        <v>1272</v>
      </c>
      <c r="L1388" s="32">
        <f>Data!$D1388/10^6</f>
        <v>64.431818000000007</v>
      </c>
    </row>
    <row r="1389" spans="1:12" x14ac:dyDescent="0.25">
      <c r="A1389" s="29" t="s">
        <v>77</v>
      </c>
      <c r="B1389" s="15" t="s">
        <v>396</v>
      </c>
      <c r="C1389" s="15" t="s">
        <v>149</v>
      </c>
      <c r="D1389" s="16">
        <v>12681818</v>
      </c>
      <c r="E1389" s="17">
        <v>45444</v>
      </c>
      <c r="F1389" s="18">
        <f>MONTH(Data!$E1389)</f>
        <v>6</v>
      </c>
      <c r="G1389" s="16">
        <f>YEAR(Data!$E1389)</f>
        <v>2024</v>
      </c>
      <c r="H1389" s="15" t="s">
        <v>35</v>
      </c>
      <c r="I1389" s="15" t="str">
        <f t="shared" si="21"/>
        <v>Ngân hàng</v>
      </c>
      <c r="J1389" s="15" t="s">
        <v>1284</v>
      </c>
      <c r="K1389" s="15" t="s">
        <v>1264</v>
      </c>
      <c r="L1389" s="32">
        <f>Data!$D1389/10^6</f>
        <v>12.681818</v>
      </c>
    </row>
    <row r="1390" spans="1:12" x14ac:dyDescent="0.25">
      <c r="A1390" s="29" t="s">
        <v>109</v>
      </c>
      <c r="B1390" s="15" t="s">
        <v>352</v>
      </c>
      <c r="C1390" s="15" t="s">
        <v>10</v>
      </c>
      <c r="D1390" s="16">
        <v>315947273</v>
      </c>
      <c r="E1390" s="17">
        <v>45444</v>
      </c>
      <c r="F1390" s="18">
        <f>MONTH(Data!$E1390)</f>
        <v>6</v>
      </c>
      <c r="G1390" s="16">
        <f>YEAR(Data!$E1390)</f>
        <v>2024</v>
      </c>
      <c r="H1390" s="15" t="s">
        <v>22</v>
      </c>
      <c r="I1390" s="15" t="str">
        <f t="shared" si="21"/>
        <v>Sở ban ngành</v>
      </c>
      <c r="J1390" s="15" t="s">
        <v>1285</v>
      </c>
      <c r="K1390" s="15" t="s">
        <v>1267</v>
      </c>
      <c r="L1390" s="32">
        <f>Data!$D1390/10^6</f>
        <v>315.947273</v>
      </c>
    </row>
    <row r="1391" spans="1:12" x14ac:dyDescent="0.25">
      <c r="A1391" s="29" t="s">
        <v>65</v>
      </c>
      <c r="B1391" s="15" t="s">
        <v>392</v>
      </c>
      <c r="C1391" s="15" t="s">
        <v>10</v>
      </c>
      <c r="D1391" s="16">
        <v>45011818</v>
      </c>
      <c r="E1391" s="17">
        <v>45444</v>
      </c>
      <c r="F1391" s="18">
        <f>MONTH(Data!$E1391)</f>
        <v>6</v>
      </c>
      <c r="G1391" s="16">
        <f>YEAR(Data!$E1391)</f>
        <v>2024</v>
      </c>
      <c r="H1391" s="15" t="s">
        <v>25</v>
      </c>
      <c r="I1391" s="15" t="str">
        <f t="shared" si="21"/>
        <v>Sở ban ngành</v>
      </c>
      <c r="J1391" s="15" t="s">
        <v>1284</v>
      </c>
      <c r="K1391" s="15" t="s">
        <v>1263</v>
      </c>
      <c r="L1391" s="32">
        <f>Data!$D1391/10^6</f>
        <v>45.011817999999998</v>
      </c>
    </row>
    <row r="1392" spans="1:12" x14ac:dyDescent="0.25">
      <c r="A1392" s="29" t="s">
        <v>78</v>
      </c>
      <c r="B1392" s="15" t="s">
        <v>349</v>
      </c>
      <c r="C1392" s="15" t="s">
        <v>10</v>
      </c>
      <c r="D1392" s="16">
        <v>8285091</v>
      </c>
      <c r="E1392" s="17">
        <v>45444</v>
      </c>
      <c r="F1392" s="18">
        <f>MONTH(Data!$E1392)</f>
        <v>6</v>
      </c>
      <c r="G1392" s="16">
        <f>YEAR(Data!$E1392)</f>
        <v>2024</v>
      </c>
      <c r="H1392" s="15" t="s">
        <v>15</v>
      </c>
      <c r="I1392" s="15" t="str">
        <f t="shared" si="21"/>
        <v>Sở ban ngành</v>
      </c>
      <c r="J1392" s="15" t="s">
        <v>1285</v>
      </c>
      <c r="K1392" s="15" t="s">
        <v>1262</v>
      </c>
      <c r="L1392" s="32">
        <f>Data!$D1392/10^6</f>
        <v>8.2850909999999995</v>
      </c>
    </row>
    <row r="1393" spans="1:12" x14ac:dyDescent="0.25">
      <c r="A1393" s="29" t="s">
        <v>78</v>
      </c>
      <c r="B1393" s="15" t="s">
        <v>349</v>
      </c>
      <c r="C1393" s="15" t="s">
        <v>14</v>
      </c>
      <c r="D1393" s="16">
        <v>18200000</v>
      </c>
      <c r="E1393" s="17">
        <v>45444</v>
      </c>
      <c r="F1393" s="18">
        <f>MONTH(Data!$E1393)</f>
        <v>6</v>
      </c>
      <c r="G1393" s="16">
        <f>YEAR(Data!$E1393)</f>
        <v>2024</v>
      </c>
      <c r="H1393" s="15" t="s">
        <v>15</v>
      </c>
      <c r="I1393" s="15" t="str">
        <f t="shared" si="21"/>
        <v>Sở ban ngành</v>
      </c>
      <c r="J1393" s="15" t="s">
        <v>1284</v>
      </c>
      <c r="K1393" s="15" t="s">
        <v>1264</v>
      </c>
      <c r="L1393" s="32">
        <f>Data!$D1393/10^6</f>
        <v>18.2</v>
      </c>
    </row>
    <row r="1394" spans="1:12" x14ac:dyDescent="0.25">
      <c r="A1394" s="29" t="s">
        <v>72</v>
      </c>
      <c r="B1394" s="15" t="s">
        <v>304</v>
      </c>
      <c r="C1394" s="15" t="s">
        <v>149</v>
      </c>
      <c r="D1394" s="16">
        <v>21660909</v>
      </c>
      <c r="E1394" s="17">
        <v>45444</v>
      </c>
      <c r="F1394" s="18">
        <f>MONTH(Data!$E1394)</f>
        <v>6</v>
      </c>
      <c r="G1394" s="16">
        <f>YEAR(Data!$E1394)</f>
        <v>2024</v>
      </c>
      <c r="H1394" s="15" t="s">
        <v>22</v>
      </c>
      <c r="I1394" s="15" t="str">
        <f t="shared" si="21"/>
        <v>Sở ban ngành</v>
      </c>
      <c r="J1394" s="15" t="s">
        <v>1285</v>
      </c>
      <c r="K1394" s="15" t="s">
        <v>1262</v>
      </c>
      <c r="L1394" s="32">
        <f>Data!$D1394/10^6</f>
        <v>21.660909</v>
      </c>
    </row>
    <row r="1395" spans="1:12" x14ac:dyDescent="0.25">
      <c r="A1395" s="29" t="s">
        <v>127</v>
      </c>
      <c r="B1395" s="15" t="s">
        <v>393</v>
      </c>
      <c r="C1395" s="15" t="s">
        <v>10</v>
      </c>
      <c r="D1395" s="16">
        <v>1254018182</v>
      </c>
      <c r="E1395" s="17">
        <v>45444</v>
      </c>
      <c r="F1395" s="18">
        <f>MONTH(Data!$E1395)</f>
        <v>6</v>
      </c>
      <c r="G1395" s="16">
        <f>YEAR(Data!$E1395)</f>
        <v>2024</v>
      </c>
      <c r="H1395" s="15" t="s">
        <v>32</v>
      </c>
      <c r="I1395" s="15" t="str">
        <f t="shared" si="21"/>
        <v>Sở ban ngành</v>
      </c>
      <c r="J1395" s="15" t="s">
        <v>1284</v>
      </c>
      <c r="K1395" s="15" t="s">
        <v>1267</v>
      </c>
      <c r="L1395" s="32">
        <f>Data!$D1395/10^6</f>
        <v>1254.018182</v>
      </c>
    </row>
    <row r="1396" spans="1:12" x14ac:dyDescent="0.25">
      <c r="A1396" s="29" t="s">
        <v>52</v>
      </c>
      <c r="B1396" s="15" t="s">
        <v>314</v>
      </c>
      <c r="C1396" s="15" t="s">
        <v>149</v>
      </c>
      <c r="D1396" s="16">
        <v>333689367</v>
      </c>
      <c r="E1396" s="17">
        <v>45444</v>
      </c>
      <c r="F1396" s="18">
        <f>MONTH(Data!$E1396)</f>
        <v>6</v>
      </c>
      <c r="G1396" s="16">
        <f>YEAR(Data!$E1396)</f>
        <v>2024</v>
      </c>
      <c r="H1396" s="15" t="s">
        <v>35</v>
      </c>
      <c r="I1396" s="15" t="str">
        <f t="shared" si="21"/>
        <v>Doanh nghiệp</v>
      </c>
      <c r="J1396" s="15" t="s">
        <v>1285</v>
      </c>
      <c r="K1396" s="15" t="s">
        <v>1275</v>
      </c>
      <c r="L1396" s="32">
        <f>Data!$D1396/10^6</f>
        <v>333.689367</v>
      </c>
    </row>
    <row r="1397" spans="1:12" x14ac:dyDescent="0.25">
      <c r="A1397" s="29" t="s">
        <v>65</v>
      </c>
      <c r="B1397" s="15" t="s">
        <v>389</v>
      </c>
      <c r="C1397" s="15" t="s">
        <v>46</v>
      </c>
      <c r="D1397" s="16">
        <v>36363636</v>
      </c>
      <c r="E1397" s="17">
        <v>45444</v>
      </c>
      <c r="F1397" s="18">
        <f>MONTH(Data!$E1397)</f>
        <v>6</v>
      </c>
      <c r="G1397" s="16">
        <f>YEAR(Data!$E1397)</f>
        <v>2024</v>
      </c>
      <c r="H1397" s="15" t="s">
        <v>25</v>
      </c>
      <c r="I1397" s="15" t="str">
        <f t="shared" si="21"/>
        <v>Sở ban ngành</v>
      </c>
      <c r="J1397" s="15" t="s">
        <v>1284</v>
      </c>
      <c r="K1397" s="15" t="s">
        <v>1271</v>
      </c>
      <c r="L1397" s="32">
        <f>Data!$D1397/10^6</f>
        <v>36.363636</v>
      </c>
    </row>
    <row r="1398" spans="1:12" x14ac:dyDescent="0.25">
      <c r="A1398" s="29" t="s">
        <v>65</v>
      </c>
      <c r="B1398" s="15" t="s">
        <v>388</v>
      </c>
      <c r="C1398" s="15" t="s">
        <v>46</v>
      </c>
      <c r="D1398" s="16">
        <v>36363636</v>
      </c>
      <c r="E1398" s="17">
        <v>45444</v>
      </c>
      <c r="F1398" s="18">
        <f>MONTH(Data!$E1398)</f>
        <v>6</v>
      </c>
      <c r="G1398" s="16">
        <f>YEAR(Data!$E1398)</f>
        <v>2024</v>
      </c>
      <c r="H1398" s="15" t="s">
        <v>25</v>
      </c>
      <c r="I1398" s="15" t="str">
        <f t="shared" si="21"/>
        <v>Sở ban ngành</v>
      </c>
      <c r="J1398" s="15" t="s">
        <v>1285</v>
      </c>
      <c r="K1398" s="15" t="s">
        <v>1271</v>
      </c>
      <c r="L1398" s="32">
        <f>Data!$D1398/10^6</f>
        <v>36.363636</v>
      </c>
    </row>
    <row r="1399" spans="1:12" x14ac:dyDescent="0.25">
      <c r="A1399" s="29" t="s">
        <v>65</v>
      </c>
      <c r="B1399" s="15" t="s">
        <v>387</v>
      </c>
      <c r="C1399" s="15" t="s">
        <v>46</v>
      </c>
      <c r="D1399" s="16">
        <v>36363636</v>
      </c>
      <c r="E1399" s="17">
        <v>45444</v>
      </c>
      <c r="F1399" s="18">
        <f>MONTH(Data!$E1399)</f>
        <v>6</v>
      </c>
      <c r="G1399" s="16">
        <f>YEAR(Data!$E1399)</f>
        <v>2024</v>
      </c>
      <c r="H1399" s="15" t="s">
        <v>25</v>
      </c>
      <c r="I1399" s="15" t="str">
        <f t="shared" si="21"/>
        <v>Sở ban ngành</v>
      </c>
      <c r="J1399" s="15" t="s">
        <v>1284</v>
      </c>
      <c r="K1399" s="15" t="s">
        <v>1271</v>
      </c>
      <c r="L1399" s="32">
        <f>Data!$D1399/10^6</f>
        <v>36.363636</v>
      </c>
    </row>
    <row r="1400" spans="1:12" x14ac:dyDescent="0.25">
      <c r="A1400" s="29" t="s">
        <v>65</v>
      </c>
      <c r="B1400" s="15" t="s">
        <v>386</v>
      </c>
      <c r="C1400" s="15" t="s">
        <v>46</v>
      </c>
      <c r="D1400" s="16">
        <v>36363636</v>
      </c>
      <c r="E1400" s="17">
        <v>45444</v>
      </c>
      <c r="F1400" s="18">
        <f>MONTH(Data!$E1400)</f>
        <v>6</v>
      </c>
      <c r="G1400" s="16">
        <f>YEAR(Data!$E1400)</f>
        <v>2024</v>
      </c>
      <c r="H1400" s="15" t="s">
        <v>25</v>
      </c>
      <c r="I1400" s="15" t="str">
        <f t="shared" si="21"/>
        <v>Sở ban ngành</v>
      </c>
      <c r="J1400" s="15" t="s">
        <v>1285</v>
      </c>
      <c r="K1400" s="15" t="s">
        <v>1271</v>
      </c>
      <c r="L1400" s="32">
        <f>Data!$D1400/10^6</f>
        <v>36.363636</v>
      </c>
    </row>
    <row r="1401" spans="1:12" x14ac:dyDescent="0.25">
      <c r="A1401" s="29" t="s">
        <v>37</v>
      </c>
      <c r="B1401" s="15" t="s">
        <v>375</v>
      </c>
      <c r="C1401" s="15" t="s">
        <v>46</v>
      </c>
      <c r="D1401" s="16">
        <v>44643636</v>
      </c>
      <c r="E1401" s="17">
        <v>45444</v>
      </c>
      <c r="F1401" s="18">
        <f>MONTH(Data!$E1401)</f>
        <v>6</v>
      </c>
      <c r="G1401" s="16">
        <f>YEAR(Data!$E1401)</f>
        <v>2024</v>
      </c>
      <c r="H1401" s="15" t="s">
        <v>11</v>
      </c>
      <c r="I1401" s="15" t="str">
        <f t="shared" si="21"/>
        <v>Sở ban ngành</v>
      </c>
      <c r="J1401" s="15" t="s">
        <v>1284</v>
      </c>
      <c r="K1401" s="15" t="s">
        <v>1271</v>
      </c>
      <c r="L1401" s="32">
        <f>Data!$D1401/10^6</f>
        <v>44.643636000000001</v>
      </c>
    </row>
    <row r="1402" spans="1:12" x14ac:dyDescent="0.25">
      <c r="A1402" s="29" t="s">
        <v>95</v>
      </c>
      <c r="B1402" s="15" t="s">
        <v>371</v>
      </c>
      <c r="C1402" s="15" t="s">
        <v>149</v>
      </c>
      <c r="D1402" s="16">
        <v>40109091</v>
      </c>
      <c r="E1402" s="17">
        <v>45444</v>
      </c>
      <c r="F1402" s="18">
        <f>MONTH(Data!$E1402)</f>
        <v>6</v>
      </c>
      <c r="G1402" s="16">
        <f>YEAR(Data!$E1402)</f>
        <v>2024</v>
      </c>
      <c r="H1402" s="15" t="s">
        <v>35</v>
      </c>
      <c r="I1402" s="15" t="str">
        <f t="shared" si="21"/>
        <v>Sở ban ngành</v>
      </c>
      <c r="J1402" s="15" t="s">
        <v>1285</v>
      </c>
      <c r="K1402" s="15" t="s">
        <v>1264</v>
      </c>
      <c r="L1402" s="32">
        <f>Data!$D1402/10^6</f>
        <v>40.109090999999999</v>
      </c>
    </row>
    <row r="1403" spans="1:12" x14ac:dyDescent="0.25">
      <c r="A1403" s="29" t="s">
        <v>72</v>
      </c>
      <c r="B1403" s="15" t="s">
        <v>370</v>
      </c>
      <c r="C1403" s="15" t="s">
        <v>10</v>
      </c>
      <c r="D1403" s="16">
        <v>31215000</v>
      </c>
      <c r="E1403" s="17">
        <v>45444</v>
      </c>
      <c r="F1403" s="18">
        <f>MONTH(Data!$E1403)</f>
        <v>6</v>
      </c>
      <c r="G1403" s="16">
        <f>YEAR(Data!$E1403)</f>
        <v>2024</v>
      </c>
      <c r="H1403" s="15" t="s">
        <v>22</v>
      </c>
      <c r="I1403" s="15" t="str">
        <f t="shared" si="21"/>
        <v>Sở ban ngành</v>
      </c>
      <c r="J1403" s="15" t="s">
        <v>1284</v>
      </c>
      <c r="K1403" s="15" t="s">
        <v>1262</v>
      </c>
      <c r="L1403" s="32">
        <f>Data!$D1403/10^6</f>
        <v>31.215</v>
      </c>
    </row>
    <row r="1404" spans="1:12" x14ac:dyDescent="0.25">
      <c r="A1404" s="29" t="s">
        <v>72</v>
      </c>
      <c r="B1404" s="15" t="s">
        <v>369</v>
      </c>
      <c r="C1404" s="15" t="s">
        <v>10</v>
      </c>
      <c r="D1404" s="16">
        <v>45337500</v>
      </c>
      <c r="E1404" s="17">
        <v>45444</v>
      </c>
      <c r="F1404" s="18">
        <f>MONTH(Data!$E1404)</f>
        <v>6</v>
      </c>
      <c r="G1404" s="16">
        <f>YEAR(Data!$E1404)</f>
        <v>2024</v>
      </c>
      <c r="H1404" s="15" t="s">
        <v>22</v>
      </c>
      <c r="I1404" s="15" t="str">
        <f t="shared" si="21"/>
        <v>Sở ban ngành</v>
      </c>
      <c r="J1404" s="15" t="s">
        <v>1285</v>
      </c>
      <c r="K1404" s="15" t="s">
        <v>1262</v>
      </c>
      <c r="L1404" s="32">
        <f>Data!$D1404/10^6</f>
        <v>45.337499999999999</v>
      </c>
    </row>
    <row r="1405" spans="1:12" x14ac:dyDescent="0.25">
      <c r="A1405" s="29" t="s">
        <v>89</v>
      </c>
      <c r="B1405" s="15" t="s">
        <v>317</v>
      </c>
      <c r="C1405" s="15" t="s">
        <v>149</v>
      </c>
      <c r="D1405" s="16">
        <v>28000503</v>
      </c>
      <c r="E1405" s="17">
        <v>45444</v>
      </c>
      <c r="F1405" s="18">
        <f>MONTH(Data!$E1405)</f>
        <v>6</v>
      </c>
      <c r="G1405" s="16">
        <f>YEAR(Data!$E1405)</f>
        <v>2024</v>
      </c>
      <c r="H1405" s="15" t="s">
        <v>11</v>
      </c>
      <c r="I1405" s="15" t="str">
        <f t="shared" si="21"/>
        <v>Sở ban ngành</v>
      </c>
      <c r="J1405" s="15" t="s">
        <v>1284</v>
      </c>
      <c r="K1405" s="15" t="s">
        <v>1266</v>
      </c>
      <c r="L1405" s="32">
        <f>Data!$D1405/10^6</f>
        <v>28.000502999999998</v>
      </c>
    </row>
    <row r="1406" spans="1:12" x14ac:dyDescent="0.25">
      <c r="A1406" s="29" t="s">
        <v>28</v>
      </c>
      <c r="B1406" s="15" t="s">
        <v>377</v>
      </c>
      <c r="C1406" s="15" t="s">
        <v>14</v>
      </c>
      <c r="D1406" s="16">
        <v>61681818</v>
      </c>
      <c r="E1406" s="17">
        <v>45444</v>
      </c>
      <c r="F1406" s="18">
        <f>MONTH(Data!$E1406)</f>
        <v>6</v>
      </c>
      <c r="G1406" s="16">
        <f>YEAR(Data!$E1406)</f>
        <v>2024</v>
      </c>
      <c r="H1406" s="15" t="s">
        <v>29</v>
      </c>
      <c r="I1406" s="15" t="str">
        <f t="shared" si="21"/>
        <v>Sở ban ngành</v>
      </c>
      <c r="J1406" s="15" t="s">
        <v>1285</v>
      </c>
      <c r="K1406" s="15" t="s">
        <v>1277</v>
      </c>
      <c r="L1406" s="32">
        <f>Data!$D1406/10^6</f>
        <v>61.681818</v>
      </c>
    </row>
    <row r="1407" spans="1:12" x14ac:dyDescent="0.25">
      <c r="A1407" s="29" t="s">
        <v>130</v>
      </c>
      <c r="B1407" s="15" t="s">
        <v>167</v>
      </c>
      <c r="C1407" s="15" t="s">
        <v>46</v>
      </c>
      <c r="D1407" s="16">
        <v>78902000</v>
      </c>
      <c r="E1407" s="17">
        <v>45444</v>
      </c>
      <c r="F1407" s="18">
        <f>MONTH(Data!$E1407)</f>
        <v>6</v>
      </c>
      <c r="G1407" s="16">
        <f>YEAR(Data!$E1407)</f>
        <v>2024</v>
      </c>
      <c r="H1407" s="15" t="s">
        <v>22</v>
      </c>
      <c r="I1407" s="15" t="str">
        <f t="shared" si="21"/>
        <v>Sở ban ngành</v>
      </c>
      <c r="J1407" s="15" t="s">
        <v>1284</v>
      </c>
      <c r="K1407" s="15" t="s">
        <v>1271</v>
      </c>
      <c r="L1407" s="32">
        <f>Data!$D1407/10^6</f>
        <v>78.902000000000001</v>
      </c>
    </row>
    <row r="1408" spans="1:12" x14ac:dyDescent="0.25">
      <c r="A1408" s="29" t="s">
        <v>28</v>
      </c>
      <c r="B1408" s="15" t="s">
        <v>382</v>
      </c>
      <c r="C1408" s="15" t="s">
        <v>14</v>
      </c>
      <c r="D1408" s="16">
        <v>214545455</v>
      </c>
      <c r="E1408" s="17">
        <v>45444</v>
      </c>
      <c r="F1408" s="18">
        <f>MONTH(Data!$E1408)</f>
        <v>6</v>
      </c>
      <c r="G1408" s="16">
        <f>YEAR(Data!$E1408)</f>
        <v>2024</v>
      </c>
      <c r="H1408" s="15" t="s">
        <v>29</v>
      </c>
      <c r="I1408" s="15" t="str">
        <f t="shared" si="21"/>
        <v>Sở ban ngành</v>
      </c>
      <c r="J1408" s="15" t="s">
        <v>1285</v>
      </c>
      <c r="K1408" s="15" t="s">
        <v>1277</v>
      </c>
      <c r="L1408" s="32">
        <f>Data!$D1408/10^6</f>
        <v>214.545455</v>
      </c>
    </row>
    <row r="1409" spans="1:12" x14ac:dyDescent="0.25">
      <c r="A1409" s="29" t="s">
        <v>89</v>
      </c>
      <c r="B1409" s="15" t="s">
        <v>374</v>
      </c>
      <c r="C1409" s="15" t="s">
        <v>149</v>
      </c>
      <c r="D1409" s="16">
        <v>69681818</v>
      </c>
      <c r="E1409" s="17">
        <v>45444</v>
      </c>
      <c r="F1409" s="18">
        <f>MONTH(Data!$E1409)</f>
        <v>6</v>
      </c>
      <c r="G1409" s="16">
        <f>YEAR(Data!$E1409)</f>
        <v>2024</v>
      </c>
      <c r="H1409" s="15" t="s">
        <v>11</v>
      </c>
      <c r="I1409" s="15" t="str">
        <f t="shared" si="21"/>
        <v>Sở ban ngành</v>
      </c>
      <c r="J1409" s="15" t="s">
        <v>1284</v>
      </c>
      <c r="K1409" s="15" t="s">
        <v>1275</v>
      </c>
      <c r="L1409" s="32">
        <f>Data!$D1409/10^6</f>
        <v>69.681818000000007</v>
      </c>
    </row>
    <row r="1410" spans="1:12" x14ac:dyDescent="0.25">
      <c r="A1410" s="29" t="s">
        <v>130</v>
      </c>
      <c r="B1410" s="15" t="s">
        <v>350</v>
      </c>
      <c r="C1410" s="15" t="s">
        <v>10</v>
      </c>
      <c r="D1410" s="16">
        <v>63636364</v>
      </c>
      <c r="E1410" s="17">
        <v>45444</v>
      </c>
      <c r="F1410" s="18">
        <f>MONTH(Data!$E1410)</f>
        <v>6</v>
      </c>
      <c r="G1410" s="16">
        <f>YEAR(Data!$E1410)</f>
        <v>2024</v>
      </c>
      <c r="H1410" s="15" t="s">
        <v>22</v>
      </c>
      <c r="I1410" s="15" t="str">
        <f t="shared" si="21"/>
        <v>Sở ban ngành</v>
      </c>
      <c r="J1410" s="15" t="s">
        <v>1285</v>
      </c>
      <c r="K1410" s="15" t="s">
        <v>1263</v>
      </c>
      <c r="L1410" s="32">
        <f>Data!$D1410/10^6</f>
        <v>63.636364</v>
      </c>
    </row>
    <row r="1411" spans="1:12" x14ac:dyDescent="0.25">
      <c r="A1411" s="29" t="s">
        <v>48</v>
      </c>
      <c r="B1411" s="15" t="s">
        <v>353</v>
      </c>
      <c r="C1411" s="15" t="s">
        <v>10</v>
      </c>
      <c r="D1411" s="16">
        <v>67077255</v>
      </c>
      <c r="E1411" s="17">
        <v>45444</v>
      </c>
      <c r="F1411" s="18">
        <f>MONTH(Data!$E1411)</f>
        <v>6</v>
      </c>
      <c r="G1411" s="16">
        <f>YEAR(Data!$E1411)</f>
        <v>2024</v>
      </c>
      <c r="H1411" s="15" t="s">
        <v>25</v>
      </c>
      <c r="I1411" s="15" t="str">
        <f t="shared" ref="I1411:I1474" si="22">IF(ISNUMBER(SEARCH("Công ty",$B1411)),"Doanh nghiệp",IF(ISNUMBER(SEARCH("Doanh nghiệp",$B1411)),"Doanh nghiệp",IF(ISNUMBER(SEARCH("Tập đoàn",$B1411)),"Doanh nghiệp",
IF(ISNUMBER(SEARCH("Bệnh viện",$B1411)),"Bệnh viện",
IF(ISNUMBER(SEARCH("Ngân hàng",$B1411)),"Ngân hàng",IF(ISNUMBER(SEARCH("trường",$B1411)),"Trường học",IF(ISNUMBER(SEARCH("học viện",$B1411)),"Trường học",
IF(ISNUMBER(SEARCH("Bộ",$B1411)),"Sở ban ngành",IF(ISNUMBER(SEARCH("Đoàn",$B1411)),"Sở ban ngành",IF(ISNUMBER(SEARCH("Phòng",$B1411)),"Sở ban ngành",IF(ISNUMBER(SEARCH("UBND",$B1411)),"Sở ban ngành",IF(ISNUMBER(SEARCH("ủy ban",$B1411)),"Sở ban ngành",IF(ISNUMBER(SEARCH("công an",$B1411)),"Sở ban ngành",IF(ISNUMBER(SEARCH("sở",$B1411)),"Sở ban ngành",IF(ISNUMBER(SEARCH("thôn",$B1411)),"Sở ban ngành",IF(ISNUMBER(SEARCH("xã",$B1411)),"Sở ban ngành",IF(ISNUMBER(SEARCH("quân khu",$B1411)),"Sở ban ngành",IF(ISNUMBER(SEARCH("cục",$B1411)),"Sở ban ngành",IF(ISNUMBER(SEARCH("viện",$B1411)),"Sở ban ngành",IF(ISNUMBER(SEARCH("quỹ",$B1411)),"Sở ban ngành",IF(ISNUMBER(SEARCH("trung tâm",$B1411)),"Sở ban ngành",IF(ISNUMBER(SEARCH("quân chủng",$B1411)),"Sở ban ngành",IF(ISNUMBER(SEARCH("hội",$B1411)),"Sở ban ngành",
"Khác")))))))))))))))))))))))</f>
        <v>Sở ban ngành</v>
      </c>
      <c r="J1411" s="15" t="s">
        <v>1284</v>
      </c>
      <c r="K1411" s="15" t="s">
        <v>1263</v>
      </c>
      <c r="L1411" s="32">
        <f>Data!$D1411/10^6</f>
        <v>67.077254999999994</v>
      </c>
    </row>
    <row r="1412" spans="1:12" x14ac:dyDescent="0.25">
      <c r="A1412" s="29" t="s">
        <v>48</v>
      </c>
      <c r="B1412" s="15" t="s">
        <v>353</v>
      </c>
      <c r="C1412" s="15" t="s">
        <v>10</v>
      </c>
      <c r="D1412" s="16">
        <v>31543091</v>
      </c>
      <c r="E1412" s="17">
        <v>45444</v>
      </c>
      <c r="F1412" s="18">
        <f>MONTH(Data!$E1412)</f>
        <v>6</v>
      </c>
      <c r="G1412" s="16">
        <f>YEAR(Data!$E1412)</f>
        <v>2024</v>
      </c>
      <c r="H1412" s="15" t="s">
        <v>25</v>
      </c>
      <c r="I1412" s="15" t="str">
        <f t="shared" si="22"/>
        <v>Sở ban ngành</v>
      </c>
      <c r="J1412" s="15" t="s">
        <v>1285</v>
      </c>
      <c r="K1412" s="15" t="s">
        <v>1263</v>
      </c>
      <c r="L1412" s="32">
        <f>Data!$D1412/10^6</f>
        <v>31.543091</v>
      </c>
    </row>
    <row r="1413" spans="1:12" x14ac:dyDescent="0.25">
      <c r="A1413" s="29" t="s">
        <v>255</v>
      </c>
      <c r="B1413" s="15" t="s">
        <v>366</v>
      </c>
      <c r="C1413" s="15" t="s">
        <v>46</v>
      </c>
      <c r="D1413" s="16">
        <v>183545455</v>
      </c>
      <c r="E1413" s="17">
        <v>45444</v>
      </c>
      <c r="F1413" s="18">
        <f>MONTH(Data!$E1413)</f>
        <v>6</v>
      </c>
      <c r="G1413" s="16">
        <f>YEAR(Data!$E1413)</f>
        <v>2024</v>
      </c>
      <c r="H1413" s="15" t="s">
        <v>11</v>
      </c>
      <c r="I1413" s="15" t="str">
        <f t="shared" si="22"/>
        <v>Sở ban ngành</v>
      </c>
      <c r="J1413" s="15" t="s">
        <v>1284</v>
      </c>
      <c r="K1413" s="15" t="s">
        <v>1271</v>
      </c>
      <c r="L1413" s="32">
        <f>Data!$D1413/10^6</f>
        <v>183.545455</v>
      </c>
    </row>
    <row r="1414" spans="1:12" x14ac:dyDescent="0.25">
      <c r="A1414" s="29" t="s">
        <v>68</v>
      </c>
      <c r="B1414" s="15" t="s">
        <v>384</v>
      </c>
      <c r="C1414" s="15" t="s">
        <v>46</v>
      </c>
      <c r="D1414" s="16">
        <v>28855455</v>
      </c>
      <c r="E1414" s="17">
        <v>45444</v>
      </c>
      <c r="F1414" s="18">
        <f>MONTH(Data!$E1414)</f>
        <v>6</v>
      </c>
      <c r="G1414" s="16">
        <f>YEAR(Data!$E1414)</f>
        <v>2024</v>
      </c>
      <c r="H1414" s="15" t="s">
        <v>22</v>
      </c>
      <c r="I1414" s="15" t="str">
        <f t="shared" si="22"/>
        <v>Sở ban ngành</v>
      </c>
      <c r="J1414" s="15" t="s">
        <v>1285</v>
      </c>
      <c r="K1414" s="15" t="s">
        <v>1271</v>
      </c>
      <c r="L1414" s="32">
        <f>Data!$D1414/10^6</f>
        <v>28.855454999999999</v>
      </c>
    </row>
    <row r="1415" spans="1:12" x14ac:dyDescent="0.25">
      <c r="A1415" s="29" t="s">
        <v>68</v>
      </c>
      <c r="B1415" s="15" t="s">
        <v>384</v>
      </c>
      <c r="C1415" s="15" t="s">
        <v>46</v>
      </c>
      <c r="D1415" s="16">
        <v>24240909</v>
      </c>
      <c r="E1415" s="17">
        <v>45444</v>
      </c>
      <c r="F1415" s="18">
        <f>MONTH(Data!$E1415)</f>
        <v>6</v>
      </c>
      <c r="G1415" s="16">
        <f>YEAR(Data!$E1415)</f>
        <v>2024</v>
      </c>
      <c r="H1415" s="15" t="s">
        <v>22</v>
      </c>
      <c r="I1415" s="15" t="str">
        <f t="shared" si="22"/>
        <v>Sở ban ngành</v>
      </c>
      <c r="J1415" s="15" t="s">
        <v>1284</v>
      </c>
      <c r="K1415" s="15" t="s">
        <v>1271</v>
      </c>
      <c r="L1415" s="32">
        <f>Data!$D1415/10^6</f>
        <v>24.240908999999998</v>
      </c>
    </row>
    <row r="1416" spans="1:12" x14ac:dyDescent="0.25">
      <c r="A1416" s="29" t="s">
        <v>30</v>
      </c>
      <c r="B1416" s="15" t="s">
        <v>361</v>
      </c>
      <c r="C1416" s="15" t="s">
        <v>10</v>
      </c>
      <c r="D1416" s="16">
        <v>57640909</v>
      </c>
      <c r="E1416" s="17">
        <v>45444</v>
      </c>
      <c r="F1416" s="18">
        <f>MONTH(Data!$E1416)</f>
        <v>6</v>
      </c>
      <c r="G1416" s="16">
        <f>YEAR(Data!$E1416)</f>
        <v>2024</v>
      </c>
      <c r="H1416" s="15" t="s">
        <v>32</v>
      </c>
      <c r="I1416" s="15" t="str">
        <f t="shared" si="22"/>
        <v>Sở ban ngành</v>
      </c>
      <c r="J1416" s="15" t="s">
        <v>1285</v>
      </c>
      <c r="K1416" s="15" t="s">
        <v>1263</v>
      </c>
      <c r="L1416" s="32">
        <f>Data!$D1416/10^6</f>
        <v>57.640909000000001</v>
      </c>
    </row>
    <row r="1417" spans="1:12" x14ac:dyDescent="0.25">
      <c r="A1417" s="29" t="s">
        <v>28</v>
      </c>
      <c r="B1417" s="15" t="s">
        <v>379</v>
      </c>
      <c r="C1417" s="15" t="s">
        <v>10</v>
      </c>
      <c r="D1417" s="16">
        <v>90735455</v>
      </c>
      <c r="E1417" s="17">
        <v>45444</v>
      </c>
      <c r="F1417" s="18">
        <f>MONTH(Data!$E1417)</f>
        <v>6</v>
      </c>
      <c r="G1417" s="16">
        <f>YEAR(Data!$E1417)</f>
        <v>2024</v>
      </c>
      <c r="H1417" s="15" t="s">
        <v>29</v>
      </c>
      <c r="I1417" s="15" t="str">
        <f t="shared" si="22"/>
        <v>Sở ban ngành</v>
      </c>
      <c r="J1417" s="15" t="s">
        <v>1284</v>
      </c>
      <c r="K1417" s="15" t="s">
        <v>1263</v>
      </c>
      <c r="L1417" s="32">
        <f>Data!$D1417/10^6</f>
        <v>90.735455000000002</v>
      </c>
    </row>
    <row r="1418" spans="1:12" x14ac:dyDescent="0.25">
      <c r="A1418" s="29" t="s">
        <v>45</v>
      </c>
      <c r="B1418" s="15" t="s">
        <v>232</v>
      </c>
      <c r="C1418" s="15" t="s">
        <v>149</v>
      </c>
      <c r="D1418" s="16">
        <v>36532727</v>
      </c>
      <c r="E1418" s="17">
        <v>45444</v>
      </c>
      <c r="F1418" s="18">
        <f>MONTH(Data!$E1418)</f>
        <v>6</v>
      </c>
      <c r="G1418" s="16">
        <f>YEAR(Data!$E1418)</f>
        <v>2024</v>
      </c>
      <c r="H1418" s="15" t="s">
        <v>29</v>
      </c>
      <c r="I1418" s="15" t="str">
        <f t="shared" si="22"/>
        <v>Sở ban ngành</v>
      </c>
      <c r="J1418" s="15" t="s">
        <v>1285</v>
      </c>
      <c r="K1418" s="15" t="s">
        <v>1263</v>
      </c>
      <c r="L1418" s="32">
        <f>Data!$D1418/10^6</f>
        <v>36.532727000000001</v>
      </c>
    </row>
    <row r="1419" spans="1:12" x14ac:dyDescent="0.25">
      <c r="A1419" s="29" t="s">
        <v>98</v>
      </c>
      <c r="B1419" s="15" t="s">
        <v>355</v>
      </c>
      <c r="C1419" s="15" t="s">
        <v>10</v>
      </c>
      <c r="D1419" s="16">
        <v>67709091</v>
      </c>
      <c r="E1419" s="17">
        <v>45444</v>
      </c>
      <c r="F1419" s="18">
        <f>MONTH(Data!$E1419)</f>
        <v>6</v>
      </c>
      <c r="G1419" s="16">
        <f>YEAR(Data!$E1419)</f>
        <v>2024</v>
      </c>
      <c r="H1419" s="15" t="s">
        <v>11</v>
      </c>
      <c r="I1419" s="15" t="str">
        <f t="shared" si="22"/>
        <v>Sở ban ngành</v>
      </c>
      <c r="J1419" s="15" t="s">
        <v>1284</v>
      </c>
      <c r="K1419" s="15" t="s">
        <v>1263</v>
      </c>
      <c r="L1419" s="32">
        <f>Data!$D1419/10^6</f>
        <v>67.709091000000001</v>
      </c>
    </row>
    <row r="1420" spans="1:12" x14ac:dyDescent="0.25">
      <c r="A1420" s="29" t="s">
        <v>30</v>
      </c>
      <c r="B1420" s="15" t="s">
        <v>381</v>
      </c>
      <c r="C1420" s="15" t="s">
        <v>41</v>
      </c>
      <c r="D1420" s="16">
        <v>90774545</v>
      </c>
      <c r="E1420" s="17">
        <v>45444</v>
      </c>
      <c r="F1420" s="18">
        <f>MONTH(Data!$E1420)</f>
        <v>6</v>
      </c>
      <c r="G1420" s="16">
        <f>YEAR(Data!$E1420)</f>
        <v>2024</v>
      </c>
      <c r="H1420" s="15" t="s">
        <v>32</v>
      </c>
      <c r="I1420" s="15" t="str">
        <f t="shared" si="22"/>
        <v>Sở ban ngành</v>
      </c>
      <c r="J1420" s="15" t="s">
        <v>1285</v>
      </c>
      <c r="K1420" s="15" t="s">
        <v>1269</v>
      </c>
      <c r="L1420" s="32">
        <f>Data!$D1420/10^6</f>
        <v>90.774545000000003</v>
      </c>
    </row>
    <row r="1421" spans="1:12" x14ac:dyDescent="0.25">
      <c r="A1421" s="29" t="s">
        <v>33</v>
      </c>
      <c r="B1421" s="15" t="s">
        <v>357</v>
      </c>
      <c r="C1421" s="15" t="s">
        <v>10</v>
      </c>
      <c r="D1421" s="16">
        <v>51336364</v>
      </c>
      <c r="E1421" s="17">
        <v>45444</v>
      </c>
      <c r="F1421" s="18">
        <f>MONTH(Data!$E1421)</f>
        <v>6</v>
      </c>
      <c r="G1421" s="16">
        <f>YEAR(Data!$E1421)</f>
        <v>2024</v>
      </c>
      <c r="H1421" s="15" t="s">
        <v>35</v>
      </c>
      <c r="I1421" s="15" t="str">
        <f t="shared" si="22"/>
        <v>Sở ban ngành</v>
      </c>
      <c r="J1421" s="15" t="s">
        <v>1284</v>
      </c>
      <c r="K1421" s="15" t="s">
        <v>1263</v>
      </c>
      <c r="L1421" s="32">
        <f>Data!$D1421/10^6</f>
        <v>51.336364000000003</v>
      </c>
    </row>
    <row r="1422" spans="1:12" x14ac:dyDescent="0.25">
      <c r="A1422" s="29" t="s">
        <v>47</v>
      </c>
      <c r="B1422" s="15" t="s">
        <v>391</v>
      </c>
      <c r="C1422" s="15" t="s">
        <v>10</v>
      </c>
      <c r="D1422" s="16">
        <v>42752727</v>
      </c>
      <c r="E1422" s="17">
        <v>45444</v>
      </c>
      <c r="F1422" s="18">
        <f>MONTH(Data!$E1422)</f>
        <v>6</v>
      </c>
      <c r="G1422" s="16">
        <f>YEAR(Data!$E1422)</f>
        <v>2024</v>
      </c>
      <c r="H1422" s="15" t="s">
        <v>29</v>
      </c>
      <c r="I1422" s="15" t="str">
        <f t="shared" si="22"/>
        <v>Sở ban ngành</v>
      </c>
      <c r="J1422" s="15" t="s">
        <v>1285</v>
      </c>
      <c r="K1422" s="15" t="s">
        <v>1263</v>
      </c>
      <c r="L1422" s="32">
        <f>Data!$D1422/10^6</f>
        <v>42.752727</v>
      </c>
    </row>
    <row r="1423" spans="1:12" x14ac:dyDescent="0.25">
      <c r="A1423" s="29" t="s">
        <v>30</v>
      </c>
      <c r="B1423" s="15" t="s">
        <v>180</v>
      </c>
      <c r="C1423" s="15" t="s">
        <v>149</v>
      </c>
      <c r="D1423" s="16">
        <v>86095455</v>
      </c>
      <c r="E1423" s="17">
        <v>45444</v>
      </c>
      <c r="F1423" s="18">
        <f>MONTH(Data!$E1423)</f>
        <v>6</v>
      </c>
      <c r="G1423" s="16">
        <f>YEAR(Data!$E1423)</f>
        <v>2024</v>
      </c>
      <c r="H1423" s="15" t="s">
        <v>32</v>
      </c>
      <c r="I1423" s="15" t="str">
        <f t="shared" si="22"/>
        <v>Sở ban ngành</v>
      </c>
      <c r="J1423" s="15" t="s">
        <v>1284</v>
      </c>
      <c r="K1423" s="15" t="s">
        <v>1264</v>
      </c>
      <c r="L1423" s="32">
        <f>Data!$D1423/10^6</f>
        <v>86.095455000000001</v>
      </c>
    </row>
    <row r="1424" spans="1:12" x14ac:dyDescent="0.25">
      <c r="A1424" s="29" t="s">
        <v>74</v>
      </c>
      <c r="B1424" s="15" t="s">
        <v>239</v>
      </c>
      <c r="C1424" s="15" t="s">
        <v>10</v>
      </c>
      <c r="D1424" s="16">
        <v>69875364</v>
      </c>
      <c r="E1424" s="17">
        <v>45444</v>
      </c>
      <c r="F1424" s="18">
        <f>MONTH(Data!$E1424)</f>
        <v>6</v>
      </c>
      <c r="G1424" s="16">
        <f>YEAR(Data!$E1424)</f>
        <v>2024</v>
      </c>
      <c r="H1424" s="15" t="s">
        <v>11</v>
      </c>
      <c r="I1424" s="15" t="str">
        <f t="shared" si="22"/>
        <v>Trường học</v>
      </c>
      <c r="J1424" s="15" t="s">
        <v>1285</v>
      </c>
      <c r="K1424" s="15" t="s">
        <v>1262</v>
      </c>
      <c r="L1424" s="32">
        <f>Data!$D1424/10^6</f>
        <v>69.875364000000005</v>
      </c>
    </row>
    <row r="1425" spans="1:12" x14ac:dyDescent="0.25">
      <c r="A1425" s="29" t="s">
        <v>65</v>
      </c>
      <c r="B1425" s="15" t="s">
        <v>390</v>
      </c>
      <c r="C1425" s="15" t="s">
        <v>46</v>
      </c>
      <c r="D1425" s="16">
        <v>18727273</v>
      </c>
      <c r="E1425" s="17">
        <v>45444</v>
      </c>
      <c r="F1425" s="18">
        <f>MONTH(Data!$E1425)</f>
        <v>6</v>
      </c>
      <c r="G1425" s="16">
        <f>YEAR(Data!$E1425)</f>
        <v>2024</v>
      </c>
      <c r="H1425" s="15" t="s">
        <v>25</v>
      </c>
      <c r="I1425" s="15" t="str">
        <f t="shared" si="22"/>
        <v>Trường học</v>
      </c>
      <c r="J1425" s="15" t="s">
        <v>1284</v>
      </c>
      <c r="K1425" s="15" t="s">
        <v>1271</v>
      </c>
      <c r="L1425" s="32">
        <f>Data!$D1425/10^6</f>
        <v>18.727273</v>
      </c>
    </row>
    <row r="1426" spans="1:12" x14ac:dyDescent="0.25">
      <c r="A1426" s="29" t="s">
        <v>33</v>
      </c>
      <c r="B1426" s="15" t="s">
        <v>363</v>
      </c>
      <c r="C1426" s="15" t="s">
        <v>14</v>
      </c>
      <c r="D1426" s="16">
        <v>226206000</v>
      </c>
      <c r="E1426" s="17">
        <v>45444</v>
      </c>
      <c r="F1426" s="18">
        <f>MONTH(Data!$E1426)</f>
        <v>6</v>
      </c>
      <c r="G1426" s="16">
        <f>YEAR(Data!$E1426)</f>
        <v>2024</v>
      </c>
      <c r="H1426" s="15" t="s">
        <v>35</v>
      </c>
      <c r="I1426" s="15" t="str">
        <f t="shared" si="22"/>
        <v>Trường học</v>
      </c>
      <c r="J1426" s="15" t="s">
        <v>1285</v>
      </c>
      <c r="K1426" s="15" t="s">
        <v>1264</v>
      </c>
      <c r="L1426" s="32">
        <f>Data!$D1426/10^6</f>
        <v>226.20599999999999</v>
      </c>
    </row>
    <row r="1427" spans="1:12" x14ac:dyDescent="0.25">
      <c r="A1427" s="29" t="s">
        <v>75</v>
      </c>
      <c r="B1427" s="15" t="s">
        <v>367</v>
      </c>
      <c r="C1427" s="15" t="s">
        <v>149</v>
      </c>
      <c r="D1427" s="16">
        <v>8363636</v>
      </c>
      <c r="E1427" s="17">
        <v>45444</v>
      </c>
      <c r="F1427" s="18">
        <f>MONTH(Data!$E1427)</f>
        <v>6</v>
      </c>
      <c r="G1427" s="16">
        <f>YEAR(Data!$E1427)</f>
        <v>2024</v>
      </c>
      <c r="H1427" s="15" t="s">
        <v>15</v>
      </c>
      <c r="I1427" s="15" t="str">
        <f t="shared" si="22"/>
        <v>Trường học</v>
      </c>
      <c r="J1427" s="15" t="s">
        <v>1284</v>
      </c>
      <c r="K1427" s="15" t="s">
        <v>1262</v>
      </c>
      <c r="L1427" s="32">
        <f>Data!$D1427/10^6</f>
        <v>8.3636359999999996</v>
      </c>
    </row>
    <row r="1428" spans="1:12" x14ac:dyDescent="0.25">
      <c r="A1428" s="29" t="s">
        <v>89</v>
      </c>
      <c r="B1428" s="15" t="s">
        <v>365</v>
      </c>
      <c r="C1428" s="15" t="s">
        <v>149</v>
      </c>
      <c r="D1428" s="16">
        <v>14504175</v>
      </c>
      <c r="E1428" s="17">
        <v>45444</v>
      </c>
      <c r="F1428" s="18">
        <f>MONTH(Data!$E1428)</f>
        <v>6</v>
      </c>
      <c r="G1428" s="16">
        <f>YEAR(Data!$E1428)</f>
        <v>2024</v>
      </c>
      <c r="H1428" s="15" t="s">
        <v>11</v>
      </c>
      <c r="I1428" s="15" t="str">
        <f t="shared" si="22"/>
        <v>Trường học</v>
      </c>
      <c r="J1428" s="15" t="s">
        <v>1285</v>
      </c>
      <c r="K1428" s="15" t="s">
        <v>1262</v>
      </c>
      <c r="L1428" s="32">
        <f>Data!$D1428/10^6</f>
        <v>14.504175</v>
      </c>
    </row>
    <row r="1429" spans="1:12" x14ac:dyDescent="0.25">
      <c r="A1429" s="29" t="s">
        <v>95</v>
      </c>
      <c r="B1429" s="15" t="s">
        <v>383</v>
      </c>
      <c r="C1429" s="15" t="s">
        <v>14</v>
      </c>
      <c r="D1429" s="16">
        <v>67700745</v>
      </c>
      <c r="E1429" s="17">
        <v>45444</v>
      </c>
      <c r="F1429" s="18">
        <f>MONTH(Data!$E1429)</f>
        <v>6</v>
      </c>
      <c r="G1429" s="16">
        <f>YEAR(Data!$E1429)</f>
        <v>2024</v>
      </c>
      <c r="H1429" s="15" t="s">
        <v>35</v>
      </c>
      <c r="I1429" s="15" t="str">
        <f t="shared" si="22"/>
        <v>Trường học</v>
      </c>
      <c r="J1429" s="15" t="s">
        <v>1284</v>
      </c>
      <c r="K1429" s="15" t="s">
        <v>1266</v>
      </c>
      <c r="L1429" s="32">
        <f>Data!$D1429/10^6</f>
        <v>67.700744999999998</v>
      </c>
    </row>
    <row r="1430" spans="1:12" x14ac:dyDescent="0.25">
      <c r="A1430" s="29" t="s">
        <v>75</v>
      </c>
      <c r="B1430" s="15" t="s">
        <v>368</v>
      </c>
      <c r="C1430" s="15" t="s">
        <v>149</v>
      </c>
      <c r="D1430" s="16">
        <v>9000000</v>
      </c>
      <c r="E1430" s="17">
        <v>45444</v>
      </c>
      <c r="F1430" s="18">
        <f>MONTH(Data!$E1430)</f>
        <v>6</v>
      </c>
      <c r="G1430" s="16">
        <f>YEAR(Data!$E1430)</f>
        <v>2024</v>
      </c>
      <c r="H1430" s="15" t="s">
        <v>15</v>
      </c>
      <c r="I1430" s="15" t="str">
        <f t="shared" si="22"/>
        <v>Trường học</v>
      </c>
      <c r="J1430" s="15" t="s">
        <v>1285</v>
      </c>
      <c r="K1430" s="15" t="s">
        <v>1262</v>
      </c>
      <c r="L1430" s="32">
        <f>Data!$D1430/10^6</f>
        <v>9</v>
      </c>
    </row>
    <row r="1431" spans="1:12" x14ac:dyDescent="0.25">
      <c r="A1431" s="29" t="s">
        <v>62</v>
      </c>
      <c r="B1431" s="15" t="s">
        <v>376</v>
      </c>
      <c r="C1431" s="15" t="s">
        <v>10</v>
      </c>
      <c r="D1431" s="16">
        <v>9818182</v>
      </c>
      <c r="E1431" s="17">
        <v>45444</v>
      </c>
      <c r="F1431" s="18">
        <f>MONTH(Data!$E1431)</f>
        <v>6</v>
      </c>
      <c r="G1431" s="16">
        <f>YEAR(Data!$E1431)</f>
        <v>2024</v>
      </c>
      <c r="H1431" s="15" t="s">
        <v>15</v>
      </c>
      <c r="I1431" s="15" t="str">
        <f t="shared" si="22"/>
        <v>Trường học</v>
      </c>
      <c r="J1431" s="15" t="s">
        <v>1284</v>
      </c>
      <c r="K1431" s="15" t="s">
        <v>1262</v>
      </c>
      <c r="L1431" s="32">
        <f>Data!$D1431/10^6</f>
        <v>9.8181820000000002</v>
      </c>
    </row>
    <row r="1432" spans="1:12" x14ac:dyDescent="0.25">
      <c r="A1432" s="29" t="s">
        <v>92</v>
      </c>
      <c r="B1432" s="15" t="s">
        <v>373</v>
      </c>
      <c r="C1432" s="15" t="s">
        <v>14</v>
      </c>
      <c r="D1432" s="16">
        <v>43545455</v>
      </c>
      <c r="E1432" s="17">
        <v>45444</v>
      </c>
      <c r="F1432" s="18">
        <f>MONTH(Data!$E1432)</f>
        <v>6</v>
      </c>
      <c r="G1432" s="16">
        <f>YEAR(Data!$E1432)</f>
        <v>2024</v>
      </c>
      <c r="H1432" s="15" t="s">
        <v>29</v>
      </c>
      <c r="I1432" s="15" t="str">
        <f t="shared" si="22"/>
        <v>Trường học</v>
      </c>
      <c r="J1432" s="15" t="s">
        <v>1285</v>
      </c>
      <c r="K1432" s="15" t="s">
        <v>1275</v>
      </c>
      <c r="L1432" s="32">
        <f>Data!$D1432/10^6</f>
        <v>43.545454999999997</v>
      </c>
    </row>
    <row r="1433" spans="1:12" x14ac:dyDescent="0.25">
      <c r="A1433" s="29" t="s">
        <v>45</v>
      </c>
      <c r="B1433" s="15" t="s">
        <v>372</v>
      </c>
      <c r="C1433" s="15" t="s">
        <v>10</v>
      </c>
      <c r="D1433" s="16">
        <v>11287636</v>
      </c>
      <c r="E1433" s="17">
        <v>45444</v>
      </c>
      <c r="F1433" s="18">
        <f>MONTH(Data!$E1433)</f>
        <v>6</v>
      </c>
      <c r="G1433" s="16">
        <f>YEAR(Data!$E1433)</f>
        <v>2024</v>
      </c>
      <c r="H1433" s="15" t="s">
        <v>29</v>
      </c>
      <c r="I1433" s="15" t="str">
        <f t="shared" si="22"/>
        <v>Trường học</v>
      </c>
      <c r="J1433" s="15" t="s">
        <v>1284</v>
      </c>
      <c r="K1433" s="15" t="s">
        <v>1262</v>
      </c>
      <c r="L1433" s="32">
        <f>Data!$D1433/10^6</f>
        <v>11.287635999999999</v>
      </c>
    </row>
    <row r="1434" spans="1:12" x14ac:dyDescent="0.25">
      <c r="A1434" s="29" t="s">
        <v>74</v>
      </c>
      <c r="B1434" s="15" t="s">
        <v>290</v>
      </c>
      <c r="C1434" s="15" t="s">
        <v>149</v>
      </c>
      <c r="D1434" s="16">
        <v>88763455</v>
      </c>
      <c r="E1434" s="17">
        <v>45444</v>
      </c>
      <c r="F1434" s="18">
        <f>MONTH(Data!$E1434)</f>
        <v>6</v>
      </c>
      <c r="G1434" s="16">
        <f>YEAR(Data!$E1434)</f>
        <v>2024</v>
      </c>
      <c r="H1434" s="15" t="s">
        <v>11</v>
      </c>
      <c r="I1434" s="15" t="str">
        <f t="shared" si="22"/>
        <v>Trường học</v>
      </c>
      <c r="J1434" s="15" t="s">
        <v>1285</v>
      </c>
      <c r="K1434" s="15" t="s">
        <v>1266</v>
      </c>
      <c r="L1434" s="32">
        <f>Data!$D1434/10^6</f>
        <v>88.763454999999993</v>
      </c>
    </row>
    <row r="1435" spans="1:12" x14ac:dyDescent="0.25">
      <c r="A1435" s="29" t="s">
        <v>45</v>
      </c>
      <c r="B1435" s="15" t="s">
        <v>335</v>
      </c>
      <c r="C1435" s="15" t="s">
        <v>149</v>
      </c>
      <c r="D1435" s="16">
        <v>79104545</v>
      </c>
      <c r="E1435" s="17">
        <v>45474</v>
      </c>
      <c r="F1435" s="18">
        <f>MONTH(Data!$E1435)</f>
        <v>7</v>
      </c>
      <c r="G1435" s="16">
        <f>YEAR(Data!$E1435)</f>
        <v>2024</v>
      </c>
      <c r="H1435" s="15" t="s">
        <v>29</v>
      </c>
      <c r="I1435" s="15" t="str">
        <f t="shared" si="22"/>
        <v>Bệnh viện</v>
      </c>
      <c r="J1435" s="15" t="s">
        <v>1284</v>
      </c>
      <c r="K1435" s="15" t="s">
        <v>1264</v>
      </c>
      <c r="L1435" s="32">
        <f>Data!$D1435/10^6</f>
        <v>79.104545000000002</v>
      </c>
    </row>
    <row r="1436" spans="1:12" x14ac:dyDescent="0.25">
      <c r="A1436" s="29" t="s">
        <v>71</v>
      </c>
      <c r="B1436" s="15" t="s">
        <v>1025</v>
      </c>
      <c r="C1436" s="15" t="s">
        <v>10</v>
      </c>
      <c r="D1436" s="16">
        <v>116021000</v>
      </c>
      <c r="E1436" s="17">
        <v>45474</v>
      </c>
      <c r="F1436" s="18">
        <f>MONTH(Data!$E1436)</f>
        <v>7</v>
      </c>
      <c r="G1436" s="16">
        <f>YEAR(Data!$E1436)</f>
        <v>2024</v>
      </c>
      <c r="H1436" s="15" t="s">
        <v>11</v>
      </c>
      <c r="I1436" s="15" t="str">
        <f t="shared" si="22"/>
        <v>Doanh nghiệp</v>
      </c>
      <c r="J1436" s="15" t="s">
        <v>1285</v>
      </c>
      <c r="K1436" s="15" t="s">
        <v>1262</v>
      </c>
      <c r="L1436" s="32">
        <f>Data!$D1436/10^6</f>
        <v>116.021</v>
      </c>
    </row>
    <row r="1437" spans="1:12" x14ac:dyDescent="0.25">
      <c r="A1437" s="29" t="s">
        <v>30</v>
      </c>
      <c r="B1437" s="15" t="s">
        <v>1066</v>
      </c>
      <c r="C1437" s="15" t="s">
        <v>10</v>
      </c>
      <c r="D1437" s="16">
        <v>37806909</v>
      </c>
      <c r="E1437" s="17">
        <v>45474</v>
      </c>
      <c r="F1437" s="18">
        <f>MONTH(Data!$E1437)</f>
        <v>7</v>
      </c>
      <c r="G1437" s="16">
        <f>YEAR(Data!$E1437)</f>
        <v>2024</v>
      </c>
      <c r="H1437" s="15" t="s">
        <v>32</v>
      </c>
      <c r="I1437" s="15" t="str">
        <f t="shared" si="22"/>
        <v>Doanh nghiệp</v>
      </c>
      <c r="J1437" s="15" t="s">
        <v>1284</v>
      </c>
      <c r="K1437" s="15" t="s">
        <v>1263</v>
      </c>
      <c r="L1437" s="32">
        <f>Data!$D1437/10^6</f>
        <v>37.806908999999997</v>
      </c>
    </row>
    <row r="1438" spans="1:12" x14ac:dyDescent="0.25">
      <c r="A1438" s="29" t="s">
        <v>85</v>
      </c>
      <c r="B1438" s="15" t="s">
        <v>1070</v>
      </c>
      <c r="C1438" s="15" t="s">
        <v>10</v>
      </c>
      <c r="D1438" s="16">
        <v>531263573</v>
      </c>
      <c r="E1438" s="17">
        <v>45474</v>
      </c>
      <c r="F1438" s="18">
        <f>MONTH(Data!$E1438)</f>
        <v>7</v>
      </c>
      <c r="G1438" s="16">
        <f>YEAR(Data!$E1438)</f>
        <v>2024</v>
      </c>
      <c r="H1438" s="15" t="s">
        <v>15</v>
      </c>
      <c r="I1438" s="15" t="str">
        <f t="shared" si="22"/>
        <v>Doanh nghiệp</v>
      </c>
      <c r="J1438" s="15" t="s">
        <v>1285</v>
      </c>
      <c r="K1438" s="15" t="s">
        <v>1267</v>
      </c>
      <c r="L1438" s="32">
        <f>Data!$D1438/10^6</f>
        <v>531.26357299999995</v>
      </c>
    </row>
    <row r="1439" spans="1:12" x14ac:dyDescent="0.25">
      <c r="A1439" s="29" t="s">
        <v>68</v>
      </c>
      <c r="B1439" s="15" t="s">
        <v>1052</v>
      </c>
      <c r="C1439" s="15" t="s">
        <v>149</v>
      </c>
      <c r="D1439" s="16">
        <v>95620000</v>
      </c>
      <c r="E1439" s="17">
        <v>45474</v>
      </c>
      <c r="F1439" s="18">
        <f>MONTH(Data!$E1439)</f>
        <v>7</v>
      </c>
      <c r="G1439" s="16">
        <f>YEAR(Data!$E1439)</f>
        <v>2024</v>
      </c>
      <c r="H1439" s="15" t="s">
        <v>22</v>
      </c>
      <c r="I1439" s="15" t="str">
        <f t="shared" si="22"/>
        <v>Doanh nghiệp</v>
      </c>
      <c r="J1439" s="15" t="s">
        <v>1284</v>
      </c>
      <c r="K1439" s="15" t="s">
        <v>1262</v>
      </c>
      <c r="L1439" s="32">
        <f>Data!$D1439/10^6</f>
        <v>95.62</v>
      </c>
    </row>
    <row r="1440" spans="1:12" x14ac:dyDescent="0.25">
      <c r="A1440" s="29" t="s">
        <v>157</v>
      </c>
      <c r="B1440" s="15" t="s">
        <v>1056</v>
      </c>
      <c r="C1440" s="15" t="s">
        <v>14</v>
      </c>
      <c r="D1440" s="16">
        <v>21060000</v>
      </c>
      <c r="E1440" s="17">
        <v>45474</v>
      </c>
      <c r="F1440" s="18">
        <f>MONTH(Data!$E1440)</f>
        <v>7</v>
      </c>
      <c r="G1440" s="16">
        <f>YEAR(Data!$E1440)</f>
        <v>2024</v>
      </c>
      <c r="H1440" s="15" t="s">
        <v>32</v>
      </c>
      <c r="I1440" s="15" t="str">
        <f t="shared" si="22"/>
        <v>Doanh nghiệp</v>
      </c>
      <c r="J1440" s="15" t="s">
        <v>1285</v>
      </c>
      <c r="K1440" s="15" t="s">
        <v>1272</v>
      </c>
      <c r="L1440" s="32">
        <f>Data!$D1440/10^6</f>
        <v>21.06</v>
      </c>
    </row>
    <row r="1441" spans="1:12" x14ac:dyDescent="0.25">
      <c r="A1441" s="29" t="s">
        <v>36</v>
      </c>
      <c r="B1441" s="15" t="s">
        <v>1057</v>
      </c>
      <c r="C1441" s="15" t="s">
        <v>10</v>
      </c>
      <c r="D1441" s="16">
        <v>13310000</v>
      </c>
      <c r="E1441" s="17">
        <v>45474</v>
      </c>
      <c r="F1441" s="18">
        <f>MONTH(Data!$E1441)</f>
        <v>7</v>
      </c>
      <c r="G1441" s="16">
        <f>YEAR(Data!$E1441)</f>
        <v>2024</v>
      </c>
      <c r="H1441" s="15" t="s">
        <v>15</v>
      </c>
      <c r="I1441" s="15" t="str">
        <f t="shared" si="22"/>
        <v>Doanh nghiệp</v>
      </c>
      <c r="J1441" s="15" t="s">
        <v>1284</v>
      </c>
      <c r="K1441" s="15" t="s">
        <v>1263</v>
      </c>
      <c r="L1441" s="32">
        <f>Data!$D1441/10^6</f>
        <v>13.31</v>
      </c>
    </row>
    <row r="1442" spans="1:12" x14ac:dyDescent="0.25">
      <c r="A1442" s="29" t="s">
        <v>75</v>
      </c>
      <c r="B1442" s="15" t="s">
        <v>1103</v>
      </c>
      <c r="C1442" s="15" t="s">
        <v>10</v>
      </c>
      <c r="D1442" s="16">
        <v>3240000</v>
      </c>
      <c r="E1442" s="17">
        <v>45474</v>
      </c>
      <c r="F1442" s="18">
        <f>MONTH(Data!$E1442)</f>
        <v>7</v>
      </c>
      <c r="G1442" s="16">
        <f>YEAR(Data!$E1442)</f>
        <v>2024</v>
      </c>
      <c r="H1442" s="15" t="s">
        <v>15</v>
      </c>
      <c r="I1442" s="15" t="str">
        <f t="shared" si="22"/>
        <v>Doanh nghiệp</v>
      </c>
      <c r="J1442" s="15" t="s">
        <v>1285</v>
      </c>
      <c r="K1442" s="15" t="s">
        <v>1262</v>
      </c>
      <c r="L1442" s="32">
        <f>Data!$D1442/10^6</f>
        <v>3.24</v>
      </c>
    </row>
    <row r="1443" spans="1:12" x14ac:dyDescent="0.25">
      <c r="A1443" s="29" t="s">
        <v>30</v>
      </c>
      <c r="B1443" s="15" t="s">
        <v>1049</v>
      </c>
      <c r="C1443" s="15" t="s">
        <v>149</v>
      </c>
      <c r="D1443" s="16">
        <v>89934545</v>
      </c>
      <c r="E1443" s="17">
        <v>45474</v>
      </c>
      <c r="F1443" s="18">
        <f>MONTH(Data!$E1443)</f>
        <v>7</v>
      </c>
      <c r="G1443" s="16">
        <f>YEAR(Data!$E1443)</f>
        <v>2024</v>
      </c>
      <c r="H1443" s="15" t="s">
        <v>32</v>
      </c>
      <c r="I1443" s="15" t="str">
        <f t="shared" si="22"/>
        <v>Doanh nghiệp</v>
      </c>
      <c r="J1443" s="15" t="s">
        <v>1284</v>
      </c>
      <c r="K1443" s="15" t="s">
        <v>1262</v>
      </c>
      <c r="L1443" s="32">
        <f>Data!$D1443/10^6</f>
        <v>89.934545</v>
      </c>
    </row>
    <row r="1444" spans="1:12" x14ac:dyDescent="0.25">
      <c r="A1444" s="29" t="s">
        <v>21</v>
      </c>
      <c r="B1444" s="15" t="s">
        <v>1059</v>
      </c>
      <c r="C1444" s="15" t="s">
        <v>10</v>
      </c>
      <c r="D1444" s="16">
        <v>359928000</v>
      </c>
      <c r="E1444" s="17">
        <v>45474</v>
      </c>
      <c r="F1444" s="18">
        <f>MONTH(Data!$E1444)</f>
        <v>7</v>
      </c>
      <c r="G1444" s="16">
        <f>YEAR(Data!$E1444)</f>
        <v>2024</v>
      </c>
      <c r="H1444" s="15" t="s">
        <v>22</v>
      </c>
      <c r="I1444" s="15" t="str">
        <f t="shared" si="22"/>
        <v>Doanh nghiệp</v>
      </c>
      <c r="J1444" s="15" t="s">
        <v>1285</v>
      </c>
      <c r="K1444" s="15" t="s">
        <v>1267</v>
      </c>
      <c r="L1444" s="32">
        <f>Data!$D1444/10^6</f>
        <v>359.928</v>
      </c>
    </row>
    <row r="1445" spans="1:12" x14ac:dyDescent="0.25">
      <c r="A1445" s="29" t="s">
        <v>39</v>
      </c>
      <c r="B1445" s="15" t="s">
        <v>1093</v>
      </c>
      <c r="C1445" s="15" t="s">
        <v>149</v>
      </c>
      <c r="D1445" s="16">
        <v>562970000</v>
      </c>
      <c r="E1445" s="17">
        <v>45474</v>
      </c>
      <c r="F1445" s="18">
        <f>MONTH(Data!$E1445)</f>
        <v>7</v>
      </c>
      <c r="G1445" s="16">
        <f>YEAR(Data!$E1445)</f>
        <v>2024</v>
      </c>
      <c r="H1445" s="15" t="s">
        <v>42</v>
      </c>
      <c r="I1445" s="15" t="str">
        <f t="shared" si="22"/>
        <v>Doanh nghiệp</v>
      </c>
      <c r="J1445" s="15" t="s">
        <v>1284</v>
      </c>
      <c r="K1445" s="15" t="s">
        <v>1262</v>
      </c>
      <c r="L1445" s="32">
        <f>Data!$D1445/10^6</f>
        <v>562.97</v>
      </c>
    </row>
    <row r="1446" spans="1:12" x14ac:dyDescent="0.25">
      <c r="A1446" s="29" t="s">
        <v>39</v>
      </c>
      <c r="B1446" s="15" t="s">
        <v>1094</v>
      </c>
      <c r="C1446" s="15" t="s">
        <v>149</v>
      </c>
      <c r="D1446" s="16">
        <v>551430000</v>
      </c>
      <c r="E1446" s="17">
        <v>45474</v>
      </c>
      <c r="F1446" s="18">
        <f>MONTH(Data!$E1446)</f>
        <v>7</v>
      </c>
      <c r="G1446" s="16">
        <f>YEAR(Data!$E1446)</f>
        <v>2024</v>
      </c>
      <c r="H1446" s="15" t="s">
        <v>42</v>
      </c>
      <c r="I1446" s="15" t="str">
        <f t="shared" si="22"/>
        <v>Doanh nghiệp</v>
      </c>
      <c r="J1446" s="15" t="s">
        <v>1285</v>
      </c>
      <c r="K1446" s="15" t="s">
        <v>1262</v>
      </c>
      <c r="L1446" s="32">
        <f>Data!$D1446/10^6</f>
        <v>551.42999999999995</v>
      </c>
    </row>
    <row r="1447" spans="1:12" x14ac:dyDescent="0.25">
      <c r="A1447" s="29" t="s">
        <v>157</v>
      </c>
      <c r="B1447" s="15" t="s">
        <v>1121</v>
      </c>
      <c r="C1447" s="15" t="s">
        <v>46</v>
      </c>
      <c r="D1447" s="16">
        <v>443682027</v>
      </c>
      <c r="E1447" s="17">
        <v>45474</v>
      </c>
      <c r="F1447" s="18">
        <f>MONTH(Data!$E1447)</f>
        <v>7</v>
      </c>
      <c r="G1447" s="16">
        <f>YEAR(Data!$E1447)</f>
        <v>2024</v>
      </c>
      <c r="H1447" s="15" t="s">
        <v>32</v>
      </c>
      <c r="I1447" s="15" t="str">
        <f t="shared" si="22"/>
        <v>Doanh nghiệp</v>
      </c>
      <c r="J1447" s="15" t="s">
        <v>1284</v>
      </c>
      <c r="K1447" s="15" t="s">
        <v>1265</v>
      </c>
      <c r="L1447" s="32">
        <f>Data!$D1447/10^6</f>
        <v>443.68202700000001</v>
      </c>
    </row>
    <row r="1448" spans="1:12" x14ac:dyDescent="0.25">
      <c r="A1448" s="29" t="s">
        <v>73</v>
      </c>
      <c r="B1448" s="15" t="s">
        <v>1034</v>
      </c>
      <c r="C1448" s="15" t="s">
        <v>41</v>
      </c>
      <c r="D1448" s="16">
        <v>105944909</v>
      </c>
      <c r="E1448" s="17">
        <v>45474</v>
      </c>
      <c r="F1448" s="18">
        <f>MONTH(Data!$E1448)</f>
        <v>7</v>
      </c>
      <c r="G1448" s="16">
        <f>YEAR(Data!$E1448)</f>
        <v>2024</v>
      </c>
      <c r="H1448" s="15" t="s">
        <v>32</v>
      </c>
      <c r="I1448" s="15" t="str">
        <f t="shared" si="22"/>
        <v>Doanh nghiệp</v>
      </c>
      <c r="J1448" s="15" t="s">
        <v>1285</v>
      </c>
      <c r="K1448" s="15" t="s">
        <v>1269</v>
      </c>
      <c r="L1448" s="32">
        <f>Data!$D1448/10^6</f>
        <v>105.944909</v>
      </c>
    </row>
    <row r="1449" spans="1:12" x14ac:dyDescent="0.25">
      <c r="A1449" s="29" t="s">
        <v>209</v>
      </c>
      <c r="B1449" s="15" t="s">
        <v>1039</v>
      </c>
      <c r="C1449" s="15" t="s">
        <v>46</v>
      </c>
      <c r="D1449" s="16">
        <v>1801818182</v>
      </c>
      <c r="E1449" s="17">
        <v>45474</v>
      </c>
      <c r="F1449" s="18">
        <f>MONTH(Data!$E1449)</f>
        <v>7</v>
      </c>
      <c r="G1449" s="16">
        <f>YEAR(Data!$E1449)</f>
        <v>2024</v>
      </c>
      <c r="H1449" s="15" t="s">
        <v>32</v>
      </c>
      <c r="I1449" s="15" t="str">
        <f t="shared" si="22"/>
        <v>Doanh nghiệp</v>
      </c>
      <c r="J1449" s="15" t="s">
        <v>1284</v>
      </c>
      <c r="K1449" s="15" t="s">
        <v>1265</v>
      </c>
      <c r="L1449" s="32">
        <f>Data!$D1449/10^6</f>
        <v>1801.818182</v>
      </c>
    </row>
    <row r="1450" spans="1:12" x14ac:dyDescent="0.25">
      <c r="A1450" s="29" t="s">
        <v>107</v>
      </c>
      <c r="B1450" s="15" t="s">
        <v>1046</v>
      </c>
      <c r="C1450" s="15" t="s">
        <v>149</v>
      </c>
      <c r="D1450" s="16">
        <v>357564044</v>
      </c>
      <c r="E1450" s="17">
        <v>45474</v>
      </c>
      <c r="F1450" s="18">
        <f>MONTH(Data!$E1450)</f>
        <v>7</v>
      </c>
      <c r="G1450" s="16">
        <f>YEAR(Data!$E1450)</f>
        <v>2024</v>
      </c>
      <c r="H1450" s="15" t="s">
        <v>42</v>
      </c>
      <c r="I1450" s="15" t="str">
        <f t="shared" si="22"/>
        <v>Doanh nghiệp</v>
      </c>
      <c r="J1450" s="15" t="s">
        <v>1285</v>
      </c>
      <c r="K1450" s="15" t="s">
        <v>1265</v>
      </c>
      <c r="L1450" s="32">
        <f>Data!$D1450/10^6</f>
        <v>357.56404400000002</v>
      </c>
    </row>
    <row r="1451" spans="1:12" x14ac:dyDescent="0.25">
      <c r="A1451" s="29" t="s">
        <v>111</v>
      </c>
      <c r="B1451" s="15" t="s">
        <v>1055</v>
      </c>
      <c r="C1451" s="15" t="s">
        <v>10</v>
      </c>
      <c r="D1451" s="16">
        <v>123640455</v>
      </c>
      <c r="E1451" s="17">
        <v>45474</v>
      </c>
      <c r="F1451" s="18">
        <f>MONTH(Data!$E1451)</f>
        <v>7</v>
      </c>
      <c r="G1451" s="16">
        <f>YEAR(Data!$E1451)</f>
        <v>2024</v>
      </c>
      <c r="H1451" s="15" t="s">
        <v>22</v>
      </c>
      <c r="I1451" s="15" t="str">
        <f t="shared" si="22"/>
        <v>Doanh nghiệp</v>
      </c>
      <c r="J1451" s="15" t="s">
        <v>1284</v>
      </c>
      <c r="K1451" s="15" t="s">
        <v>1263</v>
      </c>
      <c r="L1451" s="32">
        <f>Data!$D1451/10^6</f>
        <v>123.640455</v>
      </c>
    </row>
    <row r="1452" spans="1:12" x14ac:dyDescent="0.25">
      <c r="A1452" s="29" t="s">
        <v>209</v>
      </c>
      <c r="B1452" s="15" t="s">
        <v>1063</v>
      </c>
      <c r="C1452" s="15" t="s">
        <v>46</v>
      </c>
      <c r="D1452" s="16">
        <v>1737818182</v>
      </c>
      <c r="E1452" s="17">
        <v>45474</v>
      </c>
      <c r="F1452" s="18">
        <f>MONTH(Data!$E1452)</f>
        <v>7</v>
      </c>
      <c r="G1452" s="16">
        <f>YEAR(Data!$E1452)</f>
        <v>2024</v>
      </c>
      <c r="H1452" s="15" t="s">
        <v>32</v>
      </c>
      <c r="I1452" s="15" t="str">
        <f t="shared" si="22"/>
        <v>Doanh nghiệp</v>
      </c>
      <c r="J1452" s="15" t="s">
        <v>1285</v>
      </c>
      <c r="K1452" s="15" t="s">
        <v>1265</v>
      </c>
      <c r="L1452" s="32">
        <f>Data!$D1452/10^6</f>
        <v>1737.818182</v>
      </c>
    </row>
    <row r="1453" spans="1:12" x14ac:dyDescent="0.25">
      <c r="A1453" s="29" t="s">
        <v>52</v>
      </c>
      <c r="B1453" s="15" t="s">
        <v>1090</v>
      </c>
      <c r="C1453" s="15" t="s">
        <v>149</v>
      </c>
      <c r="D1453" s="16">
        <v>152200000</v>
      </c>
      <c r="E1453" s="17">
        <v>45474</v>
      </c>
      <c r="F1453" s="18">
        <f>MONTH(Data!$E1453)</f>
        <v>7</v>
      </c>
      <c r="G1453" s="16">
        <f>YEAR(Data!$E1453)</f>
        <v>2024</v>
      </c>
      <c r="H1453" s="15" t="s">
        <v>35</v>
      </c>
      <c r="I1453" s="15" t="str">
        <f t="shared" si="22"/>
        <v>Doanh nghiệp</v>
      </c>
      <c r="J1453" s="15" t="s">
        <v>1284</v>
      </c>
      <c r="K1453" s="15" t="s">
        <v>1264</v>
      </c>
      <c r="L1453" s="32">
        <f>Data!$D1453/10^6</f>
        <v>152.19999999999999</v>
      </c>
    </row>
    <row r="1454" spans="1:12" x14ac:dyDescent="0.25">
      <c r="A1454" s="29" t="s">
        <v>52</v>
      </c>
      <c r="B1454" s="15" t="s">
        <v>1098</v>
      </c>
      <c r="C1454" s="15" t="s">
        <v>10</v>
      </c>
      <c r="D1454" s="16">
        <v>27127273</v>
      </c>
      <c r="E1454" s="17">
        <v>45474</v>
      </c>
      <c r="F1454" s="18">
        <f>MONTH(Data!$E1454)</f>
        <v>7</v>
      </c>
      <c r="G1454" s="16">
        <f>YEAR(Data!$E1454)</f>
        <v>2024</v>
      </c>
      <c r="H1454" s="15" t="s">
        <v>35</v>
      </c>
      <c r="I1454" s="15" t="str">
        <f t="shared" si="22"/>
        <v>Doanh nghiệp</v>
      </c>
      <c r="J1454" s="15" t="s">
        <v>1285</v>
      </c>
      <c r="K1454" s="15" t="s">
        <v>1263</v>
      </c>
      <c r="L1454" s="32">
        <f>Data!$D1454/10^6</f>
        <v>27.127272999999999</v>
      </c>
    </row>
    <row r="1455" spans="1:12" x14ac:dyDescent="0.25">
      <c r="A1455" s="29" t="s">
        <v>30</v>
      </c>
      <c r="B1455" s="15" t="s">
        <v>1099</v>
      </c>
      <c r="C1455" s="15" t="s">
        <v>10</v>
      </c>
      <c r="D1455" s="16">
        <v>357057586</v>
      </c>
      <c r="E1455" s="17">
        <v>45474</v>
      </c>
      <c r="F1455" s="18">
        <f>MONTH(Data!$E1455)</f>
        <v>7</v>
      </c>
      <c r="G1455" s="16">
        <f>YEAR(Data!$E1455)</f>
        <v>2024</v>
      </c>
      <c r="H1455" s="15" t="s">
        <v>32</v>
      </c>
      <c r="I1455" s="15" t="str">
        <f t="shared" si="22"/>
        <v>Doanh nghiệp</v>
      </c>
      <c r="J1455" s="15" t="s">
        <v>1284</v>
      </c>
      <c r="K1455" s="15" t="s">
        <v>1263</v>
      </c>
      <c r="L1455" s="32">
        <f>Data!$D1455/10^6</f>
        <v>357.05758600000001</v>
      </c>
    </row>
    <row r="1456" spans="1:12" x14ac:dyDescent="0.25">
      <c r="A1456" s="29" t="s">
        <v>74</v>
      </c>
      <c r="B1456" s="15" t="s">
        <v>1114</v>
      </c>
      <c r="C1456" s="15" t="s">
        <v>149</v>
      </c>
      <c r="D1456" s="16">
        <v>41815072</v>
      </c>
      <c r="E1456" s="17">
        <v>45474</v>
      </c>
      <c r="F1456" s="18">
        <f>MONTH(Data!$E1456)</f>
        <v>7</v>
      </c>
      <c r="G1456" s="16">
        <f>YEAR(Data!$E1456)</f>
        <v>2024</v>
      </c>
      <c r="H1456" s="15" t="s">
        <v>11</v>
      </c>
      <c r="I1456" s="15" t="str">
        <f t="shared" si="22"/>
        <v>Doanh nghiệp</v>
      </c>
      <c r="J1456" s="15" t="s">
        <v>1285</v>
      </c>
      <c r="K1456" s="15" t="s">
        <v>1278</v>
      </c>
      <c r="L1456" s="32">
        <f>Data!$D1456/10^6</f>
        <v>41.815072000000001</v>
      </c>
    </row>
    <row r="1457" spans="1:12" x14ac:dyDescent="0.25">
      <c r="A1457" s="29" t="s">
        <v>74</v>
      </c>
      <c r="B1457" s="15" t="s">
        <v>1025</v>
      </c>
      <c r="C1457" s="15" t="s">
        <v>149</v>
      </c>
      <c r="D1457" s="16">
        <v>19090909</v>
      </c>
      <c r="E1457" s="17">
        <v>45474</v>
      </c>
      <c r="F1457" s="18">
        <f>MONTH(Data!$E1457)</f>
        <v>7</v>
      </c>
      <c r="G1457" s="16">
        <f>YEAR(Data!$E1457)</f>
        <v>2024</v>
      </c>
      <c r="H1457" s="15" t="s">
        <v>11</v>
      </c>
      <c r="I1457" s="15" t="str">
        <f t="shared" si="22"/>
        <v>Doanh nghiệp</v>
      </c>
      <c r="J1457" s="15" t="s">
        <v>1284</v>
      </c>
      <c r="K1457" s="15" t="s">
        <v>1263</v>
      </c>
      <c r="L1457" s="32">
        <f>Data!$D1457/10^6</f>
        <v>19.090909</v>
      </c>
    </row>
    <row r="1458" spans="1:12" x14ac:dyDescent="0.25">
      <c r="A1458" s="29" t="s">
        <v>77</v>
      </c>
      <c r="B1458" s="15" t="s">
        <v>1029</v>
      </c>
      <c r="C1458" s="15" t="s">
        <v>10</v>
      </c>
      <c r="D1458" s="16">
        <v>55974282</v>
      </c>
      <c r="E1458" s="17">
        <v>45474</v>
      </c>
      <c r="F1458" s="18">
        <f>MONTH(Data!$E1458)</f>
        <v>7</v>
      </c>
      <c r="G1458" s="16">
        <f>YEAR(Data!$E1458)</f>
        <v>2024</v>
      </c>
      <c r="H1458" s="15" t="s">
        <v>35</v>
      </c>
      <c r="I1458" s="15" t="str">
        <f t="shared" si="22"/>
        <v>Doanh nghiệp</v>
      </c>
      <c r="J1458" s="15" t="s">
        <v>1285</v>
      </c>
      <c r="K1458" s="15" t="s">
        <v>1263</v>
      </c>
      <c r="L1458" s="32">
        <f>Data!$D1458/10^6</f>
        <v>55.974282000000002</v>
      </c>
    </row>
    <row r="1459" spans="1:12" x14ac:dyDescent="0.25">
      <c r="A1459" s="29" t="s">
        <v>23</v>
      </c>
      <c r="B1459" s="15" t="s">
        <v>1038</v>
      </c>
      <c r="C1459" s="15" t="s">
        <v>10</v>
      </c>
      <c r="D1459" s="16">
        <v>16270000</v>
      </c>
      <c r="E1459" s="17">
        <v>45474</v>
      </c>
      <c r="F1459" s="18">
        <f>MONTH(Data!$E1459)</f>
        <v>7</v>
      </c>
      <c r="G1459" s="16">
        <f>YEAR(Data!$E1459)</f>
        <v>2024</v>
      </c>
      <c r="H1459" s="15" t="s">
        <v>25</v>
      </c>
      <c r="I1459" s="15" t="str">
        <f t="shared" si="22"/>
        <v>Doanh nghiệp</v>
      </c>
      <c r="J1459" s="15" t="s">
        <v>1284</v>
      </c>
      <c r="K1459" s="15" t="s">
        <v>1263</v>
      </c>
      <c r="L1459" s="32">
        <f>Data!$D1459/10^6</f>
        <v>16.27</v>
      </c>
    </row>
    <row r="1460" spans="1:12" x14ac:dyDescent="0.25">
      <c r="A1460" s="29" t="s">
        <v>8</v>
      </c>
      <c r="B1460" s="15" t="s">
        <v>1042</v>
      </c>
      <c r="C1460" s="15" t="s">
        <v>10</v>
      </c>
      <c r="D1460" s="16">
        <v>12970909</v>
      </c>
      <c r="E1460" s="17">
        <v>45474</v>
      </c>
      <c r="F1460" s="18">
        <f>MONTH(Data!$E1460)</f>
        <v>7</v>
      </c>
      <c r="G1460" s="16">
        <f>YEAR(Data!$E1460)</f>
        <v>2024</v>
      </c>
      <c r="H1460" s="15" t="s">
        <v>11</v>
      </c>
      <c r="I1460" s="15" t="str">
        <f t="shared" si="22"/>
        <v>Doanh nghiệp</v>
      </c>
      <c r="J1460" s="15" t="s">
        <v>1285</v>
      </c>
      <c r="K1460" s="15" t="s">
        <v>1263</v>
      </c>
      <c r="L1460" s="32">
        <f>Data!$D1460/10^6</f>
        <v>12.970909000000001</v>
      </c>
    </row>
    <row r="1461" spans="1:12" x14ac:dyDescent="0.25">
      <c r="A1461" s="29" t="s">
        <v>209</v>
      </c>
      <c r="B1461" s="15" t="s">
        <v>1081</v>
      </c>
      <c r="C1461" s="15" t="s">
        <v>14</v>
      </c>
      <c r="D1461" s="16">
        <v>1666733345</v>
      </c>
      <c r="E1461" s="17">
        <v>45474</v>
      </c>
      <c r="F1461" s="18">
        <f>MONTH(Data!$E1461)</f>
        <v>7</v>
      </c>
      <c r="G1461" s="16">
        <f>YEAR(Data!$E1461)</f>
        <v>2024</v>
      </c>
      <c r="H1461" s="15" t="s">
        <v>32</v>
      </c>
      <c r="I1461" s="15" t="str">
        <f t="shared" si="22"/>
        <v>Doanh nghiệp</v>
      </c>
      <c r="J1461" s="15" t="s">
        <v>1284</v>
      </c>
      <c r="K1461" s="15" t="s">
        <v>1272</v>
      </c>
      <c r="L1461" s="32">
        <f>Data!$D1461/10^6</f>
        <v>1666.7333450000001</v>
      </c>
    </row>
    <row r="1462" spans="1:12" x14ac:dyDescent="0.25">
      <c r="A1462" s="29" t="s">
        <v>8</v>
      </c>
      <c r="B1462" s="15" t="s">
        <v>1089</v>
      </c>
      <c r="C1462" s="15" t="s">
        <v>10</v>
      </c>
      <c r="D1462" s="16">
        <v>232275600</v>
      </c>
      <c r="E1462" s="17">
        <v>45474</v>
      </c>
      <c r="F1462" s="18">
        <f>MONTH(Data!$E1462)</f>
        <v>7</v>
      </c>
      <c r="G1462" s="16">
        <f>YEAR(Data!$E1462)</f>
        <v>2024</v>
      </c>
      <c r="H1462" s="15" t="s">
        <v>11</v>
      </c>
      <c r="I1462" s="15" t="str">
        <f t="shared" si="22"/>
        <v>Doanh nghiệp</v>
      </c>
      <c r="J1462" s="15" t="s">
        <v>1285</v>
      </c>
      <c r="K1462" s="15" t="s">
        <v>1263</v>
      </c>
      <c r="L1462" s="32">
        <f>Data!$D1462/10^6</f>
        <v>232.2756</v>
      </c>
    </row>
    <row r="1463" spans="1:12" x14ac:dyDescent="0.25">
      <c r="A1463" s="29" t="s">
        <v>51</v>
      </c>
      <c r="B1463" s="15" t="s">
        <v>1092</v>
      </c>
      <c r="C1463" s="15" t="s">
        <v>10</v>
      </c>
      <c r="D1463" s="16">
        <v>21119455</v>
      </c>
      <c r="E1463" s="17">
        <v>45474</v>
      </c>
      <c r="F1463" s="18">
        <f>MONTH(Data!$E1463)</f>
        <v>7</v>
      </c>
      <c r="G1463" s="16">
        <f>YEAR(Data!$E1463)</f>
        <v>2024</v>
      </c>
      <c r="H1463" s="15" t="s">
        <v>42</v>
      </c>
      <c r="I1463" s="15" t="str">
        <f t="shared" si="22"/>
        <v>Doanh nghiệp</v>
      </c>
      <c r="J1463" s="15" t="s">
        <v>1284</v>
      </c>
      <c r="K1463" s="15" t="s">
        <v>1262</v>
      </c>
      <c r="L1463" s="32">
        <f>Data!$D1463/10^6</f>
        <v>21.119454999999999</v>
      </c>
    </row>
    <row r="1464" spans="1:12" x14ac:dyDescent="0.25">
      <c r="A1464" s="29" t="s">
        <v>23</v>
      </c>
      <c r="B1464" s="15" t="s">
        <v>1101</v>
      </c>
      <c r="C1464" s="15" t="s">
        <v>10</v>
      </c>
      <c r="D1464" s="16">
        <v>142803636</v>
      </c>
      <c r="E1464" s="17">
        <v>45474</v>
      </c>
      <c r="F1464" s="18">
        <f>MONTH(Data!$E1464)</f>
        <v>7</v>
      </c>
      <c r="G1464" s="16">
        <f>YEAR(Data!$E1464)</f>
        <v>2024</v>
      </c>
      <c r="H1464" s="15" t="s">
        <v>25</v>
      </c>
      <c r="I1464" s="15" t="str">
        <f t="shared" si="22"/>
        <v>Doanh nghiệp</v>
      </c>
      <c r="J1464" s="15" t="s">
        <v>1285</v>
      </c>
      <c r="K1464" s="15" t="s">
        <v>1263</v>
      </c>
      <c r="L1464" s="32">
        <f>Data!$D1464/10^6</f>
        <v>142.80363600000001</v>
      </c>
    </row>
    <row r="1465" spans="1:12" x14ac:dyDescent="0.25">
      <c r="A1465" s="29" t="s">
        <v>23</v>
      </c>
      <c r="B1465" s="15" t="s">
        <v>1102</v>
      </c>
      <c r="C1465" s="15" t="s">
        <v>10</v>
      </c>
      <c r="D1465" s="16">
        <v>103535500</v>
      </c>
      <c r="E1465" s="17">
        <v>45474</v>
      </c>
      <c r="F1465" s="18">
        <f>MONTH(Data!$E1465)</f>
        <v>7</v>
      </c>
      <c r="G1465" s="16">
        <f>YEAR(Data!$E1465)</f>
        <v>2024</v>
      </c>
      <c r="H1465" s="15" t="s">
        <v>25</v>
      </c>
      <c r="I1465" s="15" t="str">
        <f t="shared" si="22"/>
        <v>Doanh nghiệp</v>
      </c>
      <c r="J1465" s="15" t="s">
        <v>1284</v>
      </c>
      <c r="K1465" s="15" t="s">
        <v>1263</v>
      </c>
      <c r="L1465" s="32">
        <f>Data!$D1465/10^6</f>
        <v>103.5355</v>
      </c>
    </row>
    <row r="1466" spans="1:12" x14ac:dyDescent="0.25">
      <c r="A1466" s="29" t="s">
        <v>23</v>
      </c>
      <c r="B1466" s="15" t="s">
        <v>1103</v>
      </c>
      <c r="C1466" s="15" t="s">
        <v>10</v>
      </c>
      <c r="D1466" s="16">
        <v>75947000</v>
      </c>
      <c r="E1466" s="17">
        <v>45474</v>
      </c>
      <c r="F1466" s="18">
        <f>MONTH(Data!$E1466)</f>
        <v>7</v>
      </c>
      <c r="G1466" s="16">
        <f>YEAR(Data!$E1466)</f>
        <v>2024</v>
      </c>
      <c r="H1466" s="15" t="s">
        <v>25</v>
      </c>
      <c r="I1466" s="15" t="str">
        <f t="shared" si="22"/>
        <v>Doanh nghiệp</v>
      </c>
      <c r="J1466" s="15" t="s">
        <v>1285</v>
      </c>
      <c r="K1466" s="15" t="s">
        <v>1263</v>
      </c>
      <c r="L1466" s="32">
        <f>Data!$D1466/10^6</f>
        <v>75.947000000000003</v>
      </c>
    </row>
    <row r="1467" spans="1:12" x14ac:dyDescent="0.25">
      <c r="A1467" s="29" t="s">
        <v>23</v>
      </c>
      <c r="B1467" s="15" t="s">
        <v>1104</v>
      </c>
      <c r="C1467" s="15" t="s">
        <v>10</v>
      </c>
      <c r="D1467" s="16">
        <v>66971000</v>
      </c>
      <c r="E1467" s="17">
        <v>45474</v>
      </c>
      <c r="F1467" s="18">
        <f>MONTH(Data!$E1467)</f>
        <v>7</v>
      </c>
      <c r="G1467" s="16">
        <f>YEAR(Data!$E1467)</f>
        <v>2024</v>
      </c>
      <c r="H1467" s="15" t="s">
        <v>25</v>
      </c>
      <c r="I1467" s="15" t="str">
        <f t="shared" si="22"/>
        <v>Doanh nghiệp</v>
      </c>
      <c r="J1467" s="15" t="s">
        <v>1284</v>
      </c>
      <c r="K1467" s="15" t="s">
        <v>1263</v>
      </c>
      <c r="L1467" s="32">
        <f>Data!$D1467/10^6</f>
        <v>66.971000000000004</v>
      </c>
    </row>
    <row r="1468" spans="1:12" x14ac:dyDescent="0.25">
      <c r="A1468" s="29" t="s">
        <v>23</v>
      </c>
      <c r="B1468" s="15" t="s">
        <v>1105</v>
      </c>
      <c r="C1468" s="15" t="s">
        <v>10</v>
      </c>
      <c r="D1468" s="16">
        <v>115341000</v>
      </c>
      <c r="E1468" s="17">
        <v>45474</v>
      </c>
      <c r="F1468" s="18">
        <f>MONTH(Data!$E1468)</f>
        <v>7</v>
      </c>
      <c r="G1468" s="16">
        <f>YEAR(Data!$E1468)</f>
        <v>2024</v>
      </c>
      <c r="H1468" s="15" t="s">
        <v>25</v>
      </c>
      <c r="I1468" s="15" t="str">
        <f t="shared" si="22"/>
        <v>Doanh nghiệp</v>
      </c>
      <c r="J1468" s="15" t="s">
        <v>1285</v>
      </c>
      <c r="K1468" s="15" t="s">
        <v>1263</v>
      </c>
      <c r="L1468" s="32">
        <f>Data!$D1468/10^6</f>
        <v>115.34099999999999</v>
      </c>
    </row>
    <row r="1469" spans="1:12" x14ac:dyDescent="0.25">
      <c r="A1469" s="29" t="s">
        <v>30</v>
      </c>
      <c r="B1469" s="15" t="s">
        <v>1029</v>
      </c>
      <c r="C1469" s="15" t="s">
        <v>10</v>
      </c>
      <c r="D1469" s="16">
        <v>6772727</v>
      </c>
      <c r="E1469" s="17">
        <v>45474</v>
      </c>
      <c r="F1469" s="18">
        <f>MONTH(Data!$E1469)</f>
        <v>7</v>
      </c>
      <c r="G1469" s="16">
        <f>YEAR(Data!$E1469)</f>
        <v>2024</v>
      </c>
      <c r="H1469" s="15" t="s">
        <v>32</v>
      </c>
      <c r="I1469" s="15" t="str">
        <f t="shared" si="22"/>
        <v>Doanh nghiệp</v>
      </c>
      <c r="J1469" s="15" t="s">
        <v>1284</v>
      </c>
      <c r="K1469" s="15" t="s">
        <v>1263</v>
      </c>
      <c r="L1469" s="32">
        <f>Data!$D1469/10^6</f>
        <v>6.7727269999999997</v>
      </c>
    </row>
    <row r="1470" spans="1:12" x14ac:dyDescent="0.25">
      <c r="A1470" s="29" t="s">
        <v>109</v>
      </c>
      <c r="B1470" s="15" t="s">
        <v>1034</v>
      </c>
      <c r="C1470" s="15" t="s">
        <v>149</v>
      </c>
      <c r="D1470" s="16">
        <v>37045909</v>
      </c>
      <c r="E1470" s="17">
        <v>45474</v>
      </c>
      <c r="F1470" s="18">
        <f>MONTH(Data!$E1470)</f>
        <v>7</v>
      </c>
      <c r="G1470" s="16">
        <f>YEAR(Data!$E1470)</f>
        <v>2024</v>
      </c>
      <c r="H1470" s="15" t="s">
        <v>22</v>
      </c>
      <c r="I1470" s="15" t="str">
        <f t="shared" si="22"/>
        <v>Doanh nghiệp</v>
      </c>
      <c r="J1470" s="15" t="s">
        <v>1285</v>
      </c>
      <c r="K1470" s="15" t="s">
        <v>1262</v>
      </c>
      <c r="L1470" s="32">
        <f>Data!$D1470/10^6</f>
        <v>37.045909000000002</v>
      </c>
    </row>
    <row r="1471" spans="1:12" x14ac:dyDescent="0.25">
      <c r="A1471" s="29" t="s">
        <v>50</v>
      </c>
      <c r="B1471" s="15" t="s">
        <v>1040</v>
      </c>
      <c r="C1471" s="15" t="s">
        <v>10</v>
      </c>
      <c r="D1471" s="16">
        <v>273940641</v>
      </c>
      <c r="E1471" s="17">
        <v>45474</v>
      </c>
      <c r="F1471" s="18">
        <f>MONTH(Data!$E1471)</f>
        <v>7</v>
      </c>
      <c r="G1471" s="16">
        <f>YEAR(Data!$E1471)</f>
        <v>2024</v>
      </c>
      <c r="H1471" s="15" t="s">
        <v>35</v>
      </c>
      <c r="I1471" s="15" t="str">
        <f t="shared" si="22"/>
        <v>Doanh nghiệp</v>
      </c>
      <c r="J1471" s="15" t="s">
        <v>1284</v>
      </c>
      <c r="K1471" s="15" t="s">
        <v>1263</v>
      </c>
      <c r="L1471" s="32">
        <f>Data!$D1471/10^6</f>
        <v>273.94064100000003</v>
      </c>
    </row>
    <row r="1472" spans="1:12" x14ac:dyDescent="0.25">
      <c r="A1472" s="29" t="s">
        <v>30</v>
      </c>
      <c r="B1472" s="15" t="s">
        <v>1044</v>
      </c>
      <c r="C1472" s="15" t="s">
        <v>10</v>
      </c>
      <c r="D1472" s="16">
        <v>14580182</v>
      </c>
      <c r="E1472" s="17">
        <v>45474</v>
      </c>
      <c r="F1472" s="18">
        <f>MONTH(Data!$E1472)</f>
        <v>7</v>
      </c>
      <c r="G1472" s="16">
        <f>YEAR(Data!$E1472)</f>
        <v>2024</v>
      </c>
      <c r="H1472" s="15" t="s">
        <v>32</v>
      </c>
      <c r="I1472" s="15" t="str">
        <f t="shared" si="22"/>
        <v>Doanh nghiệp</v>
      </c>
      <c r="J1472" s="15" t="s">
        <v>1285</v>
      </c>
      <c r="K1472" s="15" t="s">
        <v>1262</v>
      </c>
      <c r="L1472" s="32">
        <f>Data!$D1472/10^6</f>
        <v>14.580182000000001</v>
      </c>
    </row>
    <row r="1473" spans="1:12" x14ac:dyDescent="0.25">
      <c r="A1473" s="29" t="s">
        <v>87</v>
      </c>
      <c r="B1473" s="15" t="s">
        <v>1045</v>
      </c>
      <c r="C1473" s="15" t="s">
        <v>10</v>
      </c>
      <c r="D1473" s="16">
        <v>12349818</v>
      </c>
      <c r="E1473" s="17">
        <v>45474</v>
      </c>
      <c r="F1473" s="18">
        <f>MONTH(Data!$E1473)</f>
        <v>7</v>
      </c>
      <c r="G1473" s="16">
        <f>YEAR(Data!$E1473)</f>
        <v>2024</v>
      </c>
      <c r="H1473" s="15" t="s">
        <v>29</v>
      </c>
      <c r="I1473" s="15" t="str">
        <f t="shared" si="22"/>
        <v>Doanh nghiệp</v>
      </c>
      <c r="J1473" s="15" t="s">
        <v>1284</v>
      </c>
      <c r="K1473" s="15" t="s">
        <v>1262</v>
      </c>
      <c r="L1473" s="32">
        <f>Data!$D1473/10^6</f>
        <v>12.349818000000001</v>
      </c>
    </row>
    <row r="1474" spans="1:12" x14ac:dyDescent="0.25">
      <c r="A1474" s="29" t="s">
        <v>30</v>
      </c>
      <c r="B1474" s="15" t="s">
        <v>1048</v>
      </c>
      <c r="C1474" s="15" t="s">
        <v>46</v>
      </c>
      <c r="D1474" s="16">
        <v>72477040</v>
      </c>
      <c r="E1474" s="17">
        <v>45474</v>
      </c>
      <c r="F1474" s="18">
        <f>MONTH(Data!$E1474)</f>
        <v>7</v>
      </c>
      <c r="G1474" s="16">
        <f>YEAR(Data!$E1474)</f>
        <v>2024</v>
      </c>
      <c r="H1474" s="15" t="s">
        <v>32</v>
      </c>
      <c r="I1474" s="15" t="str">
        <f t="shared" si="22"/>
        <v>Doanh nghiệp</v>
      </c>
      <c r="J1474" s="15" t="s">
        <v>1285</v>
      </c>
      <c r="K1474" s="15" t="s">
        <v>1265</v>
      </c>
      <c r="L1474" s="32">
        <f>Data!$D1474/10^6</f>
        <v>72.477040000000002</v>
      </c>
    </row>
    <row r="1475" spans="1:12" x14ac:dyDescent="0.25">
      <c r="A1475" s="29" t="s">
        <v>68</v>
      </c>
      <c r="B1475" s="15" t="s">
        <v>1054</v>
      </c>
      <c r="C1475" s="15" t="s">
        <v>10</v>
      </c>
      <c r="D1475" s="16">
        <v>25763000</v>
      </c>
      <c r="E1475" s="17">
        <v>45474</v>
      </c>
      <c r="F1475" s="18">
        <f>MONTH(Data!$E1475)</f>
        <v>7</v>
      </c>
      <c r="G1475" s="16">
        <f>YEAR(Data!$E1475)</f>
        <v>2024</v>
      </c>
      <c r="H1475" s="15" t="s">
        <v>22</v>
      </c>
      <c r="I1475" s="15" t="str">
        <f t="shared" ref="I1475:I1538" si="23">IF(ISNUMBER(SEARCH("Công ty",$B1475)),"Doanh nghiệp",IF(ISNUMBER(SEARCH("Doanh nghiệp",$B1475)),"Doanh nghiệp",IF(ISNUMBER(SEARCH("Tập đoàn",$B1475)),"Doanh nghiệp",
IF(ISNUMBER(SEARCH("Bệnh viện",$B1475)),"Bệnh viện",
IF(ISNUMBER(SEARCH("Ngân hàng",$B1475)),"Ngân hàng",IF(ISNUMBER(SEARCH("trường",$B1475)),"Trường học",IF(ISNUMBER(SEARCH("học viện",$B1475)),"Trường học",
IF(ISNUMBER(SEARCH("Bộ",$B1475)),"Sở ban ngành",IF(ISNUMBER(SEARCH("Đoàn",$B1475)),"Sở ban ngành",IF(ISNUMBER(SEARCH("Phòng",$B1475)),"Sở ban ngành",IF(ISNUMBER(SEARCH("UBND",$B1475)),"Sở ban ngành",IF(ISNUMBER(SEARCH("ủy ban",$B1475)),"Sở ban ngành",IF(ISNUMBER(SEARCH("công an",$B1475)),"Sở ban ngành",IF(ISNUMBER(SEARCH("sở",$B1475)),"Sở ban ngành",IF(ISNUMBER(SEARCH("thôn",$B1475)),"Sở ban ngành",IF(ISNUMBER(SEARCH("xã",$B1475)),"Sở ban ngành",IF(ISNUMBER(SEARCH("quân khu",$B1475)),"Sở ban ngành",IF(ISNUMBER(SEARCH("cục",$B1475)),"Sở ban ngành",IF(ISNUMBER(SEARCH("viện",$B1475)),"Sở ban ngành",IF(ISNUMBER(SEARCH("quỹ",$B1475)),"Sở ban ngành",IF(ISNUMBER(SEARCH("trung tâm",$B1475)),"Sở ban ngành",IF(ISNUMBER(SEARCH("quân chủng",$B1475)),"Sở ban ngành",IF(ISNUMBER(SEARCH("hội",$B1475)),"Sở ban ngành",
"Khác")))))))))))))))))))))))</f>
        <v>Doanh nghiệp</v>
      </c>
      <c r="J1475" s="15" t="s">
        <v>1284</v>
      </c>
      <c r="K1475" s="15" t="s">
        <v>1262</v>
      </c>
      <c r="L1475" s="32">
        <f>Data!$D1475/10^6</f>
        <v>25.763000000000002</v>
      </c>
    </row>
    <row r="1476" spans="1:12" x14ac:dyDescent="0.25">
      <c r="A1476" s="29" t="s">
        <v>98</v>
      </c>
      <c r="B1476" s="15" t="s">
        <v>1070</v>
      </c>
      <c r="C1476" s="15" t="s">
        <v>14</v>
      </c>
      <c r="D1476" s="16">
        <v>29610236</v>
      </c>
      <c r="E1476" s="17">
        <v>45474</v>
      </c>
      <c r="F1476" s="18">
        <f>MONTH(Data!$E1476)</f>
        <v>7</v>
      </c>
      <c r="G1476" s="16">
        <f>YEAR(Data!$E1476)</f>
        <v>2024</v>
      </c>
      <c r="H1476" s="15" t="s">
        <v>11</v>
      </c>
      <c r="I1476" s="15" t="str">
        <f t="shared" si="23"/>
        <v>Doanh nghiệp</v>
      </c>
      <c r="J1476" s="15" t="s">
        <v>1285</v>
      </c>
      <c r="K1476" s="15" t="s">
        <v>1264</v>
      </c>
      <c r="L1476" s="32">
        <f>Data!$D1476/10^6</f>
        <v>29.610236</v>
      </c>
    </row>
    <row r="1477" spans="1:12" x14ac:dyDescent="0.25">
      <c r="A1477" s="29" t="s">
        <v>13</v>
      </c>
      <c r="B1477" s="15" t="s">
        <v>1072</v>
      </c>
      <c r="C1477" s="15" t="s">
        <v>14</v>
      </c>
      <c r="D1477" s="16">
        <v>14641819</v>
      </c>
      <c r="E1477" s="17">
        <v>45474</v>
      </c>
      <c r="F1477" s="18">
        <f>MONTH(Data!$E1477)</f>
        <v>7</v>
      </c>
      <c r="G1477" s="16">
        <f>YEAR(Data!$E1477)</f>
        <v>2024</v>
      </c>
      <c r="H1477" s="15" t="s">
        <v>15</v>
      </c>
      <c r="I1477" s="15" t="str">
        <f t="shared" si="23"/>
        <v>Doanh nghiệp</v>
      </c>
      <c r="J1477" s="15" t="s">
        <v>1284</v>
      </c>
      <c r="K1477" s="15" t="s">
        <v>1264</v>
      </c>
      <c r="L1477" s="32">
        <f>Data!$D1477/10^6</f>
        <v>14.641819</v>
      </c>
    </row>
    <row r="1478" spans="1:12" x14ac:dyDescent="0.25">
      <c r="A1478" s="29" t="s">
        <v>56</v>
      </c>
      <c r="B1478" s="15" t="s">
        <v>1083</v>
      </c>
      <c r="C1478" s="15" t="s">
        <v>14</v>
      </c>
      <c r="D1478" s="16">
        <v>28710000</v>
      </c>
      <c r="E1478" s="17">
        <v>45474</v>
      </c>
      <c r="F1478" s="18">
        <f>MONTH(Data!$E1478)</f>
        <v>7</v>
      </c>
      <c r="G1478" s="16">
        <f>YEAR(Data!$E1478)</f>
        <v>2024</v>
      </c>
      <c r="H1478" s="15" t="s">
        <v>25</v>
      </c>
      <c r="I1478" s="15" t="str">
        <f t="shared" si="23"/>
        <v>Doanh nghiệp</v>
      </c>
      <c r="J1478" s="15" t="s">
        <v>1285</v>
      </c>
      <c r="K1478" s="15" t="s">
        <v>1264</v>
      </c>
      <c r="L1478" s="32">
        <f>Data!$D1478/10^6</f>
        <v>28.71</v>
      </c>
    </row>
    <row r="1479" spans="1:12" x14ac:dyDescent="0.25">
      <c r="A1479" s="29" t="s">
        <v>71</v>
      </c>
      <c r="B1479" s="15" t="s">
        <v>1094</v>
      </c>
      <c r="C1479" s="15" t="s">
        <v>10</v>
      </c>
      <c r="D1479" s="16">
        <v>504933000</v>
      </c>
      <c r="E1479" s="17">
        <v>45474</v>
      </c>
      <c r="F1479" s="18">
        <f>MONTH(Data!$E1479)</f>
        <v>7</v>
      </c>
      <c r="G1479" s="16">
        <f>YEAR(Data!$E1479)</f>
        <v>2024</v>
      </c>
      <c r="H1479" s="15" t="s">
        <v>11</v>
      </c>
      <c r="I1479" s="15" t="str">
        <f t="shared" si="23"/>
        <v>Doanh nghiệp</v>
      </c>
      <c r="J1479" s="15" t="s">
        <v>1284</v>
      </c>
      <c r="K1479" s="15" t="s">
        <v>1278</v>
      </c>
      <c r="L1479" s="32">
        <f>Data!$D1479/10^6</f>
        <v>504.93299999999999</v>
      </c>
    </row>
    <row r="1480" spans="1:12" x14ac:dyDescent="0.25">
      <c r="A1480" s="29" t="s">
        <v>71</v>
      </c>
      <c r="B1480" s="15" t="s">
        <v>1095</v>
      </c>
      <c r="C1480" s="15" t="s">
        <v>149</v>
      </c>
      <c r="D1480" s="16">
        <v>105163527</v>
      </c>
      <c r="E1480" s="17">
        <v>45474</v>
      </c>
      <c r="F1480" s="18">
        <f>MONTH(Data!$E1480)</f>
        <v>7</v>
      </c>
      <c r="G1480" s="16">
        <f>YEAR(Data!$E1480)</f>
        <v>2024</v>
      </c>
      <c r="H1480" s="15" t="s">
        <v>11</v>
      </c>
      <c r="I1480" s="15" t="str">
        <f t="shared" si="23"/>
        <v>Doanh nghiệp</v>
      </c>
      <c r="J1480" s="15" t="s">
        <v>1285</v>
      </c>
      <c r="K1480" s="15" t="s">
        <v>1263</v>
      </c>
      <c r="L1480" s="32">
        <f>Data!$D1480/10^6</f>
        <v>105.163527</v>
      </c>
    </row>
    <row r="1481" spans="1:12" x14ac:dyDescent="0.25">
      <c r="A1481" s="29" t="s">
        <v>30</v>
      </c>
      <c r="B1481" s="15" t="s">
        <v>1105</v>
      </c>
      <c r="C1481" s="15" t="s">
        <v>149</v>
      </c>
      <c r="D1481" s="16">
        <v>7721818</v>
      </c>
      <c r="E1481" s="17">
        <v>45474</v>
      </c>
      <c r="F1481" s="18">
        <f>MONTH(Data!$E1481)</f>
        <v>7</v>
      </c>
      <c r="G1481" s="16">
        <f>YEAR(Data!$E1481)</f>
        <v>2024</v>
      </c>
      <c r="H1481" s="15" t="s">
        <v>32</v>
      </c>
      <c r="I1481" s="15" t="str">
        <f t="shared" si="23"/>
        <v>Doanh nghiệp</v>
      </c>
      <c r="J1481" s="15" t="s">
        <v>1284</v>
      </c>
      <c r="K1481" s="15" t="s">
        <v>1264</v>
      </c>
      <c r="L1481" s="32">
        <f>Data!$D1481/10^6</f>
        <v>7.7218179999999998</v>
      </c>
    </row>
    <row r="1482" spans="1:12" x14ac:dyDescent="0.25">
      <c r="A1482" s="29" t="s">
        <v>111</v>
      </c>
      <c r="B1482" s="15" t="s">
        <v>1120</v>
      </c>
      <c r="C1482" s="15" t="s">
        <v>10</v>
      </c>
      <c r="D1482" s="16">
        <v>167680000</v>
      </c>
      <c r="E1482" s="17">
        <v>45474</v>
      </c>
      <c r="F1482" s="18">
        <f>MONTH(Data!$E1482)</f>
        <v>7</v>
      </c>
      <c r="G1482" s="16">
        <f>YEAR(Data!$E1482)</f>
        <v>2024</v>
      </c>
      <c r="H1482" s="15" t="s">
        <v>22</v>
      </c>
      <c r="I1482" s="15" t="str">
        <f t="shared" si="23"/>
        <v>Doanh nghiệp</v>
      </c>
      <c r="J1482" s="15" t="s">
        <v>1285</v>
      </c>
      <c r="K1482" s="15" t="s">
        <v>1267</v>
      </c>
      <c r="L1482" s="32">
        <f>Data!$D1482/10^6</f>
        <v>167.68</v>
      </c>
    </row>
    <row r="1483" spans="1:12" x14ac:dyDescent="0.25">
      <c r="A1483" s="29" t="s">
        <v>30</v>
      </c>
      <c r="B1483" s="15" t="s">
        <v>1051</v>
      </c>
      <c r="C1483" s="15" t="s">
        <v>14</v>
      </c>
      <c r="D1483" s="16">
        <v>248181818</v>
      </c>
      <c r="E1483" s="17">
        <v>45474</v>
      </c>
      <c r="F1483" s="18">
        <f>MONTH(Data!$E1483)</f>
        <v>7</v>
      </c>
      <c r="G1483" s="16">
        <f>YEAR(Data!$E1483)</f>
        <v>2024</v>
      </c>
      <c r="H1483" s="15" t="s">
        <v>32</v>
      </c>
      <c r="I1483" s="15" t="str">
        <f t="shared" si="23"/>
        <v>Doanh nghiệp</v>
      </c>
      <c r="J1483" s="15" t="s">
        <v>1284</v>
      </c>
      <c r="K1483" s="15" t="s">
        <v>1277</v>
      </c>
      <c r="L1483" s="32">
        <f>Data!$D1483/10^6</f>
        <v>248.18181799999999</v>
      </c>
    </row>
    <row r="1484" spans="1:12" x14ac:dyDescent="0.25">
      <c r="A1484" s="29" t="s">
        <v>92</v>
      </c>
      <c r="B1484" s="15" t="s">
        <v>1053</v>
      </c>
      <c r="C1484" s="15" t="s">
        <v>14</v>
      </c>
      <c r="D1484" s="16">
        <v>109090909</v>
      </c>
      <c r="E1484" s="17">
        <v>45474</v>
      </c>
      <c r="F1484" s="18">
        <f>MONTH(Data!$E1484)</f>
        <v>7</v>
      </c>
      <c r="G1484" s="16">
        <f>YEAR(Data!$E1484)</f>
        <v>2024</v>
      </c>
      <c r="H1484" s="15" t="s">
        <v>29</v>
      </c>
      <c r="I1484" s="15" t="str">
        <f t="shared" si="23"/>
        <v>Doanh nghiệp</v>
      </c>
      <c r="J1484" s="15" t="s">
        <v>1285</v>
      </c>
      <c r="K1484" s="15" t="s">
        <v>1275</v>
      </c>
      <c r="L1484" s="32">
        <f>Data!$D1484/10^6</f>
        <v>109.090909</v>
      </c>
    </row>
    <row r="1485" spans="1:12" x14ac:dyDescent="0.25">
      <c r="A1485" s="29" t="s">
        <v>17</v>
      </c>
      <c r="B1485" s="15" t="s">
        <v>1059</v>
      </c>
      <c r="C1485" s="15" t="s">
        <v>10</v>
      </c>
      <c r="D1485" s="16">
        <v>30045455</v>
      </c>
      <c r="E1485" s="17">
        <v>45474</v>
      </c>
      <c r="F1485" s="18">
        <f>MONTH(Data!$E1485)</f>
        <v>7</v>
      </c>
      <c r="G1485" s="16">
        <f>YEAR(Data!$E1485)</f>
        <v>2024</v>
      </c>
      <c r="H1485" s="15" t="s">
        <v>11</v>
      </c>
      <c r="I1485" s="15" t="str">
        <f t="shared" si="23"/>
        <v>Doanh nghiệp</v>
      </c>
      <c r="J1485" s="15" t="s">
        <v>1284</v>
      </c>
      <c r="K1485" s="15" t="s">
        <v>1262</v>
      </c>
      <c r="L1485" s="32">
        <f>Data!$D1485/10^6</f>
        <v>30.045455</v>
      </c>
    </row>
    <row r="1486" spans="1:12" x14ac:dyDescent="0.25">
      <c r="A1486" s="29" t="s">
        <v>91</v>
      </c>
      <c r="B1486" s="15" t="s">
        <v>1067</v>
      </c>
      <c r="C1486" s="15" t="s">
        <v>10</v>
      </c>
      <c r="D1486" s="16">
        <v>11700000</v>
      </c>
      <c r="E1486" s="17">
        <v>45474</v>
      </c>
      <c r="F1486" s="18">
        <f>MONTH(Data!$E1486)</f>
        <v>7</v>
      </c>
      <c r="G1486" s="16">
        <f>YEAR(Data!$E1486)</f>
        <v>2024</v>
      </c>
      <c r="H1486" s="15" t="s">
        <v>42</v>
      </c>
      <c r="I1486" s="15" t="str">
        <f t="shared" si="23"/>
        <v>Doanh nghiệp</v>
      </c>
      <c r="J1486" s="15" t="s">
        <v>1285</v>
      </c>
      <c r="K1486" s="15" t="s">
        <v>1263</v>
      </c>
      <c r="L1486" s="32">
        <f>Data!$D1486/10^6</f>
        <v>11.7</v>
      </c>
    </row>
    <row r="1487" spans="1:12" x14ac:dyDescent="0.25">
      <c r="A1487" s="29" t="s">
        <v>160</v>
      </c>
      <c r="B1487" s="15" t="s">
        <v>1109</v>
      </c>
      <c r="C1487" s="15" t="s">
        <v>46</v>
      </c>
      <c r="D1487" s="16">
        <v>124289091</v>
      </c>
      <c r="E1487" s="17">
        <v>45474</v>
      </c>
      <c r="F1487" s="18">
        <f>MONTH(Data!$E1487)</f>
        <v>7</v>
      </c>
      <c r="G1487" s="16">
        <f>YEAR(Data!$E1487)</f>
        <v>2024</v>
      </c>
      <c r="H1487" s="15" t="s">
        <v>35</v>
      </c>
      <c r="I1487" s="15" t="str">
        <f t="shared" si="23"/>
        <v>Doanh nghiệp</v>
      </c>
      <c r="J1487" s="15" t="s">
        <v>1284</v>
      </c>
      <c r="K1487" s="15" t="s">
        <v>1265</v>
      </c>
      <c r="L1487" s="32">
        <f>Data!$D1487/10^6</f>
        <v>124.289091</v>
      </c>
    </row>
    <row r="1488" spans="1:12" x14ac:dyDescent="0.25">
      <c r="A1488" s="29" t="s">
        <v>72</v>
      </c>
      <c r="B1488" s="15" t="s">
        <v>1121</v>
      </c>
      <c r="C1488" s="15" t="s">
        <v>10</v>
      </c>
      <c r="D1488" s="16">
        <v>9961636</v>
      </c>
      <c r="E1488" s="17">
        <v>45474</v>
      </c>
      <c r="F1488" s="18">
        <f>MONTH(Data!$E1488)</f>
        <v>7</v>
      </c>
      <c r="G1488" s="16">
        <f>YEAR(Data!$E1488)</f>
        <v>2024</v>
      </c>
      <c r="H1488" s="15" t="s">
        <v>22</v>
      </c>
      <c r="I1488" s="15" t="str">
        <f t="shared" si="23"/>
        <v>Doanh nghiệp</v>
      </c>
      <c r="J1488" s="15" t="s">
        <v>1285</v>
      </c>
      <c r="K1488" s="15" t="s">
        <v>1262</v>
      </c>
      <c r="L1488" s="32">
        <f>Data!$D1488/10^6</f>
        <v>9.9616360000000004</v>
      </c>
    </row>
    <row r="1489" spans="1:12" x14ac:dyDescent="0.25">
      <c r="A1489" s="29" t="s">
        <v>100</v>
      </c>
      <c r="B1489" s="15" t="s">
        <v>1039</v>
      </c>
      <c r="C1489" s="15" t="s">
        <v>10</v>
      </c>
      <c r="D1489" s="16">
        <v>44318182</v>
      </c>
      <c r="E1489" s="17">
        <v>45474</v>
      </c>
      <c r="F1489" s="18">
        <f>MONTH(Data!$E1489)</f>
        <v>7</v>
      </c>
      <c r="G1489" s="16">
        <f>YEAR(Data!$E1489)</f>
        <v>2024</v>
      </c>
      <c r="H1489" s="15" t="s">
        <v>42</v>
      </c>
      <c r="I1489" s="15" t="str">
        <f t="shared" si="23"/>
        <v>Doanh nghiệp</v>
      </c>
      <c r="J1489" s="15" t="s">
        <v>1284</v>
      </c>
      <c r="K1489" s="15" t="s">
        <v>1267</v>
      </c>
      <c r="L1489" s="32">
        <f>Data!$D1489/10^6</f>
        <v>44.318182</v>
      </c>
    </row>
    <row r="1490" spans="1:12" x14ac:dyDescent="0.25">
      <c r="A1490" s="29" t="s">
        <v>92</v>
      </c>
      <c r="B1490" s="15" t="s">
        <v>1048</v>
      </c>
      <c r="C1490" s="15" t="s">
        <v>14</v>
      </c>
      <c r="D1490" s="16">
        <v>65454545</v>
      </c>
      <c r="E1490" s="17">
        <v>45474</v>
      </c>
      <c r="F1490" s="18">
        <f>MONTH(Data!$E1490)</f>
        <v>7</v>
      </c>
      <c r="G1490" s="16">
        <f>YEAR(Data!$E1490)</f>
        <v>2024</v>
      </c>
      <c r="H1490" s="15" t="s">
        <v>29</v>
      </c>
      <c r="I1490" s="15" t="str">
        <f t="shared" si="23"/>
        <v>Doanh nghiệp</v>
      </c>
      <c r="J1490" s="15" t="s">
        <v>1285</v>
      </c>
      <c r="K1490" s="15" t="s">
        <v>1275</v>
      </c>
      <c r="L1490" s="32">
        <f>Data!$D1490/10^6</f>
        <v>65.454544999999996</v>
      </c>
    </row>
    <row r="1491" spans="1:12" x14ac:dyDescent="0.25">
      <c r="A1491" s="29" t="s">
        <v>100</v>
      </c>
      <c r="B1491" s="15" t="s">
        <v>1079</v>
      </c>
      <c r="C1491" s="15" t="s">
        <v>10</v>
      </c>
      <c r="D1491" s="16">
        <v>99615273</v>
      </c>
      <c r="E1491" s="17">
        <v>45474</v>
      </c>
      <c r="F1491" s="18">
        <f>MONTH(Data!$E1491)</f>
        <v>7</v>
      </c>
      <c r="G1491" s="16">
        <f>YEAR(Data!$E1491)</f>
        <v>2024</v>
      </c>
      <c r="H1491" s="15" t="s">
        <v>42</v>
      </c>
      <c r="I1491" s="15" t="str">
        <f t="shared" si="23"/>
        <v>Doanh nghiệp</v>
      </c>
      <c r="J1491" s="15" t="s">
        <v>1284</v>
      </c>
      <c r="K1491" s="15" t="s">
        <v>1267</v>
      </c>
      <c r="L1491" s="32">
        <f>Data!$D1491/10^6</f>
        <v>99.615273000000002</v>
      </c>
    </row>
    <row r="1492" spans="1:12" x14ac:dyDescent="0.25">
      <c r="A1492" s="29" t="s">
        <v>92</v>
      </c>
      <c r="B1492" s="15" t="s">
        <v>1081</v>
      </c>
      <c r="C1492" s="15" t="s">
        <v>14</v>
      </c>
      <c r="D1492" s="16">
        <v>69363636</v>
      </c>
      <c r="E1492" s="17">
        <v>45474</v>
      </c>
      <c r="F1492" s="18">
        <f>MONTH(Data!$E1492)</f>
        <v>7</v>
      </c>
      <c r="G1492" s="16">
        <f>YEAR(Data!$E1492)</f>
        <v>2024</v>
      </c>
      <c r="H1492" s="15" t="s">
        <v>29</v>
      </c>
      <c r="I1492" s="15" t="str">
        <f t="shared" si="23"/>
        <v>Doanh nghiệp</v>
      </c>
      <c r="J1492" s="15" t="s">
        <v>1285</v>
      </c>
      <c r="K1492" s="15" t="s">
        <v>1275</v>
      </c>
      <c r="L1492" s="32">
        <f>Data!$D1492/10^6</f>
        <v>69.363636</v>
      </c>
    </row>
    <row r="1493" spans="1:12" x14ac:dyDescent="0.25">
      <c r="A1493" s="29" t="s">
        <v>23</v>
      </c>
      <c r="B1493" s="15" t="s">
        <v>1099</v>
      </c>
      <c r="C1493" s="15" t="s">
        <v>14</v>
      </c>
      <c r="D1493" s="16">
        <v>498985000</v>
      </c>
      <c r="E1493" s="17">
        <v>45474</v>
      </c>
      <c r="F1493" s="18">
        <f>MONTH(Data!$E1493)</f>
        <v>7</v>
      </c>
      <c r="G1493" s="16">
        <f>YEAR(Data!$E1493)</f>
        <v>2024</v>
      </c>
      <c r="H1493" s="15" t="s">
        <v>25</v>
      </c>
      <c r="I1493" s="15" t="str">
        <f t="shared" si="23"/>
        <v>Doanh nghiệp</v>
      </c>
      <c r="J1493" s="15" t="s">
        <v>1284</v>
      </c>
      <c r="K1493" s="15" t="s">
        <v>1273</v>
      </c>
      <c r="L1493" s="32">
        <f>Data!$D1493/10^6</f>
        <v>498.98500000000001</v>
      </c>
    </row>
    <row r="1494" spans="1:12" x14ac:dyDescent="0.25">
      <c r="A1494" s="29" t="s">
        <v>209</v>
      </c>
      <c r="B1494" s="15" t="s">
        <v>1100</v>
      </c>
      <c r="C1494" s="15" t="s">
        <v>149</v>
      </c>
      <c r="D1494" s="16">
        <v>132011367</v>
      </c>
      <c r="E1494" s="17">
        <v>45474</v>
      </c>
      <c r="F1494" s="18">
        <f>MONTH(Data!$E1494)</f>
        <v>7</v>
      </c>
      <c r="G1494" s="16">
        <f>YEAR(Data!$E1494)</f>
        <v>2024</v>
      </c>
      <c r="H1494" s="15" t="s">
        <v>32</v>
      </c>
      <c r="I1494" s="15" t="str">
        <f t="shared" si="23"/>
        <v>Doanh nghiệp</v>
      </c>
      <c r="J1494" s="15" t="s">
        <v>1285</v>
      </c>
      <c r="K1494" s="15" t="s">
        <v>1262</v>
      </c>
      <c r="L1494" s="32">
        <f>Data!$D1494/10^6</f>
        <v>132.01136700000001</v>
      </c>
    </row>
    <row r="1495" spans="1:12" x14ac:dyDescent="0.25">
      <c r="A1495" s="29" t="s">
        <v>17</v>
      </c>
      <c r="B1495" s="15" t="s">
        <v>1105</v>
      </c>
      <c r="C1495" s="15" t="s">
        <v>46</v>
      </c>
      <c r="D1495" s="16">
        <v>109090909</v>
      </c>
      <c r="E1495" s="17">
        <v>45474</v>
      </c>
      <c r="F1495" s="18">
        <f>MONTH(Data!$E1495)</f>
        <v>7</v>
      </c>
      <c r="G1495" s="16">
        <f>YEAR(Data!$E1495)</f>
        <v>2024</v>
      </c>
      <c r="H1495" s="15" t="s">
        <v>11</v>
      </c>
      <c r="I1495" s="15" t="str">
        <f t="shared" si="23"/>
        <v>Doanh nghiệp</v>
      </c>
      <c r="J1495" s="15" t="s">
        <v>1284</v>
      </c>
      <c r="K1495" s="15" t="s">
        <v>1265</v>
      </c>
      <c r="L1495" s="32">
        <f>Data!$D1495/10^6</f>
        <v>109.090909</v>
      </c>
    </row>
    <row r="1496" spans="1:12" x14ac:dyDescent="0.25">
      <c r="A1496" s="29" t="s">
        <v>23</v>
      </c>
      <c r="B1496" s="15" t="s">
        <v>1050</v>
      </c>
      <c r="C1496" s="15" t="s">
        <v>14</v>
      </c>
      <c r="D1496" s="16">
        <v>50023752</v>
      </c>
      <c r="E1496" s="17">
        <v>45474</v>
      </c>
      <c r="F1496" s="18">
        <f>MONTH(Data!$E1496)</f>
        <v>7</v>
      </c>
      <c r="G1496" s="16">
        <f>YEAR(Data!$E1496)</f>
        <v>2024</v>
      </c>
      <c r="H1496" s="15" t="s">
        <v>25</v>
      </c>
      <c r="I1496" s="15" t="str">
        <f t="shared" si="23"/>
        <v>Doanh nghiệp</v>
      </c>
      <c r="J1496" s="15" t="s">
        <v>1285</v>
      </c>
      <c r="K1496" s="15" t="s">
        <v>1264</v>
      </c>
      <c r="L1496" s="32">
        <f>Data!$D1496/10^6</f>
        <v>50.023752000000002</v>
      </c>
    </row>
    <row r="1497" spans="1:12" x14ac:dyDescent="0.25">
      <c r="A1497" s="29" t="s">
        <v>51</v>
      </c>
      <c r="B1497" s="15" t="s">
        <v>1051</v>
      </c>
      <c r="C1497" s="15" t="s">
        <v>10</v>
      </c>
      <c r="D1497" s="16">
        <v>95714250</v>
      </c>
      <c r="E1497" s="17">
        <v>45474</v>
      </c>
      <c r="F1497" s="18">
        <f>MONTH(Data!$E1497)</f>
        <v>7</v>
      </c>
      <c r="G1497" s="16">
        <f>YEAR(Data!$E1497)</f>
        <v>2024</v>
      </c>
      <c r="H1497" s="15" t="s">
        <v>42</v>
      </c>
      <c r="I1497" s="15" t="str">
        <f t="shared" si="23"/>
        <v>Doanh nghiệp</v>
      </c>
      <c r="J1497" s="15" t="s">
        <v>1284</v>
      </c>
      <c r="K1497" s="15" t="s">
        <v>1263</v>
      </c>
      <c r="L1497" s="32">
        <f>Data!$D1497/10^6</f>
        <v>95.714250000000007</v>
      </c>
    </row>
    <row r="1498" spans="1:12" x14ac:dyDescent="0.25">
      <c r="A1498" s="29" t="s">
        <v>56</v>
      </c>
      <c r="B1498" s="15" t="s">
        <v>1075</v>
      </c>
      <c r="C1498" s="15" t="s">
        <v>10</v>
      </c>
      <c r="D1498" s="16">
        <v>1019243029</v>
      </c>
      <c r="E1498" s="17">
        <v>45474</v>
      </c>
      <c r="F1498" s="18">
        <f>MONTH(Data!$E1498)</f>
        <v>7</v>
      </c>
      <c r="G1498" s="16">
        <f>YEAR(Data!$E1498)</f>
        <v>2024</v>
      </c>
      <c r="H1498" s="15" t="s">
        <v>25</v>
      </c>
      <c r="I1498" s="15" t="str">
        <f t="shared" si="23"/>
        <v>Doanh nghiệp</v>
      </c>
      <c r="J1498" s="15" t="s">
        <v>1285</v>
      </c>
      <c r="K1498" s="15" t="s">
        <v>1262</v>
      </c>
      <c r="L1498" s="32">
        <f>Data!$D1498/10^6</f>
        <v>1019.243029</v>
      </c>
    </row>
    <row r="1499" spans="1:12" x14ac:dyDescent="0.25">
      <c r="A1499" s="29" t="s">
        <v>23</v>
      </c>
      <c r="B1499" s="15" t="s">
        <v>1077</v>
      </c>
      <c r="C1499" s="15" t="s">
        <v>10</v>
      </c>
      <c r="D1499" s="16">
        <v>11532727</v>
      </c>
      <c r="E1499" s="17">
        <v>45474</v>
      </c>
      <c r="F1499" s="18">
        <f>MONTH(Data!$E1499)</f>
        <v>7</v>
      </c>
      <c r="G1499" s="16">
        <f>YEAR(Data!$E1499)</f>
        <v>2024</v>
      </c>
      <c r="H1499" s="15" t="s">
        <v>25</v>
      </c>
      <c r="I1499" s="15" t="str">
        <f t="shared" si="23"/>
        <v>Doanh nghiệp</v>
      </c>
      <c r="J1499" s="15" t="s">
        <v>1284</v>
      </c>
      <c r="K1499" s="15" t="s">
        <v>1262</v>
      </c>
      <c r="L1499" s="32">
        <f>Data!$D1499/10^6</f>
        <v>11.532727</v>
      </c>
    </row>
    <row r="1500" spans="1:12" x14ac:dyDescent="0.25">
      <c r="A1500" s="29" t="s">
        <v>128</v>
      </c>
      <c r="B1500" s="15" t="s">
        <v>1032</v>
      </c>
      <c r="C1500" s="15" t="s">
        <v>46</v>
      </c>
      <c r="D1500" s="16">
        <v>578099455</v>
      </c>
      <c r="E1500" s="17">
        <v>45474</v>
      </c>
      <c r="F1500" s="18">
        <f>MONTH(Data!$E1500)</f>
        <v>7</v>
      </c>
      <c r="G1500" s="16">
        <f>YEAR(Data!$E1500)</f>
        <v>2024</v>
      </c>
      <c r="H1500" s="15" t="s">
        <v>42</v>
      </c>
      <c r="I1500" s="15" t="str">
        <f t="shared" si="23"/>
        <v>Doanh nghiệp</v>
      </c>
      <c r="J1500" s="15" t="s">
        <v>1285</v>
      </c>
      <c r="K1500" s="15" t="s">
        <v>1265</v>
      </c>
      <c r="L1500" s="32">
        <f>Data!$D1500/10^6</f>
        <v>578.09945500000003</v>
      </c>
    </row>
    <row r="1501" spans="1:12" x14ac:dyDescent="0.25">
      <c r="A1501" s="29" t="s">
        <v>92</v>
      </c>
      <c r="B1501" s="15" t="s">
        <v>1063</v>
      </c>
      <c r="C1501" s="15" t="s">
        <v>14</v>
      </c>
      <c r="D1501" s="16">
        <v>38348182</v>
      </c>
      <c r="E1501" s="17">
        <v>45474</v>
      </c>
      <c r="F1501" s="18">
        <f>MONTH(Data!$E1501)</f>
        <v>7</v>
      </c>
      <c r="G1501" s="16">
        <f>YEAR(Data!$E1501)</f>
        <v>2024</v>
      </c>
      <c r="H1501" s="15" t="s">
        <v>29</v>
      </c>
      <c r="I1501" s="15" t="str">
        <f t="shared" si="23"/>
        <v>Doanh nghiệp</v>
      </c>
      <c r="J1501" s="15" t="s">
        <v>1284</v>
      </c>
      <c r="K1501" s="15" t="s">
        <v>1275</v>
      </c>
      <c r="L1501" s="32">
        <f>Data!$D1501/10^6</f>
        <v>38.348182000000001</v>
      </c>
    </row>
    <row r="1502" spans="1:12" x14ac:dyDescent="0.25">
      <c r="A1502" s="29" t="s">
        <v>92</v>
      </c>
      <c r="B1502" s="15" t="s">
        <v>1064</v>
      </c>
      <c r="C1502" s="15" t="s">
        <v>14</v>
      </c>
      <c r="D1502" s="16">
        <v>52191182</v>
      </c>
      <c r="E1502" s="17">
        <v>45474</v>
      </c>
      <c r="F1502" s="18">
        <f>MONTH(Data!$E1502)</f>
        <v>7</v>
      </c>
      <c r="G1502" s="16">
        <f>YEAR(Data!$E1502)</f>
        <v>2024</v>
      </c>
      <c r="H1502" s="15" t="s">
        <v>29</v>
      </c>
      <c r="I1502" s="15" t="str">
        <f t="shared" si="23"/>
        <v>Doanh nghiệp</v>
      </c>
      <c r="J1502" s="15" t="s">
        <v>1285</v>
      </c>
      <c r="K1502" s="15" t="s">
        <v>1275</v>
      </c>
      <c r="L1502" s="32">
        <f>Data!$D1502/10^6</f>
        <v>52.191181999999998</v>
      </c>
    </row>
    <row r="1503" spans="1:12" x14ac:dyDescent="0.25">
      <c r="A1503" s="29" t="s">
        <v>72</v>
      </c>
      <c r="B1503" s="15" t="s">
        <v>1066</v>
      </c>
      <c r="C1503" s="15" t="s">
        <v>149</v>
      </c>
      <c r="D1503" s="16">
        <v>25563647</v>
      </c>
      <c r="E1503" s="17">
        <v>45474</v>
      </c>
      <c r="F1503" s="18">
        <f>MONTH(Data!$E1503)</f>
        <v>7</v>
      </c>
      <c r="G1503" s="16">
        <f>YEAR(Data!$E1503)</f>
        <v>2024</v>
      </c>
      <c r="H1503" s="15" t="s">
        <v>22</v>
      </c>
      <c r="I1503" s="15" t="str">
        <f t="shared" si="23"/>
        <v>Doanh nghiệp</v>
      </c>
      <c r="J1503" s="15" t="s">
        <v>1284</v>
      </c>
      <c r="K1503" s="15" t="s">
        <v>1280</v>
      </c>
      <c r="L1503" s="32">
        <f>Data!$D1503/10^6</f>
        <v>25.563647</v>
      </c>
    </row>
    <row r="1504" spans="1:12" x14ac:dyDescent="0.25">
      <c r="A1504" s="29" t="s">
        <v>74</v>
      </c>
      <c r="B1504" s="15" t="s">
        <v>1072</v>
      </c>
      <c r="C1504" s="15" t="s">
        <v>14</v>
      </c>
      <c r="D1504" s="16">
        <v>43658180</v>
      </c>
      <c r="E1504" s="17">
        <v>45474</v>
      </c>
      <c r="F1504" s="18">
        <f>MONTH(Data!$E1504)</f>
        <v>7</v>
      </c>
      <c r="G1504" s="16">
        <f>YEAR(Data!$E1504)</f>
        <v>2024</v>
      </c>
      <c r="H1504" s="15" t="s">
        <v>11</v>
      </c>
      <c r="I1504" s="15" t="str">
        <f t="shared" si="23"/>
        <v>Doanh nghiệp</v>
      </c>
      <c r="J1504" s="15" t="s">
        <v>1285</v>
      </c>
      <c r="K1504" s="15" t="s">
        <v>1264</v>
      </c>
      <c r="L1504" s="32">
        <f>Data!$D1504/10^6</f>
        <v>43.658180000000002</v>
      </c>
    </row>
    <row r="1505" spans="1:12" x14ac:dyDescent="0.25">
      <c r="A1505" s="29" t="s">
        <v>30</v>
      </c>
      <c r="B1505" s="15" t="s">
        <v>1119</v>
      </c>
      <c r="C1505" s="15" t="s">
        <v>10</v>
      </c>
      <c r="D1505" s="16">
        <v>28522045</v>
      </c>
      <c r="E1505" s="17">
        <v>45474</v>
      </c>
      <c r="F1505" s="18">
        <f>MONTH(Data!$E1505)</f>
        <v>7</v>
      </c>
      <c r="G1505" s="16">
        <f>YEAR(Data!$E1505)</f>
        <v>2024</v>
      </c>
      <c r="H1505" s="15" t="s">
        <v>32</v>
      </c>
      <c r="I1505" s="15" t="str">
        <f t="shared" si="23"/>
        <v>Doanh nghiệp</v>
      </c>
      <c r="J1505" s="15" t="s">
        <v>1284</v>
      </c>
      <c r="K1505" s="15" t="s">
        <v>1262</v>
      </c>
      <c r="L1505" s="32">
        <f>Data!$D1505/10^6</f>
        <v>28.522044999999999</v>
      </c>
    </row>
    <row r="1506" spans="1:12" x14ac:dyDescent="0.25">
      <c r="A1506" s="29" t="s">
        <v>151</v>
      </c>
      <c r="B1506" s="15" t="s">
        <v>1120</v>
      </c>
      <c r="C1506" s="15" t="s">
        <v>14</v>
      </c>
      <c r="D1506" s="16">
        <v>585773172</v>
      </c>
      <c r="E1506" s="17">
        <v>45474</v>
      </c>
      <c r="F1506" s="18">
        <f>MONTH(Data!$E1506)</f>
        <v>7</v>
      </c>
      <c r="G1506" s="16">
        <f>YEAR(Data!$E1506)</f>
        <v>2024</v>
      </c>
      <c r="H1506" s="15" t="s">
        <v>15</v>
      </c>
      <c r="I1506" s="15" t="str">
        <f t="shared" si="23"/>
        <v>Doanh nghiệp</v>
      </c>
      <c r="J1506" s="15" t="s">
        <v>1285</v>
      </c>
      <c r="K1506" s="15" t="s">
        <v>1264</v>
      </c>
      <c r="L1506" s="32">
        <f>Data!$D1506/10^6</f>
        <v>585.77317200000005</v>
      </c>
    </row>
    <row r="1507" spans="1:12" x14ac:dyDescent="0.25">
      <c r="A1507" s="29" t="s">
        <v>116</v>
      </c>
      <c r="B1507" s="15" t="s">
        <v>1027</v>
      </c>
      <c r="C1507" s="15" t="s">
        <v>10</v>
      </c>
      <c r="D1507" s="16">
        <v>25474000</v>
      </c>
      <c r="E1507" s="17">
        <v>45474</v>
      </c>
      <c r="F1507" s="18">
        <f>MONTH(Data!$E1507)</f>
        <v>7</v>
      </c>
      <c r="G1507" s="16">
        <f>YEAR(Data!$E1507)</f>
        <v>2024</v>
      </c>
      <c r="H1507" s="15" t="s">
        <v>15</v>
      </c>
      <c r="I1507" s="15" t="str">
        <f t="shared" si="23"/>
        <v>Doanh nghiệp</v>
      </c>
      <c r="J1507" s="15" t="s">
        <v>1284</v>
      </c>
      <c r="K1507" s="15" t="s">
        <v>1263</v>
      </c>
      <c r="L1507" s="32">
        <f>Data!$D1507/10^6</f>
        <v>25.474</v>
      </c>
    </row>
    <row r="1508" spans="1:12" x14ac:dyDescent="0.25">
      <c r="A1508" s="29" t="s">
        <v>37</v>
      </c>
      <c r="B1508" s="15" t="s">
        <v>1068</v>
      </c>
      <c r="C1508" s="15" t="s">
        <v>10</v>
      </c>
      <c r="D1508" s="16">
        <v>25348800</v>
      </c>
      <c r="E1508" s="17">
        <v>45474</v>
      </c>
      <c r="F1508" s="18">
        <f>MONTH(Data!$E1508)</f>
        <v>7</v>
      </c>
      <c r="G1508" s="16">
        <f>YEAR(Data!$E1508)</f>
        <v>2024</v>
      </c>
      <c r="H1508" s="15" t="s">
        <v>11</v>
      </c>
      <c r="I1508" s="15" t="str">
        <f t="shared" si="23"/>
        <v>Doanh nghiệp</v>
      </c>
      <c r="J1508" s="15" t="s">
        <v>1285</v>
      </c>
      <c r="K1508" s="15" t="s">
        <v>1263</v>
      </c>
      <c r="L1508" s="32">
        <f>Data!$D1508/10^6</f>
        <v>25.348800000000001</v>
      </c>
    </row>
    <row r="1509" spans="1:12" x14ac:dyDescent="0.25">
      <c r="A1509" s="29" t="s">
        <v>116</v>
      </c>
      <c r="B1509" s="15" t="s">
        <v>1068</v>
      </c>
      <c r="C1509" s="15" t="s">
        <v>10</v>
      </c>
      <c r="D1509" s="16">
        <v>10150000</v>
      </c>
      <c r="E1509" s="17">
        <v>45474</v>
      </c>
      <c r="F1509" s="18">
        <f>MONTH(Data!$E1509)</f>
        <v>7</v>
      </c>
      <c r="G1509" s="16">
        <f>YEAR(Data!$E1509)</f>
        <v>2024</v>
      </c>
      <c r="H1509" s="15" t="s">
        <v>15</v>
      </c>
      <c r="I1509" s="15" t="str">
        <f t="shared" si="23"/>
        <v>Doanh nghiệp</v>
      </c>
      <c r="J1509" s="15" t="s">
        <v>1284</v>
      </c>
      <c r="K1509" s="15" t="s">
        <v>1263</v>
      </c>
      <c r="L1509" s="32">
        <f>Data!$D1509/10^6</f>
        <v>10.15</v>
      </c>
    </row>
    <row r="1510" spans="1:12" x14ac:dyDescent="0.25">
      <c r="A1510" s="29" t="s">
        <v>50</v>
      </c>
      <c r="B1510" s="15" t="s">
        <v>1116</v>
      </c>
      <c r="C1510" s="15" t="s">
        <v>149</v>
      </c>
      <c r="D1510" s="16">
        <v>43636364</v>
      </c>
      <c r="E1510" s="17">
        <v>45474</v>
      </c>
      <c r="F1510" s="18">
        <f>MONTH(Data!$E1510)</f>
        <v>7</v>
      </c>
      <c r="G1510" s="16">
        <f>YEAR(Data!$E1510)</f>
        <v>2024</v>
      </c>
      <c r="H1510" s="15" t="s">
        <v>35</v>
      </c>
      <c r="I1510" s="15" t="str">
        <f t="shared" si="23"/>
        <v>Doanh nghiệp</v>
      </c>
      <c r="J1510" s="15" t="s">
        <v>1285</v>
      </c>
      <c r="K1510" s="15" t="s">
        <v>1264</v>
      </c>
      <c r="L1510" s="32">
        <f>Data!$D1510/10^6</f>
        <v>43.636364</v>
      </c>
    </row>
    <row r="1511" spans="1:12" x14ac:dyDescent="0.25">
      <c r="A1511" s="29" t="s">
        <v>151</v>
      </c>
      <c r="B1511" s="15" t="s">
        <v>1108</v>
      </c>
      <c r="C1511" s="15" t="s">
        <v>14</v>
      </c>
      <c r="D1511" s="16">
        <v>42979909</v>
      </c>
      <c r="E1511" s="17">
        <v>45474</v>
      </c>
      <c r="F1511" s="18">
        <f>MONTH(Data!$E1511)</f>
        <v>7</v>
      </c>
      <c r="G1511" s="16">
        <f>YEAR(Data!$E1511)</f>
        <v>2024</v>
      </c>
      <c r="H1511" s="15" t="s">
        <v>15</v>
      </c>
      <c r="I1511" s="15" t="str">
        <f t="shared" si="23"/>
        <v>Doanh nghiệp</v>
      </c>
      <c r="J1511" s="15" t="s">
        <v>1284</v>
      </c>
      <c r="K1511" s="15" t="s">
        <v>1264</v>
      </c>
      <c r="L1511" s="32">
        <f>Data!$D1511/10^6</f>
        <v>42.979908999999999</v>
      </c>
    </row>
    <row r="1512" spans="1:12" x14ac:dyDescent="0.25">
      <c r="A1512" s="29" t="s">
        <v>23</v>
      </c>
      <c r="B1512" s="15" t="s">
        <v>1109</v>
      </c>
      <c r="C1512" s="15" t="s">
        <v>46</v>
      </c>
      <c r="D1512" s="16">
        <v>254376446</v>
      </c>
      <c r="E1512" s="17">
        <v>45474</v>
      </c>
      <c r="F1512" s="18">
        <f>MONTH(Data!$E1512)</f>
        <v>7</v>
      </c>
      <c r="G1512" s="16">
        <f>YEAR(Data!$E1512)</f>
        <v>2024</v>
      </c>
      <c r="H1512" s="15" t="s">
        <v>25</v>
      </c>
      <c r="I1512" s="15" t="str">
        <f t="shared" si="23"/>
        <v>Doanh nghiệp</v>
      </c>
      <c r="J1512" s="15" t="s">
        <v>1285</v>
      </c>
      <c r="K1512" s="15" t="s">
        <v>1271</v>
      </c>
      <c r="L1512" s="32">
        <f>Data!$D1512/10^6</f>
        <v>254.37644599999999</v>
      </c>
    </row>
    <row r="1513" spans="1:12" x14ac:dyDescent="0.25">
      <c r="A1513" s="29" t="s">
        <v>151</v>
      </c>
      <c r="B1513" s="15" t="s">
        <v>1115</v>
      </c>
      <c r="C1513" s="15" t="s">
        <v>46</v>
      </c>
      <c r="D1513" s="16">
        <v>108238600</v>
      </c>
      <c r="E1513" s="17">
        <v>45474</v>
      </c>
      <c r="F1513" s="18">
        <f>MONTH(Data!$E1513)</f>
        <v>7</v>
      </c>
      <c r="G1513" s="16">
        <f>YEAR(Data!$E1513)</f>
        <v>2024</v>
      </c>
      <c r="H1513" s="15" t="s">
        <v>15</v>
      </c>
      <c r="I1513" s="15" t="str">
        <f t="shared" si="23"/>
        <v>Doanh nghiệp</v>
      </c>
      <c r="J1513" s="15" t="s">
        <v>1284</v>
      </c>
      <c r="K1513" s="15" t="s">
        <v>1265</v>
      </c>
      <c r="L1513" s="32">
        <f>Data!$D1513/10^6</f>
        <v>108.23860000000001</v>
      </c>
    </row>
    <row r="1514" spans="1:12" x14ac:dyDescent="0.25">
      <c r="A1514" s="29" t="s">
        <v>8</v>
      </c>
      <c r="B1514" s="15" t="s">
        <v>1122</v>
      </c>
      <c r="C1514" s="15" t="s">
        <v>10</v>
      </c>
      <c r="D1514" s="16">
        <v>13009091</v>
      </c>
      <c r="E1514" s="17">
        <v>45474</v>
      </c>
      <c r="F1514" s="18">
        <f>MONTH(Data!$E1514)</f>
        <v>7</v>
      </c>
      <c r="G1514" s="16">
        <f>YEAR(Data!$E1514)</f>
        <v>2024</v>
      </c>
      <c r="H1514" s="15" t="s">
        <v>11</v>
      </c>
      <c r="I1514" s="15" t="str">
        <f t="shared" si="23"/>
        <v>Doanh nghiệp</v>
      </c>
      <c r="J1514" s="15" t="s">
        <v>1285</v>
      </c>
      <c r="K1514" s="15" t="s">
        <v>1262</v>
      </c>
      <c r="L1514" s="32">
        <f>Data!$D1514/10^6</f>
        <v>13.009091</v>
      </c>
    </row>
    <row r="1515" spans="1:12" x14ac:dyDescent="0.25">
      <c r="A1515" s="29" t="s">
        <v>36</v>
      </c>
      <c r="B1515" s="15" t="s">
        <v>1109</v>
      </c>
      <c r="C1515" s="15" t="s">
        <v>149</v>
      </c>
      <c r="D1515" s="16">
        <v>71639091</v>
      </c>
      <c r="E1515" s="17">
        <v>45474</v>
      </c>
      <c r="F1515" s="18">
        <f>MONTH(Data!$E1515)</f>
        <v>7</v>
      </c>
      <c r="G1515" s="16">
        <f>YEAR(Data!$E1515)</f>
        <v>2024</v>
      </c>
      <c r="H1515" s="15" t="s">
        <v>15</v>
      </c>
      <c r="I1515" s="15" t="str">
        <f t="shared" si="23"/>
        <v>Doanh nghiệp</v>
      </c>
      <c r="J1515" s="15" t="s">
        <v>1284</v>
      </c>
      <c r="K1515" s="15" t="s">
        <v>1262</v>
      </c>
      <c r="L1515" s="32">
        <f>Data!$D1515/10^6</f>
        <v>71.639090999999993</v>
      </c>
    </row>
    <row r="1516" spans="1:12" x14ac:dyDescent="0.25">
      <c r="A1516" s="29" t="s">
        <v>89</v>
      </c>
      <c r="B1516" s="15" t="s">
        <v>1117</v>
      </c>
      <c r="C1516" s="15" t="s">
        <v>149</v>
      </c>
      <c r="D1516" s="16">
        <v>209090909</v>
      </c>
      <c r="E1516" s="17">
        <v>45474</v>
      </c>
      <c r="F1516" s="18">
        <f>MONTH(Data!$E1516)</f>
        <v>7</v>
      </c>
      <c r="G1516" s="16">
        <f>YEAR(Data!$E1516)</f>
        <v>2024</v>
      </c>
      <c r="H1516" s="15" t="s">
        <v>11</v>
      </c>
      <c r="I1516" s="15" t="str">
        <f t="shared" si="23"/>
        <v>Doanh nghiệp</v>
      </c>
      <c r="J1516" s="15" t="s">
        <v>1285</v>
      </c>
      <c r="K1516" s="15" t="s">
        <v>1267</v>
      </c>
      <c r="L1516" s="32">
        <f>Data!$D1516/10^6</f>
        <v>209.09090900000001</v>
      </c>
    </row>
    <row r="1517" spans="1:12" x14ac:dyDescent="0.25">
      <c r="A1517" s="29" t="s">
        <v>23</v>
      </c>
      <c r="B1517" s="15" t="s">
        <v>1152</v>
      </c>
      <c r="C1517" s="15" t="s">
        <v>14</v>
      </c>
      <c r="D1517" s="16">
        <v>97048945</v>
      </c>
      <c r="E1517" s="17">
        <v>45474</v>
      </c>
      <c r="F1517" s="18">
        <f>MONTH(Data!$E1517)</f>
        <v>7</v>
      </c>
      <c r="G1517" s="16">
        <f>YEAR(Data!$E1517)</f>
        <v>2024</v>
      </c>
      <c r="H1517" s="15" t="s">
        <v>25</v>
      </c>
      <c r="I1517" s="15" t="str">
        <f t="shared" si="23"/>
        <v>Doanh nghiệp</v>
      </c>
      <c r="J1517" s="15" t="s">
        <v>1284</v>
      </c>
      <c r="K1517" s="15" t="s">
        <v>1277</v>
      </c>
      <c r="L1517" s="32">
        <f>Data!$D1517/10^6</f>
        <v>97.048945000000003</v>
      </c>
    </row>
    <row r="1518" spans="1:12" x14ac:dyDescent="0.25">
      <c r="A1518" s="29" t="s">
        <v>36</v>
      </c>
      <c r="B1518" s="15" t="s">
        <v>1155</v>
      </c>
      <c r="C1518" s="15" t="s">
        <v>10</v>
      </c>
      <c r="D1518" s="16">
        <v>19680000</v>
      </c>
      <c r="E1518" s="17">
        <v>45474</v>
      </c>
      <c r="F1518" s="18">
        <f>MONTH(Data!$E1518)</f>
        <v>7</v>
      </c>
      <c r="G1518" s="16">
        <f>YEAR(Data!$E1518)</f>
        <v>2024</v>
      </c>
      <c r="H1518" s="15" t="s">
        <v>15</v>
      </c>
      <c r="I1518" s="15" t="str">
        <f t="shared" si="23"/>
        <v>Doanh nghiệp</v>
      </c>
      <c r="J1518" s="15" t="s">
        <v>1285</v>
      </c>
      <c r="K1518" s="15" t="s">
        <v>1263</v>
      </c>
      <c r="L1518" s="32">
        <f>Data!$D1518/10^6</f>
        <v>19.68</v>
      </c>
    </row>
    <row r="1519" spans="1:12" x14ac:dyDescent="0.25">
      <c r="A1519" s="29" t="s">
        <v>8</v>
      </c>
      <c r="B1519" s="15" t="s">
        <v>1135</v>
      </c>
      <c r="C1519" s="15" t="s">
        <v>10</v>
      </c>
      <c r="D1519" s="16">
        <v>122196364</v>
      </c>
      <c r="E1519" s="17">
        <v>45474</v>
      </c>
      <c r="F1519" s="18">
        <f>MONTH(Data!$E1519)</f>
        <v>7</v>
      </c>
      <c r="G1519" s="16">
        <f>YEAR(Data!$E1519)</f>
        <v>2024</v>
      </c>
      <c r="H1519" s="15" t="s">
        <v>11</v>
      </c>
      <c r="I1519" s="15" t="str">
        <f t="shared" si="23"/>
        <v>Doanh nghiệp</v>
      </c>
      <c r="J1519" s="15" t="s">
        <v>1284</v>
      </c>
      <c r="K1519" s="15" t="s">
        <v>1263</v>
      </c>
      <c r="L1519" s="32">
        <f>Data!$D1519/10^6</f>
        <v>122.196364</v>
      </c>
    </row>
    <row r="1520" spans="1:12" x14ac:dyDescent="0.25">
      <c r="A1520" s="29" t="s">
        <v>30</v>
      </c>
      <c r="B1520" s="15" t="s">
        <v>1132</v>
      </c>
      <c r="C1520" s="15" t="s">
        <v>14</v>
      </c>
      <c r="D1520" s="16">
        <v>44441818</v>
      </c>
      <c r="E1520" s="17">
        <v>45474</v>
      </c>
      <c r="F1520" s="18">
        <f>MONTH(Data!$E1520)</f>
        <v>7</v>
      </c>
      <c r="G1520" s="16">
        <f>YEAR(Data!$E1520)</f>
        <v>2024</v>
      </c>
      <c r="H1520" s="15" t="s">
        <v>32</v>
      </c>
      <c r="I1520" s="15" t="str">
        <f t="shared" si="23"/>
        <v>Doanh nghiệp</v>
      </c>
      <c r="J1520" s="15" t="s">
        <v>1285</v>
      </c>
      <c r="K1520" s="15" t="s">
        <v>1264</v>
      </c>
      <c r="L1520" s="32">
        <f>Data!$D1520/10^6</f>
        <v>44.441817999999998</v>
      </c>
    </row>
    <row r="1521" spans="1:12" x14ac:dyDescent="0.25">
      <c r="A1521" s="29" t="s">
        <v>74</v>
      </c>
      <c r="B1521" s="15" t="s">
        <v>1133</v>
      </c>
      <c r="C1521" s="15" t="s">
        <v>14</v>
      </c>
      <c r="D1521" s="16">
        <v>52181818</v>
      </c>
      <c r="E1521" s="17">
        <v>45474</v>
      </c>
      <c r="F1521" s="18">
        <f>MONTH(Data!$E1521)</f>
        <v>7</v>
      </c>
      <c r="G1521" s="16">
        <f>YEAR(Data!$E1521)</f>
        <v>2024</v>
      </c>
      <c r="H1521" s="15" t="s">
        <v>11</v>
      </c>
      <c r="I1521" s="15" t="str">
        <f t="shared" si="23"/>
        <v>Doanh nghiệp</v>
      </c>
      <c r="J1521" s="15" t="s">
        <v>1284</v>
      </c>
      <c r="K1521" s="15" t="s">
        <v>1264</v>
      </c>
      <c r="L1521" s="32">
        <f>Data!$D1521/10^6</f>
        <v>52.181818</v>
      </c>
    </row>
    <row r="1522" spans="1:12" x14ac:dyDescent="0.25">
      <c r="A1522" s="29" t="s">
        <v>74</v>
      </c>
      <c r="B1522" s="15" t="s">
        <v>1134</v>
      </c>
      <c r="C1522" s="15" t="s">
        <v>149</v>
      </c>
      <c r="D1522" s="16">
        <v>136686509</v>
      </c>
      <c r="E1522" s="17">
        <v>45474</v>
      </c>
      <c r="F1522" s="18">
        <f>MONTH(Data!$E1522)</f>
        <v>7</v>
      </c>
      <c r="G1522" s="16">
        <f>YEAR(Data!$E1522)</f>
        <v>2024</v>
      </c>
      <c r="H1522" s="15" t="s">
        <v>11</v>
      </c>
      <c r="I1522" s="15" t="str">
        <f t="shared" si="23"/>
        <v>Doanh nghiệp</v>
      </c>
      <c r="J1522" s="15" t="s">
        <v>1285</v>
      </c>
      <c r="K1522" s="15" t="s">
        <v>1264</v>
      </c>
      <c r="L1522" s="32">
        <f>Data!$D1522/10^6</f>
        <v>136.686509</v>
      </c>
    </row>
    <row r="1523" spans="1:12" x14ac:dyDescent="0.25">
      <c r="A1523" s="29" t="s">
        <v>109</v>
      </c>
      <c r="B1523" s="15" t="s">
        <v>1135</v>
      </c>
      <c r="C1523" s="15" t="s">
        <v>14</v>
      </c>
      <c r="D1523" s="16">
        <v>24960000</v>
      </c>
      <c r="E1523" s="17">
        <v>45474</v>
      </c>
      <c r="F1523" s="18">
        <f>MONTH(Data!$E1523)</f>
        <v>7</v>
      </c>
      <c r="G1523" s="16">
        <f>YEAR(Data!$E1523)</f>
        <v>2024</v>
      </c>
      <c r="H1523" s="15" t="s">
        <v>22</v>
      </c>
      <c r="I1523" s="15" t="str">
        <f t="shared" si="23"/>
        <v>Doanh nghiệp</v>
      </c>
      <c r="J1523" s="15" t="s">
        <v>1284</v>
      </c>
      <c r="K1523" s="15" t="s">
        <v>1264</v>
      </c>
      <c r="L1523" s="32">
        <f>Data!$D1523/10^6</f>
        <v>24.96</v>
      </c>
    </row>
    <row r="1524" spans="1:12" x14ac:dyDescent="0.25">
      <c r="A1524" s="29" t="s">
        <v>98</v>
      </c>
      <c r="B1524" s="15" t="s">
        <v>1134</v>
      </c>
      <c r="C1524" s="15" t="s">
        <v>10</v>
      </c>
      <c r="D1524" s="16">
        <v>532148725</v>
      </c>
      <c r="E1524" s="17">
        <v>45474</v>
      </c>
      <c r="F1524" s="18">
        <f>MONTH(Data!$E1524)</f>
        <v>7</v>
      </c>
      <c r="G1524" s="16">
        <f>YEAR(Data!$E1524)</f>
        <v>2024</v>
      </c>
      <c r="H1524" s="15" t="s">
        <v>11</v>
      </c>
      <c r="I1524" s="15" t="str">
        <f t="shared" si="23"/>
        <v>Doanh nghiệp</v>
      </c>
      <c r="J1524" s="15" t="s">
        <v>1285</v>
      </c>
      <c r="K1524" s="15" t="s">
        <v>1276</v>
      </c>
      <c r="L1524" s="32">
        <f>Data!$D1524/10^6</f>
        <v>532.14872500000001</v>
      </c>
    </row>
    <row r="1525" spans="1:12" x14ac:dyDescent="0.25">
      <c r="A1525" s="29" t="s">
        <v>78</v>
      </c>
      <c r="B1525" s="15" t="s">
        <v>1151</v>
      </c>
      <c r="C1525" s="15" t="s">
        <v>14</v>
      </c>
      <c r="D1525" s="16">
        <v>90650000</v>
      </c>
      <c r="E1525" s="17">
        <v>45474</v>
      </c>
      <c r="F1525" s="18">
        <f>MONTH(Data!$E1525)</f>
        <v>7</v>
      </c>
      <c r="G1525" s="16">
        <f>YEAR(Data!$E1525)</f>
        <v>2024</v>
      </c>
      <c r="H1525" s="15" t="s">
        <v>15</v>
      </c>
      <c r="I1525" s="15" t="str">
        <f t="shared" si="23"/>
        <v>Doanh nghiệp</v>
      </c>
      <c r="J1525" s="15" t="s">
        <v>1284</v>
      </c>
      <c r="K1525" s="15" t="s">
        <v>1264</v>
      </c>
      <c r="L1525" s="32">
        <f>Data!$D1525/10^6</f>
        <v>90.65</v>
      </c>
    </row>
    <row r="1526" spans="1:12" x14ac:dyDescent="0.25">
      <c r="A1526" s="29" t="s">
        <v>89</v>
      </c>
      <c r="B1526" s="15" t="s">
        <v>1130</v>
      </c>
      <c r="C1526" s="15" t="s">
        <v>10</v>
      </c>
      <c r="D1526" s="16">
        <v>55034545</v>
      </c>
      <c r="E1526" s="17">
        <v>45474</v>
      </c>
      <c r="F1526" s="18">
        <f>MONTH(Data!$E1526)</f>
        <v>7</v>
      </c>
      <c r="G1526" s="16">
        <f>YEAR(Data!$E1526)</f>
        <v>2024</v>
      </c>
      <c r="H1526" s="15" t="s">
        <v>11</v>
      </c>
      <c r="I1526" s="15" t="str">
        <f t="shared" si="23"/>
        <v>Doanh nghiệp</v>
      </c>
      <c r="J1526" s="15" t="s">
        <v>1285</v>
      </c>
      <c r="K1526" s="15" t="s">
        <v>1278</v>
      </c>
      <c r="L1526" s="32">
        <f>Data!$D1526/10^6</f>
        <v>55.034545000000001</v>
      </c>
    </row>
    <row r="1527" spans="1:12" x14ac:dyDescent="0.25">
      <c r="A1527" s="29" t="s">
        <v>255</v>
      </c>
      <c r="B1527" s="15" t="s">
        <v>1165</v>
      </c>
      <c r="C1527" s="15" t="s">
        <v>10</v>
      </c>
      <c r="D1527" s="16">
        <v>109545176</v>
      </c>
      <c r="E1527" s="17">
        <v>45474</v>
      </c>
      <c r="F1527" s="18">
        <f>MONTH(Data!$E1527)</f>
        <v>7</v>
      </c>
      <c r="G1527" s="16">
        <f>YEAR(Data!$E1527)</f>
        <v>2024</v>
      </c>
      <c r="H1527" s="15" t="s">
        <v>11</v>
      </c>
      <c r="I1527" s="15" t="str">
        <f t="shared" si="23"/>
        <v>Doanh nghiệp</v>
      </c>
      <c r="J1527" s="15" t="s">
        <v>1284</v>
      </c>
      <c r="K1527" s="15" t="s">
        <v>1262</v>
      </c>
      <c r="L1527" s="32">
        <f>Data!$D1527/10^6</f>
        <v>109.545176</v>
      </c>
    </row>
    <row r="1528" spans="1:12" x14ac:dyDescent="0.25">
      <c r="A1528" s="29" t="s">
        <v>73</v>
      </c>
      <c r="B1528" s="15" t="s">
        <v>1169</v>
      </c>
      <c r="C1528" s="15" t="s">
        <v>10</v>
      </c>
      <c r="D1528" s="16">
        <v>110036493</v>
      </c>
      <c r="E1528" s="17">
        <v>45474</v>
      </c>
      <c r="F1528" s="18">
        <f>MONTH(Data!$E1528)</f>
        <v>7</v>
      </c>
      <c r="G1528" s="16">
        <f>YEAR(Data!$E1528)</f>
        <v>2024</v>
      </c>
      <c r="H1528" s="15" t="s">
        <v>32</v>
      </c>
      <c r="I1528" s="15" t="str">
        <f t="shared" si="23"/>
        <v>Doanh nghiệp</v>
      </c>
      <c r="J1528" s="15" t="s">
        <v>1285</v>
      </c>
      <c r="K1528" s="15" t="s">
        <v>1262</v>
      </c>
      <c r="L1528" s="32">
        <f>Data!$D1528/10^6</f>
        <v>110.03649299999999</v>
      </c>
    </row>
    <row r="1529" spans="1:12" x14ac:dyDescent="0.25">
      <c r="A1529" s="29" t="s">
        <v>95</v>
      </c>
      <c r="B1529" s="15" t="s">
        <v>1201</v>
      </c>
      <c r="C1529" s="15" t="s">
        <v>41</v>
      </c>
      <c r="D1529" s="16">
        <v>78590000</v>
      </c>
      <c r="E1529" s="17">
        <v>45474</v>
      </c>
      <c r="F1529" s="18">
        <f>MONTH(Data!$E1529)</f>
        <v>7</v>
      </c>
      <c r="G1529" s="16">
        <f>YEAR(Data!$E1529)</f>
        <v>2024</v>
      </c>
      <c r="H1529" s="15" t="s">
        <v>35</v>
      </c>
      <c r="I1529" s="15" t="str">
        <f t="shared" si="23"/>
        <v>Doanh nghiệp</v>
      </c>
      <c r="J1529" s="15" t="s">
        <v>1284</v>
      </c>
      <c r="K1529" s="15" t="s">
        <v>1280</v>
      </c>
      <c r="L1529" s="32">
        <f>Data!$D1529/10^6</f>
        <v>78.59</v>
      </c>
    </row>
    <row r="1530" spans="1:12" x14ac:dyDescent="0.25">
      <c r="A1530" s="29" t="s">
        <v>95</v>
      </c>
      <c r="B1530" s="15" t="s">
        <v>1202</v>
      </c>
      <c r="C1530" s="15" t="s">
        <v>41</v>
      </c>
      <c r="D1530" s="16">
        <v>77288273</v>
      </c>
      <c r="E1530" s="17">
        <v>45474</v>
      </c>
      <c r="F1530" s="18">
        <f>MONTH(Data!$E1530)</f>
        <v>7</v>
      </c>
      <c r="G1530" s="16">
        <f>YEAR(Data!$E1530)</f>
        <v>2024</v>
      </c>
      <c r="H1530" s="15" t="s">
        <v>35</v>
      </c>
      <c r="I1530" s="15" t="str">
        <f t="shared" si="23"/>
        <v>Doanh nghiệp</v>
      </c>
      <c r="J1530" s="15" t="s">
        <v>1285</v>
      </c>
      <c r="K1530" s="15" t="s">
        <v>1269</v>
      </c>
      <c r="L1530" s="32">
        <f>Data!$D1530/10^6</f>
        <v>77.288273000000004</v>
      </c>
    </row>
    <row r="1531" spans="1:12" x14ac:dyDescent="0.25">
      <c r="A1531" s="29" t="s">
        <v>30</v>
      </c>
      <c r="B1531" s="15" t="s">
        <v>1219</v>
      </c>
      <c r="C1531" s="15" t="s">
        <v>10</v>
      </c>
      <c r="D1531" s="16">
        <v>7625000</v>
      </c>
      <c r="E1531" s="17">
        <v>45474</v>
      </c>
      <c r="F1531" s="18">
        <f>MONTH(Data!$E1531)</f>
        <v>7</v>
      </c>
      <c r="G1531" s="16">
        <f>YEAR(Data!$E1531)</f>
        <v>2024</v>
      </c>
      <c r="H1531" s="15" t="s">
        <v>32</v>
      </c>
      <c r="I1531" s="15" t="str">
        <f t="shared" si="23"/>
        <v>Doanh nghiệp</v>
      </c>
      <c r="J1531" s="15" t="s">
        <v>1284</v>
      </c>
      <c r="K1531" s="15" t="s">
        <v>1262</v>
      </c>
      <c r="L1531" s="32">
        <f>Data!$D1531/10^6</f>
        <v>7.625</v>
      </c>
    </row>
    <row r="1532" spans="1:12" x14ac:dyDescent="0.25">
      <c r="A1532" s="29" t="s">
        <v>30</v>
      </c>
      <c r="B1532" s="15" t="s">
        <v>1220</v>
      </c>
      <c r="C1532" s="15" t="s">
        <v>149</v>
      </c>
      <c r="D1532" s="16">
        <v>18733091</v>
      </c>
      <c r="E1532" s="17">
        <v>45474</v>
      </c>
      <c r="F1532" s="18">
        <f>MONTH(Data!$E1532)</f>
        <v>7</v>
      </c>
      <c r="G1532" s="16">
        <f>YEAR(Data!$E1532)</f>
        <v>2024</v>
      </c>
      <c r="H1532" s="15" t="s">
        <v>32</v>
      </c>
      <c r="I1532" s="15" t="str">
        <f t="shared" si="23"/>
        <v>Doanh nghiệp</v>
      </c>
      <c r="J1532" s="15" t="s">
        <v>1285</v>
      </c>
      <c r="K1532" s="15" t="s">
        <v>1275</v>
      </c>
      <c r="L1532" s="32">
        <f>Data!$D1532/10^6</f>
        <v>18.733091000000002</v>
      </c>
    </row>
    <row r="1533" spans="1:12" x14ac:dyDescent="0.25">
      <c r="A1533" s="29" t="s">
        <v>74</v>
      </c>
      <c r="B1533" s="15" t="s">
        <v>1239</v>
      </c>
      <c r="C1533" s="15" t="s">
        <v>10</v>
      </c>
      <c r="D1533" s="16">
        <v>88292909</v>
      </c>
      <c r="E1533" s="17">
        <v>45474</v>
      </c>
      <c r="F1533" s="18">
        <f>MONTH(Data!$E1533)</f>
        <v>7</v>
      </c>
      <c r="G1533" s="16">
        <f>YEAR(Data!$E1533)</f>
        <v>2024</v>
      </c>
      <c r="H1533" s="15" t="s">
        <v>11</v>
      </c>
      <c r="I1533" s="15" t="str">
        <f t="shared" si="23"/>
        <v>Doanh nghiệp</v>
      </c>
      <c r="J1533" s="15" t="s">
        <v>1284</v>
      </c>
      <c r="K1533" s="15" t="s">
        <v>1278</v>
      </c>
      <c r="L1533" s="32">
        <f>Data!$D1533/10^6</f>
        <v>88.292908999999995</v>
      </c>
    </row>
    <row r="1534" spans="1:12" x14ac:dyDescent="0.25">
      <c r="A1534" s="29" t="s">
        <v>127</v>
      </c>
      <c r="B1534" s="15" t="s">
        <v>1239</v>
      </c>
      <c r="C1534" s="15" t="s">
        <v>149</v>
      </c>
      <c r="D1534" s="16">
        <v>65727056</v>
      </c>
      <c r="E1534" s="17">
        <v>45474</v>
      </c>
      <c r="F1534" s="18">
        <f>MONTH(Data!$E1534)</f>
        <v>7</v>
      </c>
      <c r="G1534" s="16">
        <f>YEAR(Data!$E1534)</f>
        <v>2024</v>
      </c>
      <c r="H1534" s="15" t="s">
        <v>32</v>
      </c>
      <c r="I1534" s="15" t="str">
        <f t="shared" si="23"/>
        <v>Doanh nghiệp</v>
      </c>
      <c r="J1534" s="15" t="s">
        <v>1285</v>
      </c>
      <c r="K1534" s="15" t="s">
        <v>1263</v>
      </c>
      <c r="L1534" s="32">
        <f>Data!$D1534/10^6</f>
        <v>65.727056000000005</v>
      </c>
    </row>
    <row r="1535" spans="1:12" x14ac:dyDescent="0.25">
      <c r="A1535" s="29" t="s">
        <v>209</v>
      </c>
      <c r="B1535" s="15" t="s">
        <v>1249</v>
      </c>
      <c r="C1535" s="15" t="s">
        <v>14</v>
      </c>
      <c r="D1535" s="16">
        <v>151977545</v>
      </c>
      <c r="E1535" s="17">
        <v>45474</v>
      </c>
      <c r="F1535" s="18">
        <f>MONTH(Data!$E1535)</f>
        <v>7</v>
      </c>
      <c r="G1535" s="16">
        <f>YEAR(Data!$E1535)</f>
        <v>2024</v>
      </c>
      <c r="H1535" s="15" t="s">
        <v>32</v>
      </c>
      <c r="I1535" s="15" t="str">
        <f t="shared" si="23"/>
        <v>Doanh nghiệp</v>
      </c>
      <c r="J1535" s="15" t="s">
        <v>1284</v>
      </c>
      <c r="K1535" s="15" t="s">
        <v>1264</v>
      </c>
      <c r="L1535" s="32">
        <f>Data!$D1535/10^6</f>
        <v>151.97754499999999</v>
      </c>
    </row>
    <row r="1536" spans="1:12" x14ac:dyDescent="0.25">
      <c r="A1536" s="29" t="s">
        <v>13</v>
      </c>
      <c r="B1536" s="15" t="s">
        <v>1248</v>
      </c>
      <c r="C1536" s="15" t="s">
        <v>46</v>
      </c>
      <c r="D1536" s="16">
        <v>33150000</v>
      </c>
      <c r="E1536" s="17">
        <v>45474</v>
      </c>
      <c r="F1536" s="18">
        <f>MONTH(Data!$E1536)</f>
        <v>7</v>
      </c>
      <c r="G1536" s="16">
        <f>YEAR(Data!$E1536)</f>
        <v>2024</v>
      </c>
      <c r="H1536" s="15" t="s">
        <v>15</v>
      </c>
      <c r="I1536" s="15" t="str">
        <f t="shared" si="23"/>
        <v>Doanh nghiệp</v>
      </c>
      <c r="J1536" s="15" t="s">
        <v>1285</v>
      </c>
      <c r="K1536" s="15" t="s">
        <v>1265</v>
      </c>
      <c r="L1536" s="32">
        <f>Data!$D1536/10^6</f>
        <v>33.15</v>
      </c>
    </row>
    <row r="1537" spans="1:12" x14ac:dyDescent="0.25">
      <c r="A1537" s="29" t="s">
        <v>119</v>
      </c>
      <c r="B1537" s="15" t="s">
        <v>1249</v>
      </c>
      <c r="C1537" s="15" t="s">
        <v>10</v>
      </c>
      <c r="D1537" s="16">
        <v>11544636</v>
      </c>
      <c r="E1537" s="17">
        <v>45474</v>
      </c>
      <c r="F1537" s="18">
        <f>MONTH(Data!$E1537)</f>
        <v>7</v>
      </c>
      <c r="G1537" s="16">
        <f>YEAR(Data!$E1537)</f>
        <v>2024</v>
      </c>
      <c r="H1537" s="15" t="s">
        <v>35</v>
      </c>
      <c r="I1537" s="15" t="str">
        <f t="shared" si="23"/>
        <v>Doanh nghiệp</v>
      </c>
      <c r="J1537" s="15" t="s">
        <v>1284</v>
      </c>
      <c r="K1537" s="15" t="s">
        <v>1263</v>
      </c>
      <c r="L1537" s="32">
        <f>Data!$D1537/10^6</f>
        <v>11.544636000000001</v>
      </c>
    </row>
    <row r="1538" spans="1:12" x14ac:dyDescent="0.25">
      <c r="A1538" s="29" t="s">
        <v>17</v>
      </c>
      <c r="B1538" s="15" t="s">
        <v>1246</v>
      </c>
      <c r="C1538" s="15" t="s">
        <v>14</v>
      </c>
      <c r="D1538" s="16">
        <v>45050000</v>
      </c>
      <c r="E1538" s="17">
        <v>45474</v>
      </c>
      <c r="F1538" s="18">
        <f>MONTH(Data!$E1538)</f>
        <v>7</v>
      </c>
      <c r="G1538" s="16">
        <f>YEAR(Data!$E1538)</f>
        <v>2024</v>
      </c>
      <c r="H1538" s="15" t="s">
        <v>11</v>
      </c>
      <c r="I1538" s="15" t="str">
        <f t="shared" si="23"/>
        <v>Doanh nghiệp</v>
      </c>
      <c r="J1538" s="15" t="s">
        <v>1285</v>
      </c>
      <c r="K1538" s="15" t="s">
        <v>1275</v>
      </c>
      <c r="L1538" s="32">
        <f>Data!$D1538/10^6</f>
        <v>45.05</v>
      </c>
    </row>
    <row r="1539" spans="1:12" x14ac:dyDescent="0.25">
      <c r="A1539" s="29" t="s">
        <v>100</v>
      </c>
      <c r="B1539" s="15" t="s">
        <v>1247</v>
      </c>
      <c r="C1539" s="15" t="s">
        <v>10</v>
      </c>
      <c r="D1539" s="16">
        <v>77277273</v>
      </c>
      <c r="E1539" s="17">
        <v>45474</v>
      </c>
      <c r="F1539" s="18">
        <f>MONTH(Data!$E1539)</f>
        <v>7</v>
      </c>
      <c r="G1539" s="16">
        <f>YEAR(Data!$E1539)</f>
        <v>2024</v>
      </c>
      <c r="H1539" s="15" t="s">
        <v>42</v>
      </c>
      <c r="I1539" s="15" t="str">
        <f t="shared" ref="I1539:I1602" si="24">IF(ISNUMBER(SEARCH("Công ty",$B1539)),"Doanh nghiệp",IF(ISNUMBER(SEARCH("Doanh nghiệp",$B1539)),"Doanh nghiệp",IF(ISNUMBER(SEARCH("Tập đoàn",$B1539)),"Doanh nghiệp",
IF(ISNUMBER(SEARCH("Bệnh viện",$B1539)),"Bệnh viện",
IF(ISNUMBER(SEARCH("Ngân hàng",$B1539)),"Ngân hàng",IF(ISNUMBER(SEARCH("trường",$B1539)),"Trường học",IF(ISNUMBER(SEARCH("học viện",$B1539)),"Trường học",
IF(ISNUMBER(SEARCH("Bộ",$B1539)),"Sở ban ngành",IF(ISNUMBER(SEARCH("Đoàn",$B1539)),"Sở ban ngành",IF(ISNUMBER(SEARCH("Phòng",$B1539)),"Sở ban ngành",IF(ISNUMBER(SEARCH("UBND",$B1539)),"Sở ban ngành",IF(ISNUMBER(SEARCH("ủy ban",$B1539)),"Sở ban ngành",IF(ISNUMBER(SEARCH("công an",$B1539)),"Sở ban ngành",IF(ISNUMBER(SEARCH("sở",$B1539)),"Sở ban ngành",IF(ISNUMBER(SEARCH("thôn",$B1539)),"Sở ban ngành",IF(ISNUMBER(SEARCH("xã",$B1539)),"Sở ban ngành",IF(ISNUMBER(SEARCH("quân khu",$B1539)),"Sở ban ngành",IF(ISNUMBER(SEARCH("cục",$B1539)),"Sở ban ngành",IF(ISNUMBER(SEARCH("viện",$B1539)),"Sở ban ngành",IF(ISNUMBER(SEARCH("quỹ",$B1539)),"Sở ban ngành",IF(ISNUMBER(SEARCH("trung tâm",$B1539)),"Sở ban ngành",IF(ISNUMBER(SEARCH("quân chủng",$B1539)),"Sở ban ngành",IF(ISNUMBER(SEARCH("hội",$B1539)),"Sở ban ngành",
"Khác")))))))))))))))))))))))</f>
        <v>Doanh nghiệp</v>
      </c>
      <c r="J1539" s="15" t="s">
        <v>1284</v>
      </c>
      <c r="K1539" s="15" t="s">
        <v>1263</v>
      </c>
      <c r="L1539" s="32">
        <f>Data!$D1539/10^6</f>
        <v>77.277272999999994</v>
      </c>
    </row>
    <row r="1540" spans="1:12" x14ac:dyDescent="0.25">
      <c r="A1540" s="29" t="s">
        <v>17</v>
      </c>
      <c r="B1540" s="15" t="s">
        <v>1248</v>
      </c>
      <c r="C1540" s="15" t="s">
        <v>14</v>
      </c>
      <c r="D1540" s="16">
        <v>12363636</v>
      </c>
      <c r="E1540" s="17">
        <v>45474</v>
      </c>
      <c r="F1540" s="18">
        <f>MONTH(Data!$E1540)</f>
        <v>7</v>
      </c>
      <c r="G1540" s="16">
        <f>YEAR(Data!$E1540)</f>
        <v>2024</v>
      </c>
      <c r="H1540" s="15" t="s">
        <v>11</v>
      </c>
      <c r="I1540" s="15" t="str">
        <f t="shared" si="24"/>
        <v>Doanh nghiệp</v>
      </c>
      <c r="J1540" s="15" t="s">
        <v>1285</v>
      </c>
      <c r="K1540" s="15" t="s">
        <v>1275</v>
      </c>
      <c r="L1540" s="32">
        <f>Data!$D1540/10^6</f>
        <v>12.363636</v>
      </c>
    </row>
    <row r="1541" spans="1:12" x14ac:dyDescent="0.25">
      <c r="A1541" s="29" t="s">
        <v>62</v>
      </c>
      <c r="B1541" s="15" t="s">
        <v>1247</v>
      </c>
      <c r="C1541" s="15" t="s">
        <v>46</v>
      </c>
      <c r="D1541" s="16">
        <v>18070000</v>
      </c>
      <c r="E1541" s="17">
        <v>45474</v>
      </c>
      <c r="F1541" s="18">
        <f>MONTH(Data!$E1541)</f>
        <v>7</v>
      </c>
      <c r="G1541" s="16">
        <f>YEAR(Data!$E1541)</f>
        <v>2024</v>
      </c>
      <c r="H1541" s="15" t="s">
        <v>15</v>
      </c>
      <c r="I1541" s="15" t="str">
        <f t="shared" si="24"/>
        <v>Doanh nghiệp</v>
      </c>
      <c r="J1541" s="15" t="s">
        <v>1284</v>
      </c>
      <c r="K1541" s="15" t="s">
        <v>1271</v>
      </c>
      <c r="L1541" s="32">
        <f>Data!$D1541/10^6</f>
        <v>18.07</v>
      </c>
    </row>
    <row r="1542" spans="1:12" x14ac:dyDescent="0.25">
      <c r="A1542" s="29" t="s">
        <v>54</v>
      </c>
      <c r="B1542" s="15" t="s">
        <v>429</v>
      </c>
      <c r="C1542" s="15" t="s">
        <v>10</v>
      </c>
      <c r="D1542" s="16">
        <v>35865000</v>
      </c>
      <c r="E1542" s="17">
        <v>45474</v>
      </c>
      <c r="F1542" s="18">
        <f>MONTH(Data!$E1542)</f>
        <v>7</v>
      </c>
      <c r="G1542" s="16">
        <f>YEAR(Data!$E1542)</f>
        <v>2024</v>
      </c>
      <c r="H1542" s="15" t="s">
        <v>15</v>
      </c>
      <c r="I1542" s="15" t="str">
        <f t="shared" si="24"/>
        <v>Sở ban ngành</v>
      </c>
      <c r="J1542" s="15" t="s">
        <v>1285</v>
      </c>
      <c r="K1542" s="15" t="s">
        <v>1262</v>
      </c>
      <c r="L1542" s="32">
        <f>Data!$D1542/10^6</f>
        <v>35.865000000000002</v>
      </c>
    </row>
    <row r="1543" spans="1:12" x14ac:dyDescent="0.25">
      <c r="A1543" s="29" t="s">
        <v>37</v>
      </c>
      <c r="B1543" s="15" t="s">
        <v>444</v>
      </c>
      <c r="C1543" s="15" t="s">
        <v>14</v>
      </c>
      <c r="D1543" s="16">
        <v>436200000</v>
      </c>
      <c r="E1543" s="17">
        <v>45474</v>
      </c>
      <c r="F1543" s="18">
        <f>MONTH(Data!$E1543)</f>
        <v>7</v>
      </c>
      <c r="G1543" s="16">
        <f>YEAR(Data!$E1543)</f>
        <v>2024</v>
      </c>
      <c r="H1543" s="15" t="s">
        <v>11</v>
      </c>
      <c r="I1543" s="15" t="str">
        <f t="shared" si="24"/>
        <v>Sở ban ngành</v>
      </c>
      <c r="J1543" s="15" t="s">
        <v>1284</v>
      </c>
      <c r="K1543" s="15" t="s">
        <v>1272</v>
      </c>
      <c r="L1543" s="32">
        <f>Data!$D1543/10^6</f>
        <v>436.2</v>
      </c>
    </row>
    <row r="1544" spans="1:12" x14ac:dyDescent="0.25">
      <c r="A1544" s="29" t="s">
        <v>65</v>
      </c>
      <c r="B1544" s="15" t="s">
        <v>1061</v>
      </c>
      <c r="C1544" s="15" t="s">
        <v>41</v>
      </c>
      <c r="D1544" s="16">
        <v>162145455</v>
      </c>
      <c r="E1544" s="17">
        <v>45474</v>
      </c>
      <c r="F1544" s="18">
        <f>MONTH(Data!$E1544)</f>
        <v>7</v>
      </c>
      <c r="G1544" s="16">
        <f>YEAR(Data!$E1544)</f>
        <v>2024</v>
      </c>
      <c r="H1544" s="15" t="s">
        <v>25</v>
      </c>
      <c r="I1544" s="15" t="str">
        <f t="shared" si="24"/>
        <v>Doanh nghiệp</v>
      </c>
      <c r="J1544" s="15" t="s">
        <v>1285</v>
      </c>
      <c r="K1544" s="15" t="s">
        <v>1269</v>
      </c>
      <c r="L1544" s="32">
        <f>Data!$D1544/10^6</f>
        <v>162.145455</v>
      </c>
    </row>
    <row r="1545" spans="1:12" x14ac:dyDescent="0.25">
      <c r="A1545" s="29" t="s">
        <v>87</v>
      </c>
      <c r="B1545" s="15" t="s">
        <v>1091</v>
      </c>
      <c r="C1545" s="15" t="s">
        <v>46</v>
      </c>
      <c r="D1545" s="16">
        <v>107058182</v>
      </c>
      <c r="E1545" s="17">
        <v>45474</v>
      </c>
      <c r="F1545" s="18">
        <f>MONTH(Data!$E1545)</f>
        <v>7</v>
      </c>
      <c r="G1545" s="16">
        <f>YEAR(Data!$E1545)</f>
        <v>2024</v>
      </c>
      <c r="H1545" s="15" t="s">
        <v>29</v>
      </c>
      <c r="I1545" s="15" t="str">
        <f t="shared" si="24"/>
        <v>Doanh nghiệp</v>
      </c>
      <c r="J1545" s="15" t="s">
        <v>1284</v>
      </c>
      <c r="K1545" s="15" t="s">
        <v>1271</v>
      </c>
      <c r="L1545" s="32">
        <f>Data!$D1545/10^6</f>
        <v>107.058182</v>
      </c>
    </row>
    <row r="1546" spans="1:12" x14ac:dyDescent="0.25">
      <c r="A1546" s="29" t="s">
        <v>87</v>
      </c>
      <c r="B1546" s="15" t="s">
        <v>1092</v>
      </c>
      <c r="C1546" s="15" t="s">
        <v>46</v>
      </c>
      <c r="D1546" s="16">
        <v>400909091</v>
      </c>
      <c r="E1546" s="17">
        <v>45474</v>
      </c>
      <c r="F1546" s="18">
        <f>MONTH(Data!$E1546)</f>
        <v>7</v>
      </c>
      <c r="G1546" s="16">
        <f>YEAR(Data!$E1546)</f>
        <v>2024</v>
      </c>
      <c r="H1546" s="15" t="s">
        <v>29</v>
      </c>
      <c r="I1546" s="15" t="str">
        <f t="shared" si="24"/>
        <v>Doanh nghiệp</v>
      </c>
      <c r="J1546" s="15" t="s">
        <v>1285</v>
      </c>
      <c r="K1546" s="15" t="s">
        <v>1271</v>
      </c>
      <c r="L1546" s="32">
        <f>Data!$D1546/10^6</f>
        <v>400.90909099999999</v>
      </c>
    </row>
    <row r="1547" spans="1:12" x14ac:dyDescent="0.25">
      <c r="A1547" s="29" t="s">
        <v>87</v>
      </c>
      <c r="B1547" s="15" t="s">
        <v>1093</v>
      </c>
      <c r="C1547" s="15" t="s">
        <v>46</v>
      </c>
      <c r="D1547" s="16">
        <v>57127273</v>
      </c>
      <c r="E1547" s="17">
        <v>45474</v>
      </c>
      <c r="F1547" s="18">
        <f>MONTH(Data!$E1547)</f>
        <v>7</v>
      </c>
      <c r="G1547" s="16">
        <f>YEAR(Data!$E1547)</f>
        <v>2024</v>
      </c>
      <c r="H1547" s="15" t="s">
        <v>29</v>
      </c>
      <c r="I1547" s="15" t="str">
        <f t="shared" si="24"/>
        <v>Doanh nghiệp</v>
      </c>
      <c r="J1547" s="15" t="s">
        <v>1284</v>
      </c>
      <c r="K1547" s="15" t="s">
        <v>1271</v>
      </c>
      <c r="L1547" s="32">
        <f>Data!$D1547/10^6</f>
        <v>57.127273000000002</v>
      </c>
    </row>
    <row r="1548" spans="1:12" x14ac:dyDescent="0.25">
      <c r="A1548" s="29" t="s">
        <v>87</v>
      </c>
      <c r="B1548" s="15" t="s">
        <v>1094</v>
      </c>
      <c r="C1548" s="15" t="s">
        <v>46</v>
      </c>
      <c r="D1548" s="16">
        <v>381054545</v>
      </c>
      <c r="E1548" s="17">
        <v>45474</v>
      </c>
      <c r="F1548" s="18">
        <f>MONTH(Data!$E1548)</f>
        <v>7</v>
      </c>
      <c r="G1548" s="16">
        <f>YEAR(Data!$E1548)</f>
        <v>2024</v>
      </c>
      <c r="H1548" s="15" t="s">
        <v>29</v>
      </c>
      <c r="I1548" s="15" t="str">
        <f t="shared" si="24"/>
        <v>Doanh nghiệp</v>
      </c>
      <c r="J1548" s="15" t="s">
        <v>1285</v>
      </c>
      <c r="K1548" s="15" t="s">
        <v>1271</v>
      </c>
      <c r="L1548" s="32">
        <f>Data!$D1548/10^6</f>
        <v>381.05454500000002</v>
      </c>
    </row>
    <row r="1549" spans="1:12" x14ac:dyDescent="0.25">
      <c r="A1549" s="29" t="s">
        <v>74</v>
      </c>
      <c r="B1549" s="15" t="s">
        <v>446</v>
      </c>
      <c r="C1549" s="15" t="s">
        <v>10</v>
      </c>
      <c r="D1549" s="16">
        <v>45310000</v>
      </c>
      <c r="E1549" s="17">
        <v>45474</v>
      </c>
      <c r="F1549" s="18">
        <f>MONTH(Data!$E1549)</f>
        <v>7</v>
      </c>
      <c r="G1549" s="16">
        <f>YEAR(Data!$E1549)</f>
        <v>2024</v>
      </c>
      <c r="H1549" s="15" t="s">
        <v>11</v>
      </c>
      <c r="I1549" s="15" t="str">
        <f t="shared" si="24"/>
        <v>Sở ban ngành</v>
      </c>
      <c r="J1549" s="15" t="s">
        <v>1284</v>
      </c>
      <c r="K1549" s="15" t="s">
        <v>1263</v>
      </c>
      <c r="L1549" s="32">
        <f>Data!$D1549/10^6</f>
        <v>45.31</v>
      </c>
    </row>
    <row r="1550" spans="1:12" x14ac:dyDescent="0.25">
      <c r="A1550" s="29" t="s">
        <v>45</v>
      </c>
      <c r="B1550" s="15" t="s">
        <v>428</v>
      </c>
      <c r="C1550" s="15" t="s">
        <v>149</v>
      </c>
      <c r="D1550" s="16">
        <v>8959091</v>
      </c>
      <c r="E1550" s="17">
        <v>45474</v>
      </c>
      <c r="F1550" s="18">
        <f>MONTH(Data!$E1550)</f>
        <v>7</v>
      </c>
      <c r="G1550" s="16">
        <f>YEAR(Data!$E1550)</f>
        <v>2024</v>
      </c>
      <c r="H1550" s="15" t="s">
        <v>29</v>
      </c>
      <c r="I1550" s="15" t="str">
        <f t="shared" si="24"/>
        <v>Sở ban ngành</v>
      </c>
      <c r="J1550" s="15" t="s">
        <v>1285</v>
      </c>
      <c r="K1550" s="15" t="s">
        <v>1263</v>
      </c>
      <c r="L1550" s="32">
        <f>Data!$D1550/10^6</f>
        <v>8.9590910000000008</v>
      </c>
    </row>
    <row r="1551" spans="1:12" x14ac:dyDescent="0.25">
      <c r="A1551" s="29" t="s">
        <v>75</v>
      </c>
      <c r="B1551" s="15" t="s">
        <v>443</v>
      </c>
      <c r="C1551" s="15" t="s">
        <v>149</v>
      </c>
      <c r="D1551" s="16">
        <v>21027273</v>
      </c>
      <c r="E1551" s="17">
        <v>45474</v>
      </c>
      <c r="F1551" s="18">
        <f>MONTH(Data!$E1551)</f>
        <v>7</v>
      </c>
      <c r="G1551" s="16">
        <f>YEAR(Data!$E1551)</f>
        <v>2024</v>
      </c>
      <c r="H1551" s="15" t="s">
        <v>15</v>
      </c>
      <c r="I1551" s="15" t="str">
        <f t="shared" si="24"/>
        <v>Sở ban ngành</v>
      </c>
      <c r="J1551" s="15" t="s">
        <v>1284</v>
      </c>
      <c r="K1551" s="15" t="s">
        <v>1263</v>
      </c>
      <c r="L1551" s="32">
        <f>Data!$D1551/10^6</f>
        <v>21.027273000000001</v>
      </c>
    </row>
    <row r="1552" spans="1:12" x14ac:dyDescent="0.25">
      <c r="A1552" s="29" t="s">
        <v>89</v>
      </c>
      <c r="B1552" s="15" t="s">
        <v>1253</v>
      </c>
      <c r="C1552" s="15" t="s">
        <v>10</v>
      </c>
      <c r="D1552" s="16">
        <v>10000000</v>
      </c>
      <c r="E1552" s="17">
        <v>45474</v>
      </c>
      <c r="F1552" s="18">
        <f>MONTH(Data!$E1552)</f>
        <v>7</v>
      </c>
      <c r="G1552" s="16">
        <f>YEAR(Data!$E1552)</f>
        <v>2024</v>
      </c>
      <c r="H1552" s="15" t="s">
        <v>11</v>
      </c>
      <c r="I1552" s="15" t="str">
        <f t="shared" si="24"/>
        <v>Trường học</v>
      </c>
      <c r="J1552" s="15" t="s">
        <v>1285</v>
      </c>
      <c r="K1552" s="15" t="s">
        <v>1272</v>
      </c>
      <c r="L1552" s="32">
        <f>Data!$D1552/10^6</f>
        <v>10</v>
      </c>
    </row>
    <row r="1553" spans="1:12" x14ac:dyDescent="0.25">
      <c r="A1553" s="29" t="s">
        <v>27</v>
      </c>
      <c r="B1553" s="15" t="s">
        <v>433</v>
      </c>
      <c r="C1553" s="15" t="s">
        <v>46</v>
      </c>
      <c r="D1553" s="16">
        <v>53238000</v>
      </c>
      <c r="E1553" s="17">
        <v>45474</v>
      </c>
      <c r="F1553" s="18">
        <f>MONTH(Data!$E1553)</f>
        <v>7</v>
      </c>
      <c r="G1553" s="16">
        <f>YEAR(Data!$E1553)</f>
        <v>2024</v>
      </c>
      <c r="H1553" s="15" t="s">
        <v>11</v>
      </c>
      <c r="I1553" s="15" t="str">
        <f t="shared" si="24"/>
        <v>Sở ban ngành</v>
      </c>
      <c r="J1553" s="15" t="s">
        <v>1284</v>
      </c>
      <c r="K1553" s="15" t="s">
        <v>1271</v>
      </c>
      <c r="L1553" s="32">
        <f>Data!$D1553/10^6</f>
        <v>53.238</v>
      </c>
    </row>
    <row r="1554" spans="1:12" x14ac:dyDescent="0.25">
      <c r="A1554" s="29" t="s">
        <v>191</v>
      </c>
      <c r="B1554" s="15" t="s">
        <v>380</v>
      </c>
      <c r="C1554" s="15" t="s">
        <v>149</v>
      </c>
      <c r="D1554" s="16">
        <v>27909091</v>
      </c>
      <c r="E1554" s="17">
        <v>45474</v>
      </c>
      <c r="F1554" s="18">
        <f>MONTH(Data!$E1554)</f>
        <v>7</v>
      </c>
      <c r="G1554" s="16">
        <f>YEAR(Data!$E1554)</f>
        <v>2024</v>
      </c>
      <c r="H1554" s="15" t="s">
        <v>35</v>
      </c>
      <c r="I1554" s="15" t="str">
        <f t="shared" si="24"/>
        <v>Sở ban ngành</v>
      </c>
      <c r="J1554" s="15" t="s">
        <v>1285</v>
      </c>
      <c r="K1554" s="15" t="s">
        <v>1271</v>
      </c>
      <c r="L1554" s="32">
        <f>Data!$D1554/10^6</f>
        <v>27.909091</v>
      </c>
    </row>
    <row r="1555" spans="1:12" x14ac:dyDescent="0.25">
      <c r="A1555" s="29" t="s">
        <v>13</v>
      </c>
      <c r="B1555" s="15" t="s">
        <v>453</v>
      </c>
      <c r="C1555" s="15" t="s">
        <v>14</v>
      </c>
      <c r="D1555" s="16">
        <v>221469843</v>
      </c>
      <c r="E1555" s="17">
        <v>45474</v>
      </c>
      <c r="F1555" s="18">
        <f>MONTH(Data!$E1555)</f>
        <v>7</v>
      </c>
      <c r="G1555" s="16">
        <f>YEAR(Data!$E1555)</f>
        <v>2024</v>
      </c>
      <c r="H1555" s="15" t="s">
        <v>15</v>
      </c>
      <c r="I1555" s="15" t="str">
        <f t="shared" si="24"/>
        <v>Ngân hàng</v>
      </c>
      <c r="J1555" s="15" t="s">
        <v>1284</v>
      </c>
      <c r="K1555" s="15" t="s">
        <v>1264</v>
      </c>
      <c r="L1555" s="32">
        <f>Data!$D1555/10^6</f>
        <v>221.469843</v>
      </c>
    </row>
    <row r="1556" spans="1:12" x14ac:dyDescent="0.25">
      <c r="A1556" s="29" t="s">
        <v>45</v>
      </c>
      <c r="B1556" s="15" t="s">
        <v>402</v>
      </c>
      <c r="C1556" s="15" t="s">
        <v>14</v>
      </c>
      <c r="D1556" s="16">
        <v>13636364</v>
      </c>
      <c r="E1556" s="17">
        <v>45474</v>
      </c>
      <c r="F1556" s="18">
        <f>MONTH(Data!$E1556)</f>
        <v>7</v>
      </c>
      <c r="G1556" s="16">
        <f>YEAR(Data!$E1556)</f>
        <v>2024</v>
      </c>
      <c r="H1556" s="15" t="s">
        <v>29</v>
      </c>
      <c r="I1556" s="15" t="str">
        <f t="shared" si="24"/>
        <v>Ngân hàng</v>
      </c>
      <c r="J1556" s="15" t="s">
        <v>1285</v>
      </c>
      <c r="K1556" s="15" t="s">
        <v>1264</v>
      </c>
      <c r="L1556" s="32">
        <f>Data!$D1556/10^6</f>
        <v>13.636364</v>
      </c>
    </row>
    <row r="1557" spans="1:12" x14ac:dyDescent="0.25">
      <c r="A1557" s="29" t="s">
        <v>85</v>
      </c>
      <c r="B1557" s="15" t="s">
        <v>412</v>
      </c>
      <c r="C1557" s="15" t="s">
        <v>14</v>
      </c>
      <c r="D1557" s="16">
        <v>20110909</v>
      </c>
      <c r="E1557" s="17">
        <v>45474</v>
      </c>
      <c r="F1557" s="18">
        <f>MONTH(Data!$E1557)</f>
        <v>7</v>
      </c>
      <c r="G1557" s="16">
        <f>YEAR(Data!$E1557)</f>
        <v>2024</v>
      </c>
      <c r="H1557" s="15" t="s">
        <v>15</v>
      </c>
      <c r="I1557" s="15" t="str">
        <f t="shared" si="24"/>
        <v>Ngân hàng</v>
      </c>
      <c r="J1557" s="15" t="s">
        <v>1284</v>
      </c>
      <c r="K1557" s="15" t="s">
        <v>1264</v>
      </c>
      <c r="L1557" s="32">
        <f>Data!$D1557/10^6</f>
        <v>20.110908999999999</v>
      </c>
    </row>
    <row r="1558" spans="1:12" x14ac:dyDescent="0.25">
      <c r="A1558" s="29" t="s">
        <v>28</v>
      </c>
      <c r="B1558" s="15" t="s">
        <v>401</v>
      </c>
      <c r="C1558" s="15" t="s">
        <v>10</v>
      </c>
      <c r="D1558" s="16">
        <v>371268182</v>
      </c>
      <c r="E1558" s="17">
        <v>45474</v>
      </c>
      <c r="F1558" s="18">
        <f>MONTH(Data!$E1558)</f>
        <v>7</v>
      </c>
      <c r="G1558" s="16">
        <f>YEAR(Data!$E1558)</f>
        <v>2024</v>
      </c>
      <c r="H1558" s="15" t="s">
        <v>29</v>
      </c>
      <c r="I1558" s="15" t="str">
        <f t="shared" si="24"/>
        <v>Sở ban ngành</v>
      </c>
      <c r="J1558" s="15" t="s">
        <v>1285</v>
      </c>
      <c r="K1558" s="15" t="s">
        <v>1263</v>
      </c>
      <c r="L1558" s="32">
        <f>Data!$D1558/10^6</f>
        <v>371.26818200000002</v>
      </c>
    </row>
    <row r="1559" spans="1:12" x14ac:dyDescent="0.25">
      <c r="A1559" s="29" t="s">
        <v>100</v>
      </c>
      <c r="B1559" s="15" t="s">
        <v>400</v>
      </c>
      <c r="C1559" s="15" t="s">
        <v>10</v>
      </c>
      <c r="D1559" s="16">
        <v>11161818182</v>
      </c>
      <c r="E1559" s="17">
        <v>45474</v>
      </c>
      <c r="F1559" s="18">
        <f>MONTH(Data!$E1559)</f>
        <v>7</v>
      </c>
      <c r="G1559" s="16">
        <f>YEAR(Data!$E1559)</f>
        <v>2024</v>
      </c>
      <c r="H1559" s="15" t="s">
        <v>42</v>
      </c>
      <c r="I1559" s="15" t="str">
        <f t="shared" si="24"/>
        <v>Sở ban ngành</v>
      </c>
      <c r="J1559" s="15" t="s">
        <v>1284</v>
      </c>
      <c r="K1559" s="15" t="s">
        <v>1267</v>
      </c>
      <c r="L1559" s="32">
        <f>Data!$D1559/10^6</f>
        <v>11161.818182000001</v>
      </c>
    </row>
    <row r="1560" spans="1:12" x14ac:dyDescent="0.25">
      <c r="A1560" s="29" t="s">
        <v>74</v>
      </c>
      <c r="B1560" s="15" t="s">
        <v>441</v>
      </c>
      <c r="C1560" s="15" t="s">
        <v>10</v>
      </c>
      <c r="D1560" s="16">
        <v>167090909</v>
      </c>
      <c r="E1560" s="17">
        <v>45474</v>
      </c>
      <c r="F1560" s="18">
        <f>MONTH(Data!$E1560)</f>
        <v>7</v>
      </c>
      <c r="G1560" s="16">
        <f>YEAR(Data!$E1560)</f>
        <v>2024</v>
      </c>
      <c r="H1560" s="15" t="s">
        <v>11</v>
      </c>
      <c r="I1560" s="15" t="str">
        <f t="shared" si="24"/>
        <v>Sở ban ngành</v>
      </c>
      <c r="J1560" s="15" t="s">
        <v>1285</v>
      </c>
      <c r="K1560" s="15" t="s">
        <v>1263</v>
      </c>
      <c r="L1560" s="32">
        <f>Data!$D1560/10^6</f>
        <v>167.09090900000001</v>
      </c>
    </row>
    <row r="1561" spans="1:12" x14ac:dyDescent="0.25">
      <c r="A1561" s="29" t="s">
        <v>74</v>
      </c>
      <c r="B1561" s="15" t="s">
        <v>200</v>
      </c>
      <c r="C1561" s="15" t="s">
        <v>149</v>
      </c>
      <c r="D1561" s="16">
        <v>75308000</v>
      </c>
      <c r="E1561" s="17">
        <v>45474</v>
      </c>
      <c r="F1561" s="18">
        <f>MONTH(Data!$E1561)</f>
        <v>7</v>
      </c>
      <c r="G1561" s="16">
        <f>YEAR(Data!$E1561)</f>
        <v>2024</v>
      </c>
      <c r="H1561" s="15" t="s">
        <v>11</v>
      </c>
      <c r="I1561" s="15" t="str">
        <f t="shared" si="24"/>
        <v>Sở ban ngành</v>
      </c>
      <c r="J1561" s="15" t="s">
        <v>1284</v>
      </c>
      <c r="K1561" s="15" t="s">
        <v>1264</v>
      </c>
      <c r="L1561" s="32">
        <f>Data!$D1561/10^6</f>
        <v>75.308000000000007</v>
      </c>
    </row>
    <row r="1562" spans="1:12" x14ac:dyDescent="0.25">
      <c r="A1562" s="29" t="s">
        <v>36</v>
      </c>
      <c r="B1562" s="15" t="s">
        <v>246</v>
      </c>
      <c r="C1562" s="15" t="s">
        <v>149</v>
      </c>
      <c r="D1562" s="16">
        <v>31349091</v>
      </c>
      <c r="E1562" s="17">
        <v>45474</v>
      </c>
      <c r="F1562" s="18">
        <f>MONTH(Data!$E1562)</f>
        <v>7</v>
      </c>
      <c r="G1562" s="16">
        <f>YEAR(Data!$E1562)</f>
        <v>2024</v>
      </c>
      <c r="H1562" s="15" t="s">
        <v>15</v>
      </c>
      <c r="I1562" s="15" t="str">
        <f t="shared" si="24"/>
        <v>Sở ban ngành</v>
      </c>
      <c r="J1562" s="15" t="s">
        <v>1285</v>
      </c>
      <c r="K1562" s="15" t="s">
        <v>1264</v>
      </c>
      <c r="L1562" s="32">
        <f>Data!$D1562/10^6</f>
        <v>31.349091000000001</v>
      </c>
    </row>
    <row r="1563" spans="1:12" x14ac:dyDescent="0.25">
      <c r="A1563" s="29" t="s">
        <v>33</v>
      </c>
      <c r="B1563" s="15" t="s">
        <v>432</v>
      </c>
      <c r="C1563" s="15" t="s">
        <v>14</v>
      </c>
      <c r="D1563" s="16">
        <v>82150000</v>
      </c>
      <c r="E1563" s="17">
        <v>45474</v>
      </c>
      <c r="F1563" s="18">
        <f>MONTH(Data!$E1563)</f>
        <v>7</v>
      </c>
      <c r="G1563" s="16">
        <f>YEAR(Data!$E1563)</f>
        <v>2024</v>
      </c>
      <c r="H1563" s="15" t="s">
        <v>35</v>
      </c>
      <c r="I1563" s="15" t="str">
        <f t="shared" si="24"/>
        <v>Sở ban ngành</v>
      </c>
      <c r="J1563" s="15" t="s">
        <v>1284</v>
      </c>
      <c r="K1563" s="15" t="s">
        <v>1264</v>
      </c>
      <c r="L1563" s="32">
        <f>Data!$D1563/10^6</f>
        <v>82.15</v>
      </c>
    </row>
    <row r="1564" spans="1:12" x14ac:dyDescent="0.25">
      <c r="A1564" s="29" t="s">
        <v>78</v>
      </c>
      <c r="B1564" s="15" t="s">
        <v>435</v>
      </c>
      <c r="C1564" s="15" t="s">
        <v>10</v>
      </c>
      <c r="D1564" s="16">
        <v>19080000</v>
      </c>
      <c r="E1564" s="17">
        <v>45474</v>
      </c>
      <c r="F1564" s="18">
        <f>MONTH(Data!$E1564)</f>
        <v>7</v>
      </c>
      <c r="G1564" s="16">
        <f>YEAR(Data!$E1564)</f>
        <v>2024</v>
      </c>
      <c r="H1564" s="15" t="s">
        <v>15</v>
      </c>
      <c r="I1564" s="15" t="str">
        <f t="shared" si="24"/>
        <v>Sở ban ngành</v>
      </c>
      <c r="J1564" s="15" t="s">
        <v>1285</v>
      </c>
      <c r="K1564" s="15" t="s">
        <v>1262</v>
      </c>
      <c r="L1564" s="32">
        <f>Data!$D1564/10^6</f>
        <v>19.079999999999998</v>
      </c>
    </row>
    <row r="1565" spans="1:12" x14ac:dyDescent="0.25">
      <c r="A1565" s="29" t="s">
        <v>30</v>
      </c>
      <c r="B1565" s="15" t="s">
        <v>405</v>
      </c>
      <c r="C1565" s="15" t="s">
        <v>14</v>
      </c>
      <c r="D1565" s="16">
        <v>41400000</v>
      </c>
      <c r="E1565" s="17">
        <v>45474</v>
      </c>
      <c r="F1565" s="18">
        <f>MONTH(Data!$E1565)</f>
        <v>7</v>
      </c>
      <c r="G1565" s="16">
        <f>YEAR(Data!$E1565)</f>
        <v>2024</v>
      </c>
      <c r="H1565" s="15" t="s">
        <v>32</v>
      </c>
      <c r="I1565" s="15" t="str">
        <f t="shared" si="24"/>
        <v>Sở ban ngành</v>
      </c>
      <c r="J1565" s="15" t="s">
        <v>1284</v>
      </c>
      <c r="K1565" s="15" t="s">
        <v>1275</v>
      </c>
      <c r="L1565" s="32">
        <f>Data!$D1565/10^6</f>
        <v>41.4</v>
      </c>
    </row>
    <row r="1566" spans="1:12" x14ac:dyDescent="0.25">
      <c r="A1566" s="29" t="s">
        <v>30</v>
      </c>
      <c r="B1566" s="15" t="s">
        <v>440</v>
      </c>
      <c r="C1566" s="15" t="s">
        <v>10</v>
      </c>
      <c r="D1566" s="16">
        <v>45307273</v>
      </c>
      <c r="E1566" s="17">
        <v>45474</v>
      </c>
      <c r="F1566" s="18">
        <f>MONTH(Data!$E1566)</f>
        <v>7</v>
      </c>
      <c r="G1566" s="16">
        <f>YEAR(Data!$E1566)</f>
        <v>2024</v>
      </c>
      <c r="H1566" s="15" t="s">
        <v>32</v>
      </c>
      <c r="I1566" s="15" t="str">
        <f t="shared" si="24"/>
        <v>Sở ban ngành</v>
      </c>
      <c r="J1566" s="15" t="s">
        <v>1285</v>
      </c>
      <c r="K1566" s="15" t="s">
        <v>1262</v>
      </c>
      <c r="L1566" s="32">
        <f>Data!$D1566/10^6</f>
        <v>45.307273000000002</v>
      </c>
    </row>
    <row r="1567" spans="1:12" x14ac:dyDescent="0.25">
      <c r="A1567" s="29" t="s">
        <v>30</v>
      </c>
      <c r="B1567" s="15" t="s">
        <v>440</v>
      </c>
      <c r="C1567" s="15" t="s">
        <v>10</v>
      </c>
      <c r="D1567" s="16">
        <v>44115455</v>
      </c>
      <c r="E1567" s="17">
        <v>45474</v>
      </c>
      <c r="F1567" s="18">
        <f>MONTH(Data!$E1567)</f>
        <v>7</v>
      </c>
      <c r="G1567" s="16">
        <f>YEAR(Data!$E1567)</f>
        <v>2024</v>
      </c>
      <c r="H1567" s="15" t="s">
        <v>32</v>
      </c>
      <c r="I1567" s="15" t="str">
        <f t="shared" si="24"/>
        <v>Sở ban ngành</v>
      </c>
      <c r="J1567" s="15" t="s">
        <v>1284</v>
      </c>
      <c r="K1567" s="15" t="s">
        <v>1262</v>
      </c>
      <c r="L1567" s="32">
        <f>Data!$D1567/10^6</f>
        <v>44.115454999999997</v>
      </c>
    </row>
    <row r="1568" spans="1:12" x14ac:dyDescent="0.25">
      <c r="A1568" s="29" t="s">
        <v>30</v>
      </c>
      <c r="B1568" s="15" t="s">
        <v>440</v>
      </c>
      <c r="C1568" s="15" t="s">
        <v>10</v>
      </c>
      <c r="D1568" s="16">
        <v>7450000</v>
      </c>
      <c r="E1568" s="17">
        <v>45474</v>
      </c>
      <c r="F1568" s="18">
        <f>MONTH(Data!$E1568)</f>
        <v>7</v>
      </c>
      <c r="G1568" s="16">
        <f>YEAR(Data!$E1568)</f>
        <v>2024</v>
      </c>
      <c r="H1568" s="15" t="s">
        <v>32</v>
      </c>
      <c r="I1568" s="15" t="str">
        <f t="shared" si="24"/>
        <v>Sở ban ngành</v>
      </c>
      <c r="J1568" s="15" t="s">
        <v>1285</v>
      </c>
      <c r="K1568" s="15" t="s">
        <v>1262</v>
      </c>
      <c r="L1568" s="32">
        <f>Data!$D1568/10^6</f>
        <v>7.45</v>
      </c>
    </row>
    <row r="1569" spans="1:12" x14ac:dyDescent="0.25">
      <c r="A1569" s="29" t="s">
        <v>37</v>
      </c>
      <c r="B1569" s="15" t="s">
        <v>274</v>
      </c>
      <c r="C1569" s="15" t="s">
        <v>46</v>
      </c>
      <c r="D1569" s="16">
        <v>84090909</v>
      </c>
      <c r="E1569" s="17">
        <v>45474</v>
      </c>
      <c r="F1569" s="18">
        <f>MONTH(Data!$E1569)</f>
        <v>7</v>
      </c>
      <c r="G1569" s="16">
        <f>YEAR(Data!$E1569)</f>
        <v>2024</v>
      </c>
      <c r="H1569" s="15" t="s">
        <v>11</v>
      </c>
      <c r="I1569" s="15" t="str">
        <f t="shared" si="24"/>
        <v>Sở ban ngành</v>
      </c>
      <c r="J1569" s="15" t="s">
        <v>1284</v>
      </c>
      <c r="K1569" s="15" t="s">
        <v>1271</v>
      </c>
      <c r="L1569" s="32">
        <f>Data!$D1569/10^6</f>
        <v>84.090908999999996</v>
      </c>
    </row>
    <row r="1570" spans="1:12" x14ac:dyDescent="0.25">
      <c r="A1570" s="29" t="s">
        <v>116</v>
      </c>
      <c r="B1570" s="15" t="s">
        <v>454</v>
      </c>
      <c r="C1570" s="15" t="s">
        <v>10</v>
      </c>
      <c r="D1570" s="16">
        <v>45309091</v>
      </c>
      <c r="E1570" s="17">
        <v>45474</v>
      </c>
      <c r="F1570" s="18">
        <f>MONTH(Data!$E1570)</f>
        <v>7</v>
      </c>
      <c r="G1570" s="16">
        <f>YEAR(Data!$E1570)</f>
        <v>2024</v>
      </c>
      <c r="H1570" s="15" t="s">
        <v>15</v>
      </c>
      <c r="I1570" s="15" t="str">
        <f t="shared" si="24"/>
        <v>Sở ban ngành</v>
      </c>
      <c r="J1570" s="15" t="s">
        <v>1285</v>
      </c>
      <c r="K1570" s="15" t="s">
        <v>1263</v>
      </c>
      <c r="L1570" s="32">
        <f>Data!$D1570/10^6</f>
        <v>45.309091000000002</v>
      </c>
    </row>
    <row r="1571" spans="1:12" x14ac:dyDescent="0.25">
      <c r="A1571" s="29" t="s">
        <v>85</v>
      </c>
      <c r="B1571" s="15" t="s">
        <v>449</v>
      </c>
      <c r="C1571" s="15" t="s">
        <v>10</v>
      </c>
      <c r="D1571" s="16">
        <v>90477273</v>
      </c>
      <c r="E1571" s="17">
        <v>45474</v>
      </c>
      <c r="F1571" s="18">
        <f>MONTH(Data!$E1571)</f>
        <v>7</v>
      </c>
      <c r="G1571" s="16">
        <f>YEAR(Data!$E1571)</f>
        <v>2024</v>
      </c>
      <c r="H1571" s="15" t="s">
        <v>15</v>
      </c>
      <c r="I1571" s="15" t="str">
        <f t="shared" si="24"/>
        <v>Sở ban ngành</v>
      </c>
      <c r="J1571" s="15" t="s">
        <v>1284</v>
      </c>
      <c r="K1571" s="15" t="s">
        <v>1263</v>
      </c>
      <c r="L1571" s="32">
        <f>Data!$D1571/10^6</f>
        <v>90.477272999999997</v>
      </c>
    </row>
    <row r="1572" spans="1:12" x14ac:dyDescent="0.25">
      <c r="A1572" s="29" t="s">
        <v>65</v>
      </c>
      <c r="B1572" s="15" t="s">
        <v>448</v>
      </c>
      <c r="C1572" s="15" t="s">
        <v>46</v>
      </c>
      <c r="D1572" s="16">
        <v>29818182</v>
      </c>
      <c r="E1572" s="17">
        <v>45474</v>
      </c>
      <c r="F1572" s="18">
        <f>MONTH(Data!$E1572)</f>
        <v>7</v>
      </c>
      <c r="G1572" s="16">
        <f>YEAR(Data!$E1572)</f>
        <v>2024</v>
      </c>
      <c r="H1572" s="15" t="s">
        <v>25</v>
      </c>
      <c r="I1572" s="15" t="str">
        <f t="shared" si="24"/>
        <v>Sở ban ngành</v>
      </c>
      <c r="J1572" s="15" t="s">
        <v>1285</v>
      </c>
      <c r="K1572" s="15" t="s">
        <v>1271</v>
      </c>
      <c r="L1572" s="32">
        <f>Data!$D1572/10^6</f>
        <v>29.818182</v>
      </c>
    </row>
    <row r="1573" spans="1:12" x14ac:dyDescent="0.25">
      <c r="A1573" s="29" t="s">
        <v>17</v>
      </c>
      <c r="B1573" s="15" t="s">
        <v>404</v>
      </c>
      <c r="C1573" s="15" t="s">
        <v>10</v>
      </c>
      <c r="D1573" s="16">
        <v>21900000</v>
      </c>
      <c r="E1573" s="17">
        <v>45474</v>
      </c>
      <c r="F1573" s="18">
        <f>MONTH(Data!$E1573)</f>
        <v>7</v>
      </c>
      <c r="G1573" s="16">
        <f>YEAR(Data!$E1573)</f>
        <v>2024</v>
      </c>
      <c r="H1573" s="15" t="s">
        <v>11</v>
      </c>
      <c r="I1573" s="15" t="str">
        <f t="shared" si="24"/>
        <v>Sở ban ngành</v>
      </c>
      <c r="J1573" s="15" t="s">
        <v>1284</v>
      </c>
      <c r="K1573" s="15" t="s">
        <v>1267</v>
      </c>
      <c r="L1573" s="32">
        <f>Data!$D1573/10^6</f>
        <v>21.9</v>
      </c>
    </row>
    <row r="1574" spans="1:12" x14ac:dyDescent="0.25">
      <c r="A1574" s="29" t="s">
        <v>91</v>
      </c>
      <c r="B1574" s="15" t="s">
        <v>1255</v>
      </c>
      <c r="C1574" s="15" t="s">
        <v>10</v>
      </c>
      <c r="D1574" s="16">
        <v>13590000</v>
      </c>
      <c r="E1574" s="17">
        <v>45474</v>
      </c>
      <c r="F1574" s="18">
        <f>MONTH(Data!$E1574)</f>
        <v>7</v>
      </c>
      <c r="G1574" s="16">
        <f>YEAR(Data!$E1574)</f>
        <v>2024</v>
      </c>
      <c r="H1574" s="15" t="s">
        <v>42</v>
      </c>
      <c r="I1574" s="15" t="str">
        <f t="shared" si="24"/>
        <v>Sở ban ngành</v>
      </c>
      <c r="J1574" s="15" t="s">
        <v>1285</v>
      </c>
      <c r="K1574" s="15" t="s">
        <v>1263</v>
      </c>
      <c r="L1574" s="32">
        <f>Data!$D1574/10^6</f>
        <v>13.59</v>
      </c>
    </row>
    <row r="1575" spans="1:12" x14ac:dyDescent="0.25">
      <c r="A1575" s="29" t="s">
        <v>13</v>
      </c>
      <c r="B1575" s="15" t="s">
        <v>409</v>
      </c>
      <c r="C1575" s="15" t="s">
        <v>149</v>
      </c>
      <c r="D1575" s="16">
        <v>3960000</v>
      </c>
      <c r="E1575" s="17">
        <v>45474</v>
      </c>
      <c r="F1575" s="18">
        <f>MONTH(Data!$E1575)</f>
        <v>7</v>
      </c>
      <c r="G1575" s="16">
        <f>YEAR(Data!$E1575)</f>
        <v>2024</v>
      </c>
      <c r="H1575" s="15" t="s">
        <v>15</v>
      </c>
      <c r="I1575" s="15" t="str">
        <f t="shared" si="24"/>
        <v>Sở ban ngành</v>
      </c>
      <c r="J1575" s="15" t="s">
        <v>1284</v>
      </c>
      <c r="K1575" s="15" t="s">
        <v>1264</v>
      </c>
      <c r="L1575" s="32">
        <f>Data!$D1575/10^6</f>
        <v>3.96</v>
      </c>
    </row>
    <row r="1576" spans="1:12" x14ac:dyDescent="0.25">
      <c r="A1576" s="29" t="s">
        <v>27</v>
      </c>
      <c r="B1576" s="15" t="s">
        <v>403</v>
      </c>
      <c r="C1576" s="15" t="s">
        <v>46</v>
      </c>
      <c r="D1576" s="16">
        <v>36360000</v>
      </c>
      <c r="E1576" s="17">
        <v>45474</v>
      </c>
      <c r="F1576" s="18">
        <f>MONTH(Data!$E1576)</f>
        <v>7</v>
      </c>
      <c r="G1576" s="16">
        <f>YEAR(Data!$E1576)</f>
        <v>2024</v>
      </c>
      <c r="H1576" s="15" t="s">
        <v>11</v>
      </c>
      <c r="I1576" s="15" t="str">
        <f t="shared" si="24"/>
        <v>Sở ban ngành</v>
      </c>
      <c r="J1576" s="15" t="s">
        <v>1285</v>
      </c>
      <c r="K1576" s="15" t="s">
        <v>1271</v>
      </c>
      <c r="L1576" s="32">
        <f>Data!$D1576/10^6</f>
        <v>36.36</v>
      </c>
    </row>
    <row r="1577" spans="1:12" x14ac:dyDescent="0.25">
      <c r="A1577" s="29" t="s">
        <v>33</v>
      </c>
      <c r="B1577" s="15" t="s">
        <v>398</v>
      </c>
      <c r="C1577" s="15" t="s">
        <v>10</v>
      </c>
      <c r="D1577" s="16">
        <v>87563636</v>
      </c>
      <c r="E1577" s="17">
        <v>45474</v>
      </c>
      <c r="F1577" s="18">
        <f>MONTH(Data!$E1577)</f>
        <v>7</v>
      </c>
      <c r="G1577" s="16">
        <f>YEAR(Data!$E1577)</f>
        <v>2024</v>
      </c>
      <c r="H1577" s="15" t="s">
        <v>35</v>
      </c>
      <c r="I1577" s="15" t="str">
        <f t="shared" si="24"/>
        <v>Sở ban ngành</v>
      </c>
      <c r="J1577" s="15" t="s">
        <v>1284</v>
      </c>
      <c r="K1577" s="15" t="s">
        <v>1263</v>
      </c>
      <c r="L1577" s="32">
        <f>Data!$D1577/10^6</f>
        <v>87.563636000000002</v>
      </c>
    </row>
    <row r="1578" spans="1:12" x14ac:dyDescent="0.25">
      <c r="A1578" s="29" t="s">
        <v>62</v>
      </c>
      <c r="B1578" s="15" t="s">
        <v>408</v>
      </c>
      <c r="C1578" s="15" t="s">
        <v>10</v>
      </c>
      <c r="D1578" s="16">
        <v>86058000</v>
      </c>
      <c r="E1578" s="17">
        <v>45474</v>
      </c>
      <c r="F1578" s="18">
        <f>MONTH(Data!$E1578)</f>
        <v>7</v>
      </c>
      <c r="G1578" s="16">
        <f>YEAR(Data!$E1578)</f>
        <v>2024</v>
      </c>
      <c r="H1578" s="15" t="s">
        <v>15</v>
      </c>
      <c r="I1578" s="15" t="str">
        <f t="shared" si="24"/>
        <v>Sở ban ngành</v>
      </c>
      <c r="J1578" s="15" t="s">
        <v>1285</v>
      </c>
      <c r="K1578" s="15" t="s">
        <v>1263</v>
      </c>
      <c r="L1578" s="32">
        <f>Data!$D1578/10^6</f>
        <v>86.058000000000007</v>
      </c>
    </row>
    <row r="1579" spans="1:12" x14ac:dyDescent="0.25">
      <c r="A1579" s="29" t="s">
        <v>68</v>
      </c>
      <c r="B1579" s="15" t="s">
        <v>399</v>
      </c>
      <c r="C1579" s="15" t="s">
        <v>46</v>
      </c>
      <c r="D1579" s="16">
        <v>180381347</v>
      </c>
      <c r="E1579" s="17">
        <v>45474</v>
      </c>
      <c r="F1579" s="18">
        <f>MONTH(Data!$E1579)</f>
        <v>7</v>
      </c>
      <c r="G1579" s="16">
        <f>YEAR(Data!$E1579)</f>
        <v>2024</v>
      </c>
      <c r="H1579" s="15" t="s">
        <v>22</v>
      </c>
      <c r="I1579" s="15" t="str">
        <f t="shared" si="24"/>
        <v>Sở ban ngành</v>
      </c>
      <c r="J1579" s="15" t="s">
        <v>1284</v>
      </c>
      <c r="K1579" s="15" t="s">
        <v>1271</v>
      </c>
      <c r="L1579" s="32">
        <f>Data!$D1579/10^6</f>
        <v>180.38134700000001</v>
      </c>
    </row>
    <row r="1580" spans="1:12" x14ac:dyDescent="0.25">
      <c r="A1580" s="29" t="s">
        <v>37</v>
      </c>
      <c r="B1580" s="15" t="s">
        <v>437</v>
      </c>
      <c r="C1580" s="15" t="s">
        <v>10</v>
      </c>
      <c r="D1580" s="16">
        <v>63636364</v>
      </c>
      <c r="E1580" s="17">
        <v>45474</v>
      </c>
      <c r="F1580" s="18">
        <f>MONTH(Data!$E1580)</f>
        <v>7</v>
      </c>
      <c r="G1580" s="16">
        <f>YEAR(Data!$E1580)</f>
        <v>2024</v>
      </c>
      <c r="H1580" s="15" t="s">
        <v>11</v>
      </c>
      <c r="I1580" s="15" t="str">
        <f t="shared" si="24"/>
        <v>Sở ban ngành</v>
      </c>
      <c r="J1580" s="15" t="s">
        <v>1285</v>
      </c>
      <c r="K1580" s="15" t="s">
        <v>1267</v>
      </c>
      <c r="L1580" s="32">
        <f>Data!$D1580/10^6</f>
        <v>63.636364</v>
      </c>
    </row>
    <row r="1581" spans="1:12" x14ac:dyDescent="0.25">
      <c r="A1581" s="29" t="s">
        <v>74</v>
      </c>
      <c r="B1581" s="15" t="s">
        <v>410</v>
      </c>
      <c r="C1581" s="15" t="s">
        <v>10</v>
      </c>
      <c r="D1581" s="16">
        <v>13767273</v>
      </c>
      <c r="E1581" s="17">
        <v>45474</v>
      </c>
      <c r="F1581" s="18">
        <f>MONTH(Data!$E1581)</f>
        <v>7</v>
      </c>
      <c r="G1581" s="16">
        <f>YEAR(Data!$E1581)</f>
        <v>2024</v>
      </c>
      <c r="H1581" s="15" t="s">
        <v>11</v>
      </c>
      <c r="I1581" s="15" t="str">
        <f t="shared" si="24"/>
        <v>Sở ban ngành</v>
      </c>
      <c r="J1581" s="15" t="s">
        <v>1284</v>
      </c>
      <c r="K1581" s="15" t="s">
        <v>1263</v>
      </c>
      <c r="L1581" s="32">
        <f>Data!$D1581/10^6</f>
        <v>13.767272999999999</v>
      </c>
    </row>
    <row r="1582" spans="1:12" x14ac:dyDescent="0.25">
      <c r="A1582" s="29" t="s">
        <v>89</v>
      </c>
      <c r="B1582" s="15" t="s">
        <v>438</v>
      </c>
      <c r="C1582" s="15" t="s">
        <v>10</v>
      </c>
      <c r="D1582" s="16">
        <v>54954545</v>
      </c>
      <c r="E1582" s="17">
        <v>45474</v>
      </c>
      <c r="F1582" s="18">
        <f>MONTH(Data!$E1582)</f>
        <v>7</v>
      </c>
      <c r="G1582" s="16">
        <f>YEAR(Data!$E1582)</f>
        <v>2024</v>
      </c>
      <c r="H1582" s="15" t="s">
        <v>11</v>
      </c>
      <c r="I1582" s="15" t="str">
        <f t="shared" si="24"/>
        <v>Sở ban ngành</v>
      </c>
      <c r="J1582" s="15" t="s">
        <v>1285</v>
      </c>
      <c r="K1582" s="15" t="s">
        <v>1263</v>
      </c>
      <c r="L1582" s="32">
        <f>Data!$D1582/10^6</f>
        <v>54.954545000000003</v>
      </c>
    </row>
    <row r="1583" spans="1:12" x14ac:dyDescent="0.25">
      <c r="A1583" s="29" t="s">
        <v>79</v>
      </c>
      <c r="B1583" s="15" t="s">
        <v>452</v>
      </c>
      <c r="C1583" s="15" t="s">
        <v>46</v>
      </c>
      <c r="D1583" s="16">
        <v>269890909</v>
      </c>
      <c r="E1583" s="17">
        <v>45474</v>
      </c>
      <c r="F1583" s="18">
        <f>MONTH(Data!$E1583)</f>
        <v>7</v>
      </c>
      <c r="G1583" s="16">
        <f>YEAR(Data!$E1583)</f>
        <v>2024</v>
      </c>
      <c r="H1583" s="15" t="s">
        <v>15</v>
      </c>
      <c r="I1583" s="15" t="str">
        <f t="shared" si="24"/>
        <v>Sở ban ngành</v>
      </c>
      <c r="J1583" s="15" t="s">
        <v>1284</v>
      </c>
      <c r="K1583" s="15" t="s">
        <v>1265</v>
      </c>
      <c r="L1583" s="32">
        <f>Data!$D1583/10^6</f>
        <v>269.89090900000002</v>
      </c>
    </row>
    <row r="1584" spans="1:12" x14ac:dyDescent="0.25">
      <c r="A1584" s="29" t="s">
        <v>74</v>
      </c>
      <c r="B1584" s="15" t="s">
        <v>445</v>
      </c>
      <c r="C1584" s="15" t="s">
        <v>46</v>
      </c>
      <c r="D1584" s="16">
        <v>175531818</v>
      </c>
      <c r="E1584" s="17">
        <v>45474</v>
      </c>
      <c r="F1584" s="18">
        <f>MONTH(Data!$E1584)</f>
        <v>7</v>
      </c>
      <c r="G1584" s="16">
        <f>YEAR(Data!$E1584)</f>
        <v>2024</v>
      </c>
      <c r="H1584" s="15" t="s">
        <v>11</v>
      </c>
      <c r="I1584" s="15" t="str">
        <f t="shared" si="24"/>
        <v>Sở ban ngành</v>
      </c>
      <c r="J1584" s="15" t="s">
        <v>1285</v>
      </c>
      <c r="K1584" s="15" t="s">
        <v>1271</v>
      </c>
      <c r="L1584" s="32">
        <f>Data!$D1584/10^6</f>
        <v>175.53181799999999</v>
      </c>
    </row>
    <row r="1585" spans="1:12" x14ac:dyDescent="0.25">
      <c r="A1585" s="29" t="s">
        <v>89</v>
      </c>
      <c r="B1585" s="15" t="s">
        <v>442</v>
      </c>
      <c r="C1585" s="15" t="s">
        <v>149</v>
      </c>
      <c r="D1585" s="16">
        <v>15404545</v>
      </c>
      <c r="E1585" s="17">
        <v>45474</v>
      </c>
      <c r="F1585" s="18">
        <f>MONTH(Data!$E1585)</f>
        <v>7</v>
      </c>
      <c r="G1585" s="16">
        <f>YEAR(Data!$E1585)</f>
        <v>2024</v>
      </c>
      <c r="H1585" s="15" t="s">
        <v>11</v>
      </c>
      <c r="I1585" s="15" t="str">
        <f t="shared" si="24"/>
        <v>Sở ban ngành</v>
      </c>
      <c r="J1585" s="15" t="s">
        <v>1284</v>
      </c>
      <c r="K1585" s="15" t="s">
        <v>1262</v>
      </c>
      <c r="L1585" s="32">
        <f>Data!$D1585/10^6</f>
        <v>15.404545000000001</v>
      </c>
    </row>
    <row r="1586" spans="1:12" x14ac:dyDescent="0.25">
      <c r="A1586" s="29" t="s">
        <v>127</v>
      </c>
      <c r="B1586" s="15" t="s">
        <v>250</v>
      </c>
      <c r="C1586" s="15" t="s">
        <v>10</v>
      </c>
      <c r="D1586" s="16">
        <v>167727273</v>
      </c>
      <c r="E1586" s="17">
        <v>45474</v>
      </c>
      <c r="F1586" s="18">
        <f>MONTH(Data!$E1586)</f>
        <v>7</v>
      </c>
      <c r="G1586" s="16">
        <f>YEAR(Data!$E1586)</f>
        <v>2024</v>
      </c>
      <c r="H1586" s="15" t="s">
        <v>32</v>
      </c>
      <c r="I1586" s="15" t="str">
        <f t="shared" si="24"/>
        <v>Sở ban ngành</v>
      </c>
      <c r="J1586" s="15" t="s">
        <v>1285</v>
      </c>
      <c r="K1586" s="15" t="s">
        <v>1263</v>
      </c>
      <c r="L1586" s="32">
        <f>Data!$D1586/10^6</f>
        <v>167.727273</v>
      </c>
    </row>
    <row r="1587" spans="1:12" x14ac:dyDescent="0.25">
      <c r="A1587" s="29" t="s">
        <v>48</v>
      </c>
      <c r="B1587" s="15" t="s">
        <v>397</v>
      </c>
      <c r="C1587" s="15" t="s">
        <v>10</v>
      </c>
      <c r="D1587" s="16">
        <v>81387636</v>
      </c>
      <c r="E1587" s="17">
        <v>45474</v>
      </c>
      <c r="F1587" s="18">
        <f>MONTH(Data!$E1587)</f>
        <v>7</v>
      </c>
      <c r="G1587" s="16">
        <f>YEAR(Data!$E1587)</f>
        <v>2024</v>
      </c>
      <c r="H1587" s="15" t="s">
        <v>25</v>
      </c>
      <c r="I1587" s="15" t="str">
        <f t="shared" si="24"/>
        <v>Sở ban ngành</v>
      </c>
      <c r="J1587" s="15" t="s">
        <v>1284</v>
      </c>
      <c r="K1587" s="15" t="s">
        <v>1276</v>
      </c>
      <c r="L1587" s="32">
        <f>Data!$D1587/10^6</f>
        <v>81.387636000000001</v>
      </c>
    </row>
    <row r="1588" spans="1:12" x14ac:dyDescent="0.25">
      <c r="A1588" s="29" t="s">
        <v>13</v>
      </c>
      <c r="B1588" s="15" t="s">
        <v>436</v>
      </c>
      <c r="C1588" s="15" t="s">
        <v>149</v>
      </c>
      <c r="D1588" s="16">
        <v>26363636</v>
      </c>
      <c r="E1588" s="17">
        <v>45474</v>
      </c>
      <c r="F1588" s="18">
        <f>MONTH(Data!$E1588)</f>
        <v>7</v>
      </c>
      <c r="G1588" s="16">
        <f>YEAR(Data!$E1588)</f>
        <v>2024</v>
      </c>
      <c r="H1588" s="15" t="s">
        <v>15</v>
      </c>
      <c r="I1588" s="15" t="str">
        <f t="shared" si="24"/>
        <v>Sở ban ngành</v>
      </c>
      <c r="J1588" s="15" t="s">
        <v>1285</v>
      </c>
      <c r="K1588" s="15" t="s">
        <v>1264</v>
      </c>
      <c r="L1588" s="32">
        <f>Data!$D1588/10^6</f>
        <v>26.363636</v>
      </c>
    </row>
    <row r="1589" spans="1:12" x14ac:dyDescent="0.25">
      <c r="A1589" s="29" t="s">
        <v>50</v>
      </c>
      <c r="B1589" s="15" t="s">
        <v>1256</v>
      </c>
      <c r="C1589" s="15" t="s">
        <v>10</v>
      </c>
      <c r="D1589" s="16">
        <v>26909091</v>
      </c>
      <c r="E1589" s="17">
        <v>45474</v>
      </c>
      <c r="F1589" s="18">
        <f>MONTH(Data!$E1589)</f>
        <v>7</v>
      </c>
      <c r="G1589" s="16">
        <f>YEAR(Data!$E1589)</f>
        <v>2024</v>
      </c>
      <c r="H1589" s="15" t="s">
        <v>35</v>
      </c>
      <c r="I1589" s="15" t="str">
        <f t="shared" si="24"/>
        <v>Trường học</v>
      </c>
      <c r="J1589" s="15" t="s">
        <v>1284</v>
      </c>
      <c r="K1589" s="15" t="s">
        <v>1267</v>
      </c>
      <c r="L1589" s="32">
        <f>Data!$D1589/10^6</f>
        <v>26.909091</v>
      </c>
    </row>
    <row r="1590" spans="1:12" x14ac:dyDescent="0.25">
      <c r="A1590" s="29" t="s">
        <v>50</v>
      </c>
      <c r="B1590" s="15" t="s">
        <v>430</v>
      </c>
      <c r="C1590" s="15" t="s">
        <v>10</v>
      </c>
      <c r="D1590" s="16">
        <v>13454545</v>
      </c>
      <c r="E1590" s="17">
        <v>45474</v>
      </c>
      <c r="F1590" s="18">
        <f>MONTH(Data!$E1590)</f>
        <v>7</v>
      </c>
      <c r="G1590" s="16">
        <f>YEAR(Data!$E1590)</f>
        <v>2024</v>
      </c>
      <c r="H1590" s="15" t="s">
        <v>35</v>
      </c>
      <c r="I1590" s="15" t="str">
        <f t="shared" si="24"/>
        <v>Sở ban ngành</v>
      </c>
      <c r="J1590" s="15" t="s">
        <v>1285</v>
      </c>
      <c r="K1590" s="15" t="s">
        <v>1267</v>
      </c>
      <c r="L1590" s="32">
        <f>Data!$D1590/10^6</f>
        <v>13.454545</v>
      </c>
    </row>
    <row r="1591" spans="1:12" x14ac:dyDescent="0.25">
      <c r="A1591" s="29" t="s">
        <v>74</v>
      </c>
      <c r="B1591" s="15" t="s">
        <v>239</v>
      </c>
      <c r="C1591" s="15" t="s">
        <v>149</v>
      </c>
      <c r="D1591" s="16">
        <v>18114545</v>
      </c>
      <c r="E1591" s="17">
        <v>45474</v>
      </c>
      <c r="F1591" s="18">
        <f>MONTH(Data!$E1591)</f>
        <v>7</v>
      </c>
      <c r="G1591" s="16">
        <f>YEAR(Data!$E1591)</f>
        <v>2024</v>
      </c>
      <c r="H1591" s="15" t="s">
        <v>11</v>
      </c>
      <c r="I1591" s="15" t="str">
        <f t="shared" si="24"/>
        <v>Trường học</v>
      </c>
      <c r="J1591" s="15" t="s">
        <v>1284</v>
      </c>
      <c r="K1591" s="15" t="s">
        <v>1269</v>
      </c>
      <c r="L1591" s="32">
        <f>Data!$D1591/10^6</f>
        <v>18.114545</v>
      </c>
    </row>
    <row r="1592" spans="1:12" x14ac:dyDescent="0.25">
      <c r="A1592" s="29" t="s">
        <v>59</v>
      </c>
      <c r="B1592" s="15" t="s">
        <v>450</v>
      </c>
      <c r="C1592" s="15" t="s">
        <v>10</v>
      </c>
      <c r="D1592" s="16">
        <v>586745455</v>
      </c>
      <c r="E1592" s="17">
        <v>45474</v>
      </c>
      <c r="F1592" s="18">
        <f>MONTH(Data!$E1592)</f>
        <v>7</v>
      </c>
      <c r="G1592" s="16">
        <f>YEAR(Data!$E1592)</f>
        <v>2024</v>
      </c>
      <c r="H1592" s="15" t="s">
        <v>22</v>
      </c>
      <c r="I1592" s="15" t="str">
        <f t="shared" si="24"/>
        <v>Trường học</v>
      </c>
      <c r="J1592" s="15" t="s">
        <v>1285</v>
      </c>
      <c r="K1592" s="15" t="s">
        <v>1267</v>
      </c>
      <c r="L1592" s="32">
        <f>Data!$D1592/10^6</f>
        <v>586.74545499999999</v>
      </c>
    </row>
    <row r="1593" spans="1:12" x14ac:dyDescent="0.25">
      <c r="A1593" s="29" t="s">
        <v>30</v>
      </c>
      <c r="B1593" s="15" t="s">
        <v>406</v>
      </c>
      <c r="C1593" s="15" t="s">
        <v>14</v>
      </c>
      <c r="D1593" s="16">
        <v>87981818</v>
      </c>
      <c r="E1593" s="17">
        <v>45474</v>
      </c>
      <c r="F1593" s="18">
        <f>MONTH(Data!$E1593)</f>
        <v>7</v>
      </c>
      <c r="G1593" s="16">
        <f>YEAR(Data!$E1593)</f>
        <v>2024</v>
      </c>
      <c r="H1593" s="15" t="s">
        <v>32</v>
      </c>
      <c r="I1593" s="15" t="str">
        <f t="shared" si="24"/>
        <v>Trường học</v>
      </c>
      <c r="J1593" s="15" t="s">
        <v>1284</v>
      </c>
      <c r="K1593" s="15" t="s">
        <v>1275</v>
      </c>
      <c r="L1593" s="32">
        <f>Data!$D1593/10^6</f>
        <v>87.981818000000004</v>
      </c>
    </row>
    <row r="1594" spans="1:12" x14ac:dyDescent="0.25">
      <c r="A1594" s="29" t="s">
        <v>50</v>
      </c>
      <c r="B1594" s="15" t="s">
        <v>426</v>
      </c>
      <c r="C1594" s="15" t="s">
        <v>10</v>
      </c>
      <c r="D1594" s="16">
        <v>26909091</v>
      </c>
      <c r="E1594" s="17">
        <v>45474</v>
      </c>
      <c r="F1594" s="18">
        <f>MONTH(Data!$E1594)</f>
        <v>7</v>
      </c>
      <c r="G1594" s="16">
        <f>YEAR(Data!$E1594)</f>
        <v>2024</v>
      </c>
      <c r="H1594" s="15" t="s">
        <v>35</v>
      </c>
      <c r="I1594" s="15" t="str">
        <f t="shared" si="24"/>
        <v>Trường học</v>
      </c>
      <c r="J1594" s="15" t="s">
        <v>1285</v>
      </c>
      <c r="K1594" s="15" t="s">
        <v>1267</v>
      </c>
      <c r="L1594" s="32">
        <f>Data!$D1594/10^6</f>
        <v>26.909091</v>
      </c>
    </row>
    <row r="1595" spans="1:12" x14ac:dyDescent="0.25">
      <c r="A1595" s="29" t="s">
        <v>50</v>
      </c>
      <c r="B1595" s="15" t="s">
        <v>425</v>
      </c>
      <c r="C1595" s="15" t="s">
        <v>10</v>
      </c>
      <c r="D1595" s="16">
        <v>13454545</v>
      </c>
      <c r="E1595" s="17">
        <v>45474</v>
      </c>
      <c r="F1595" s="18">
        <f>MONTH(Data!$E1595)</f>
        <v>7</v>
      </c>
      <c r="G1595" s="16">
        <f>YEAR(Data!$E1595)</f>
        <v>2024</v>
      </c>
      <c r="H1595" s="15" t="s">
        <v>35</v>
      </c>
      <c r="I1595" s="15" t="str">
        <f t="shared" si="24"/>
        <v>Trường học</v>
      </c>
      <c r="J1595" s="15" t="s">
        <v>1284</v>
      </c>
      <c r="K1595" s="15" t="s">
        <v>1267</v>
      </c>
      <c r="L1595" s="32">
        <f>Data!$D1595/10^6</f>
        <v>13.454545</v>
      </c>
    </row>
    <row r="1596" spans="1:12" x14ac:dyDescent="0.25">
      <c r="A1596" s="29" t="s">
        <v>50</v>
      </c>
      <c r="B1596" s="15" t="s">
        <v>427</v>
      </c>
      <c r="C1596" s="15" t="s">
        <v>10</v>
      </c>
      <c r="D1596" s="16">
        <v>26909091</v>
      </c>
      <c r="E1596" s="17">
        <v>45474</v>
      </c>
      <c r="F1596" s="18">
        <f>MONTH(Data!$E1596)</f>
        <v>7</v>
      </c>
      <c r="G1596" s="16">
        <f>YEAR(Data!$E1596)</f>
        <v>2024</v>
      </c>
      <c r="H1596" s="15" t="s">
        <v>35</v>
      </c>
      <c r="I1596" s="15" t="str">
        <f t="shared" si="24"/>
        <v>Trường học</v>
      </c>
      <c r="J1596" s="15" t="s">
        <v>1285</v>
      </c>
      <c r="K1596" s="15" t="s">
        <v>1267</v>
      </c>
      <c r="L1596" s="32">
        <f>Data!$D1596/10^6</f>
        <v>26.909091</v>
      </c>
    </row>
    <row r="1597" spans="1:12" x14ac:dyDescent="0.25">
      <c r="A1597" s="29" t="s">
        <v>50</v>
      </c>
      <c r="B1597" s="15" t="s">
        <v>414</v>
      </c>
      <c r="C1597" s="15" t="s">
        <v>10</v>
      </c>
      <c r="D1597" s="16">
        <v>26909091</v>
      </c>
      <c r="E1597" s="17">
        <v>45474</v>
      </c>
      <c r="F1597" s="18">
        <f>MONTH(Data!$E1597)</f>
        <v>7</v>
      </c>
      <c r="G1597" s="16">
        <f>YEAR(Data!$E1597)</f>
        <v>2024</v>
      </c>
      <c r="H1597" s="15" t="s">
        <v>35</v>
      </c>
      <c r="I1597" s="15" t="str">
        <f t="shared" si="24"/>
        <v>Trường học</v>
      </c>
      <c r="J1597" s="15" t="s">
        <v>1284</v>
      </c>
      <c r="K1597" s="15" t="s">
        <v>1267</v>
      </c>
      <c r="L1597" s="32">
        <f>Data!$D1597/10^6</f>
        <v>26.909091</v>
      </c>
    </row>
    <row r="1598" spans="1:12" x14ac:dyDescent="0.25">
      <c r="A1598" s="29" t="s">
        <v>50</v>
      </c>
      <c r="B1598" s="15" t="s">
        <v>424</v>
      </c>
      <c r="C1598" s="15" t="s">
        <v>10</v>
      </c>
      <c r="D1598" s="16">
        <v>13454545</v>
      </c>
      <c r="E1598" s="17">
        <v>45474</v>
      </c>
      <c r="F1598" s="18">
        <f>MONTH(Data!$E1598)</f>
        <v>7</v>
      </c>
      <c r="G1598" s="16">
        <f>YEAR(Data!$E1598)</f>
        <v>2024</v>
      </c>
      <c r="H1598" s="15" t="s">
        <v>35</v>
      </c>
      <c r="I1598" s="15" t="str">
        <f t="shared" si="24"/>
        <v>Trường học</v>
      </c>
      <c r="J1598" s="15" t="s">
        <v>1285</v>
      </c>
      <c r="K1598" s="15" t="s">
        <v>1267</v>
      </c>
      <c r="L1598" s="32">
        <f>Data!$D1598/10^6</f>
        <v>13.454545</v>
      </c>
    </row>
    <row r="1599" spans="1:12" x14ac:dyDescent="0.25">
      <c r="A1599" s="29" t="s">
        <v>50</v>
      </c>
      <c r="B1599" s="15" t="s">
        <v>413</v>
      </c>
      <c r="C1599" s="15" t="s">
        <v>10</v>
      </c>
      <c r="D1599" s="16">
        <v>26909091</v>
      </c>
      <c r="E1599" s="17">
        <v>45474</v>
      </c>
      <c r="F1599" s="18">
        <f>MONTH(Data!$E1599)</f>
        <v>7</v>
      </c>
      <c r="G1599" s="16">
        <f>YEAR(Data!$E1599)</f>
        <v>2024</v>
      </c>
      <c r="H1599" s="15" t="s">
        <v>35</v>
      </c>
      <c r="I1599" s="15" t="str">
        <f t="shared" si="24"/>
        <v>Trường học</v>
      </c>
      <c r="J1599" s="15" t="s">
        <v>1284</v>
      </c>
      <c r="K1599" s="15" t="s">
        <v>1267</v>
      </c>
      <c r="L1599" s="32">
        <f>Data!$D1599/10^6</f>
        <v>26.909091</v>
      </c>
    </row>
    <row r="1600" spans="1:12" x14ac:dyDescent="0.25">
      <c r="A1600" s="29" t="s">
        <v>43</v>
      </c>
      <c r="B1600" s="15" t="s">
        <v>447</v>
      </c>
      <c r="C1600" s="15" t="s">
        <v>10</v>
      </c>
      <c r="D1600" s="16">
        <v>33461818</v>
      </c>
      <c r="E1600" s="17">
        <v>45474</v>
      </c>
      <c r="F1600" s="18">
        <f>MONTH(Data!$E1600)</f>
        <v>7</v>
      </c>
      <c r="G1600" s="16">
        <f>YEAR(Data!$E1600)</f>
        <v>2024</v>
      </c>
      <c r="H1600" s="15" t="s">
        <v>35</v>
      </c>
      <c r="I1600" s="15" t="str">
        <f t="shared" si="24"/>
        <v>Trường học</v>
      </c>
      <c r="J1600" s="15" t="s">
        <v>1285</v>
      </c>
      <c r="K1600" s="15" t="s">
        <v>1262</v>
      </c>
      <c r="L1600" s="32">
        <f>Data!$D1600/10^6</f>
        <v>33.461818000000001</v>
      </c>
    </row>
    <row r="1601" spans="1:12" x14ac:dyDescent="0.25">
      <c r="A1601" s="29" t="s">
        <v>128</v>
      </c>
      <c r="B1601" s="15" t="s">
        <v>451</v>
      </c>
      <c r="C1601" s="15" t="s">
        <v>10</v>
      </c>
      <c r="D1601" s="16">
        <v>45100000</v>
      </c>
      <c r="E1601" s="17">
        <v>45474</v>
      </c>
      <c r="F1601" s="18">
        <f>MONTH(Data!$E1601)</f>
        <v>7</v>
      </c>
      <c r="G1601" s="16">
        <f>YEAR(Data!$E1601)</f>
        <v>2024</v>
      </c>
      <c r="H1601" s="15" t="s">
        <v>42</v>
      </c>
      <c r="I1601" s="15" t="str">
        <f t="shared" si="24"/>
        <v>Trường học</v>
      </c>
      <c r="J1601" s="15" t="s">
        <v>1284</v>
      </c>
      <c r="K1601" s="15" t="s">
        <v>1262</v>
      </c>
      <c r="L1601" s="32">
        <f>Data!$D1601/10^6</f>
        <v>45.1</v>
      </c>
    </row>
    <row r="1602" spans="1:12" x14ac:dyDescent="0.25">
      <c r="A1602" s="29" t="s">
        <v>74</v>
      </c>
      <c r="B1602" s="15" t="s">
        <v>439</v>
      </c>
      <c r="C1602" s="15" t="s">
        <v>10</v>
      </c>
      <c r="D1602" s="16">
        <v>29818182</v>
      </c>
      <c r="E1602" s="17">
        <v>45474</v>
      </c>
      <c r="F1602" s="18">
        <f>MONTH(Data!$E1602)</f>
        <v>7</v>
      </c>
      <c r="G1602" s="16">
        <f>YEAR(Data!$E1602)</f>
        <v>2024</v>
      </c>
      <c r="H1602" s="15" t="s">
        <v>11</v>
      </c>
      <c r="I1602" s="15" t="str">
        <f t="shared" si="24"/>
        <v>Trường học</v>
      </c>
      <c r="J1602" s="15" t="s">
        <v>1285</v>
      </c>
      <c r="K1602" s="15" t="s">
        <v>1262</v>
      </c>
      <c r="L1602" s="32">
        <f>Data!$D1602/10^6</f>
        <v>29.818182</v>
      </c>
    </row>
    <row r="1603" spans="1:12" x14ac:dyDescent="0.25">
      <c r="A1603" s="29" t="s">
        <v>50</v>
      </c>
      <c r="B1603" s="15" t="s">
        <v>416</v>
      </c>
      <c r="C1603" s="15" t="s">
        <v>10</v>
      </c>
      <c r="D1603" s="16">
        <v>13454545</v>
      </c>
      <c r="E1603" s="17">
        <v>45474</v>
      </c>
      <c r="F1603" s="18">
        <f>MONTH(Data!$E1603)</f>
        <v>7</v>
      </c>
      <c r="G1603" s="16">
        <f>YEAR(Data!$E1603)</f>
        <v>2024</v>
      </c>
      <c r="H1603" s="15" t="s">
        <v>35</v>
      </c>
      <c r="I1603" s="15" t="str">
        <f t="shared" ref="I1603:I1666" si="25">IF(ISNUMBER(SEARCH("Công ty",$B1603)),"Doanh nghiệp",IF(ISNUMBER(SEARCH("Doanh nghiệp",$B1603)),"Doanh nghiệp",IF(ISNUMBER(SEARCH("Tập đoàn",$B1603)),"Doanh nghiệp",
IF(ISNUMBER(SEARCH("Bệnh viện",$B1603)),"Bệnh viện",
IF(ISNUMBER(SEARCH("Ngân hàng",$B1603)),"Ngân hàng",IF(ISNUMBER(SEARCH("trường",$B1603)),"Trường học",IF(ISNUMBER(SEARCH("học viện",$B1603)),"Trường học",
IF(ISNUMBER(SEARCH("Bộ",$B1603)),"Sở ban ngành",IF(ISNUMBER(SEARCH("Đoàn",$B1603)),"Sở ban ngành",IF(ISNUMBER(SEARCH("Phòng",$B1603)),"Sở ban ngành",IF(ISNUMBER(SEARCH("UBND",$B1603)),"Sở ban ngành",IF(ISNUMBER(SEARCH("ủy ban",$B1603)),"Sở ban ngành",IF(ISNUMBER(SEARCH("công an",$B1603)),"Sở ban ngành",IF(ISNUMBER(SEARCH("sở",$B1603)),"Sở ban ngành",IF(ISNUMBER(SEARCH("thôn",$B1603)),"Sở ban ngành",IF(ISNUMBER(SEARCH("xã",$B1603)),"Sở ban ngành",IF(ISNUMBER(SEARCH("quân khu",$B1603)),"Sở ban ngành",IF(ISNUMBER(SEARCH("cục",$B1603)),"Sở ban ngành",IF(ISNUMBER(SEARCH("viện",$B1603)),"Sở ban ngành",IF(ISNUMBER(SEARCH("quỹ",$B1603)),"Sở ban ngành",IF(ISNUMBER(SEARCH("trung tâm",$B1603)),"Sở ban ngành",IF(ISNUMBER(SEARCH("quân chủng",$B1603)),"Sở ban ngành",IF(ISNUMBER(SEARCH("hội",$B1603)),"Sở ban ngành",
"Khác")))))))))))))))))))))))</f>
        <v>Trường học</v>
      </c>
      <c r="J1603" s="15" t="s">
        <v>1284</v>
      </c>
      <c r="K1603" s="15" t="s">
        <v>1267</v>
      </c>
      <c r="L1603" s="32">
        <f>Data!$D1603/10^6</f>
        <v>13.454545</v>
      </c>
    </row>
    <row r="1604" spans="1:12" x14ac:dyDescent="0.25">
      <c r="A1604" s="29" t="s">
        <v>50</v>
      </c>
      <c r="B1604" s="15" t="s">
        <v>431</v>
      </c>
      <c r="C1604" s="15" t="s">
        <v>10</v>
      </c>
      <c r="D1604" s="16">
        <v>13454545</v>
      </c>
      <c r="E1604" s="17">
        <v>45474</v>
      </c>
      <c r="F1604" s="18">
        <f>MONTH(Data!$E1604)</f>
        <v>7</v>
      </c>
      <c r="G1604" s="16">
        <f>YEAR(Data!$E1604)</f>
        <v>2024</v>
      </c>
      <c r="H1604" s="15" t="s">
        <v>35</v>
      </c>
      <c r="I1604" s="15" t="str">
        <f t="shared" si="25"/>
        <v>Trường học</v>
      </c>
      <c r="J1604" s="15" t="s">
        <v>1285</v>
      </c>
      <c r="K1604" s="15" t="s">
        <v>1267</v>
      </c>
      <c r="L1604" s="32">
        <f>Data!$D1604/10^6</f>
        <v>13.454545</v>
      </c>
    </row>
    <row r="1605" spans="1:12" x14ac:dyDescent="0.25">
      <c r="A1605" s="29" t="s">
        <v>50</v>
      </c>
      <c r="B1605" s="15" t="s">
        <v>411</v>
      </c>
      <c r="C1605" s="15" t="s">
        <v>10</v>
      </c>
      <c r="D1605" s="16">
        <v>446242727</v>
      </c>
      <c r="E1605" s="17">
        <v>45474</v>
      </c>
      <c r="F1605" s="18">
        <f>MONTH(Data!$E1605)</f>
        <v>7</v>
      </c>
      <c r="G1605" s="16">
        <f>YEAR(Data!$E1605)</f>
        <v>2024</v>
      </c>
      <c r="H1605" s="15" t="s">
        <v>35</v>
      </c>
      <c r="I1605" s="15" t="str">
        <f t="shared" si="25"/>
        <v>Trường học</v>
      </c>
      <c r="J1605" s="15" t="s">
        <v>1284</v>
      </c>
      <c r="K1605" s="15" t="s">
        <v>1267</v>
      </c>
      <c r="L1605" s="32">
        <f>Data!$D1605/10^6</f>
        <v>446.242727</v>
      </c>
    </row>
    <row r="1606" spans="1:12" x14ac:dyDescent="0.25">
      <c r="A1606" s="29" t="s">
        <v>209</v>
      </c>
      <c r="B1606" s="15" t="s">
        <v>407</v>
      </c>
      <c r="C1606" s="15" t="s">
        <v>10</v>
      </c>
      <c r="D1606" s="16">
        <v>168132500</v>
      </c>
      <c r="E1606" s="17">
        <v>45474</v>
      </c>
      <c r="F1606" s="18">
        <f>MONTH(Data!$E1606)</f>
        <v>7</v>
      </c>
      <c r="G1606" s="16">
        <f>YEAR(Data!$E1606)</f>
        <v>2024</v>
      </c>
      <c r="H1606" s="15" t="s">
        <v>32</v>
      </c>
      <c r="I1606" s="15" t="str">
        <f t="shared" si="25"/>
        <v>Trường học</v>
      </c>
      <c r="J1606" s="15" t="s">
        <v>1285</v>
      </c>
      <c r="K1606" s="15" t="s">
        <v>1276</v>
      </c>
      <c r="L1606" s="32">
        <f>Data!$D1606/10^6</f>
        <v>168.13249999999999</v>
      </c>
    </row>
    <row r="1607" spans="1:12" x14ac:dyDescent="0.25">
      <c r="A1607" s="29" t="s">
        <v>50</v>
      </c>
      <c r="B1607" s="15" t="s">
        <v>420</v>
      </c>
      <c r="C1607" s="15" t="s">
        <v>10</v>
      </c>
      <c r="D1607" s="16">
        <v>13454545</v>
      </c>
      <c r="E1607" s="17">
        <v>45474</v>
      </c>
      <c r="F1607" s="18">
        <f>MONTH(Data!$E1607)</f>
        <v>7</v>
      </c>
      <c r="G1607" s="16">
        <f>YEAR(Data!$E1607)</f>
        <v>2024</v>
      </c>
      <c r="H1607" s="15" t="s">
        <v>35</v>
      </c>
      <c r="I1607" s="15" t="str">
        <f t="shared" si="25"/>
        <v>Trường học</v>
      </c>
      <c r="J1607" s="15" t="s">
        <v>1284</v>
      </c>
      <c r="K1607" s="15" t="s">
        <v>1267</v>
      </c>
      <c r="L1607" s="32">
        <f>Data!$D1607/10^6</f>
        <v>13.454545</v>
      </c>
    </row>
    <row r="1608" spans="1:12" x14ac:dyDescent="0.25">
      <c r="A1608" s="29" t="s">
        <v>50</v>
      </c>
      <c r="B1608" s="15" t="s">
        <v>423</v>
      </c>
      <c r="C1608" s="15" t="s">
        <v>10</v>
      </c>
      <c r="D1608" s="16">
        <v>13454545</v>
      </c>
      <c r="E1608" s="17">
        <v>45474</v>
      </c>
      <c r="F1608" s="18">
        <f>MONTH(Data!$E1608)</f>
        <v>7</v>
      </c>
      <c r="G1608" s="16">
        <f>YEAR(Data!$E1608)</f>
        <v>2024</v>
      </c>
      <c r="H1608" s="15" t="s">
        <v>35</v>
      </c>
      <c r="I1608" s="15" t="str">
        <f t="shared" si="25"/>
        <v>Trường học</v>
      </c>
      <c r="J1608" s="15" t="s">
        <v>1285</v>
      </c>
      <c r="K1608" s="15" t="s">
        <v>1267</v>
      </c>
      <c r="L1608" s="32">
        <f>Data!$D1608/10^6</f>
        <v>13.454545</v>
      </c>
    </row>
    <row r="1609" spans="1:12" x14ac:dyDescent="0.25">
      <c r="A1609" s="29" t="s">
        <v>50</v>
      </c>
      <c r="B1609" s="15" t="s">
        <v>421</v>
      </c>
      <c r="C1609" s="15" t="s">
        <v>10</v>
      </c>
      <c r="D1609" s="16">
        <v>13454545</v>
      </c>
      <c r="E1609" s="17">
        <v>45474</v>
      </c>
      <c r="F1609" s="18">
        <f>MONTH(Data!$E1609)</f>
        <v>7</v>
      </c>
      <c r="G1609" s="16">
        <f>YEAR(Data!$E1609)</f>
        <v>2024</v>
      </c>
      <c r="H1609" s="15" t="s">
        <v>35</v>
      </c>
      <c r="I1609" s="15" t="str">
        <f t="shared" si="25"/>
        <v>Trường học</v>
      </c>
      <c r="J1609" s="15" t="s">
        <v>1284</v>
      </c>
      <c r="K1609" s="15" t="s">
        <v>1267</v>
      </c>
      <c r="L1609" s="32">
        <f>Data!$D1609/10^6</f>
        <v>13.454545</v>
      </c>
    </row>
    <row r="1610" spans="1:12" x14ac:dyDescent="0.25">
      <c r="A1610" s="29" t="s">
        <v>50</v>
      </c>
      <c r="B1610" s="15" t="s">
        <v>418</v>
      </c>
      <c r="C1610" s="15" t="s">
        <v>10</v>
      </c>
      <c r="D1610" s="16">
        <v>13454545</v>
      </c>
      <c r="E1610" s="17">
        <v>45474</v>
      </c>
      <c r="F1610" s="18">
        <f>MONTH(Data!$E1610)</f>
        <v>7</v>
      </c>
      <c r="G1610" s="16">
        <f>YEAR(Data!$E1610)</f>
        <v>2024</v>
      </c>
      <c r="H1610" s="15" t="s">
        <v>35</v>
      </c>
      <c r="I1610" s="15" t="str">
        <f t="shared" si="25"/>
        <v>Trường học</v>
      </c>
      <c r="J1610" s="15" t="s">
        <v>1285</v>
      </c>
      <c r="K1610" s="15" t="s">
        <v>1267</v>
      </c>
      <c r="L1610" s="32">
        <f>Data!$D1610/10^6</f>
        <v>13.454545</v>
      </c>
    </row>
    <row r="1611" spans="1:12" x14ac:dyDescent="0.25">
      <c r="A1611" s="29" t="s">
        <v>50</v>
      </c>
      <c r="B1611" s="15" t="s">
        <v>417</v>
      </c>
      <c r="C1611" s="15" t="s">
        <v>10</v>
      </c>
      <c r="D1611" s="16">
        <v>13454545</v>
      </c>
      <c r="E1611" s="17">
        <v>45474</v>
      </c>
      <c r="F1611" s="18">
        <f>MONTH(Data!$E1611)</f>
        <v>7</v>
      </c>
      <c r="G1611" s="16">
        <f>YEAR(Data!$E1611)</f>
        <v>2024</v>
      </c>
      <c r="H1611" s="15" t="s">
        <v>35</v>
      </c>
      <c r="I1611" s="15" t="str">
        <f t="shared" si="25"/>
        <v>Trường học</v>
      </c>
      <c r="J1611" s="15" t="s">
        <v>1284</v>
      </c>
      <c r="K1611" s="15" t="s">
        <v>1267</v>
      </c>
      <c r="L1611" s="32">
        <f>Data!$D1611/10^6</f>
        <v>13.454545</v>
      </c>
    </row>
    <row r="1612" spans="1:12" x14ac:dyDescent="0.25">
      <c r="A1612" s="29" t="s">
        <v>50</v>
      </c>
      <c r="B1612" s="15" t="s">
        <v>415</v>
      </c>
      <c r="C1612" s="15" t="s">
        <v>10</v>
      </c>
      <c r="D1612" s="16">
        <v>13454545</v>
      </c>
      <c r="E1612" s="17">
        <v>45474</v>
      </c>
      <c r="F1612" s="18">
        <f>MONTH(Data!$E1612)</f>
        <v>7</v>
      </c>
      <c r="G1612" s="16">
        <f>YEAR(Data!$E1612)</f>
        <v>2024</v>
      </c>
      <c r="H1612" s="15" t="s">
        <v>35</v>
      </c>
      <c r="I1612" s="15" t="str">
        <f t="shared" si="25"/>
        <v>Trường học</v>
      </c>
      <c r="J1612" s="15" t="s">
        <v>1285</v>
      </c>
      <c r="K1612" s="15" t="s">
        <v>1267</v>
      </c>
      <c r="L1612" s="32">
        <f>Data!$D1612/10^6</f>
        <v>13.454545</v>
      </c>
    </row>
    <row r="1613" spans="1:12" x14ac:dyDescent="0.25">
      <c r="A1613" s="29" t="s">
        <v>50</v>
      </c>
      <c r="B1613" s="15" t="s">
        <v>419</v>
      </c>
      <c r="C1613" s="15" t="s">
        <v>10</v>
      </c>
      <c r="D1613" s="16">
        <v>13454545</v>
      </c>
      <c r="E1613" s="17">
        <v>45474</v>
      </c>
      <c r="F1613" s="18">
        <f>MONTH(Data!$E1613)</f>
        <v>7</v>
      </c>
      <c r="G1613" s="16">
        <f>YEAR(Data!$E1613)</f>
        <v>2024</v>
      </c>
      <c r="H1613" s="15" t="s">
        <v>35</v>
      </c>
      <c r="I1613" s="15" t="str">
        <f t="shared" si="25"/>
        <v>Trường học</v>
      </c>
      <c r="J1613" s="15" t="s">
        <v>1284</v>
      </c>
      <c r="K1613" s="15" t="s">
        <v>1267</v>
      </c>
      <c r="L1613" s="32">
        <f>Data!$D1613/10^6</f>
        <v>13.454545</v>
      </c>
    </row>
    <row r="1614" spans="1:12" x14ac:dyDescent="0.25">
      <c r="A1614" s="29" t="s">
        <v>50</v>
      </c>
      <c r="B1614" s="15" t="s">
        <v>422</v>
      </c>
      <c r="C1614" s="15" t="s">
        <v>10</v>
      </c>
      <c r="D1614" s="16">
        <v>13454545</v>
      </c>
      <c r="E1614" s="17">
        <v>45474</v>
      </c>
      <c r="F1614" s="18">
        <f>MONTH(Data!$E1614)</f>
        <v>7</v>
      </c>
      <c r="G1614" s="16">
        <f>YEAR(Data!$E1614)</f>
        <v>2024</v>
      </c>
      <c r="H1614" s="15" t="s">
        <v>35</v>
      </c>
      <c r="I1614" s="15" t="str">
        <f t="shared" si="25"/>
        <v>Trường học</v>
      </c>
      <c r="J1614" s="15" t="s">
        <v>1285</v>
      </c>
      <c r="K1614" s="15" t="s">
        <v>1267</v>
      </c>
      <c r="L1614" s="32">
        <f>Data!$D1614/10^6</f>
        <v>13.454545</v>
      </c>
    </row>
    <row r="1615" spans="1:12" x14ac:dyDescent="0.25">
      <c r="A1615" s="29" t="s">
        <v>45</v>
      </c>
      <c r="B1615" s="15" t="s">
        <v>335</v>
      </c>
      <c r="C1615" s="15" t="s">
        <v>149</v>
      </c>
      <c r="D1615" s="16">
        <v>77536364</v>
      </c>
      <c r="E1615" s="17">
        <v>45505</v>
      </c>
      <c r="F1615" s="18">
        <f>MONTH(Data!$E1615)</f>
        <v>8</v>
      </c>
      <c r="G1615" s="16">
        <f>YEAR(Data!$E1615)</f>
        <v>2024</v>
      </c>
      <c r="H1615" s="15" t="s">
        <v>29</v>
      </c>
      <c r="I1615" s="15" t="str">
        <f t="shared" si="25"/>
        <v>Bệnh viện</v>
      </c>
      <c r="J1615" s="15" t="s">
        <v>1284</v>
      </c>
      <c r="K1615" s="15" t="s">
        <v>1264</v>
      </c>
      <c r="L1615" s="32">
        <f>Data!$D1615/10^6</f>
        <v>77.536364000000006</v>
      </c>
    </row>
    <row r="1616" spans="1:12" x14ac:dyDescent="0.25">
      <c r="A1616" s="29" t="s">
        <v>52</v>
      </c>
      <c r="B1616" s="15" t="s">
        <v>1025</v>
      </c>
      <c r="C1616" s="15" t="s">
        <v>10</v>
      </c>
      <c r="D1616" s="16">
        <v>510000000</v>
      </c>
      <c r="E1616" s="17">
        <v>45505</v>
      </c>
      <c r="F1616" s="18">
        <f>MONTH(Data!$E1616)</f>
        <v>8</v>
      </c>
      <c r="G1616" s="16">
        <f>YEAR(Data!$E1616)</f>
        <v>2024</v>
      </c>
      <c r="H1616" s="15" t="s">
        <v>35</v>
      </c>
      <c r="I1616" s="15" t="str">
        <f t="shared" si="25"/>
        <v>Doanh nghiệp</v>
      </c>
      <c r="J1616" s="15" t="s">
        <v>1285</v>
      </c>
      <c r="K1616" s="15" t="s">
        <v>1267</v>
      </c>
      <c r="L1616" s="32">
        <f>Data!$D1616/10^6</f>
        <v>510</v>
      </c>
    </row>
    <row r="1617" spans="1:12" x14ac:dyDescent="0.25">
      <c r="A1617" s="29" t="s">
        <v>111</v>
      </c>
      <c r="B1617" s="15" t="s">
        <v>1025</v>
      </c>
      <c r="C1617" s="15" t="s">
        <v>46</v>
      </c>
      <c r="D1617" s="16">
        <v>240909091</v>
      </c>
      <c r="E1617" s="17">
        <v>45505</v>
      </c>
      <c r="F1617" s="18">
        <f>MONTH(Data!$E1617)</f>
        <v>8</v>
      </c>
      <c r="G1617" s="16">
        <f>YEAR(Data!$E1617)</f>
        <v>2024</v>
      </c>
      <c r="H1617" s="15" t="s">
        <v>22</v>
      </c>
      <c r="I1617" s="15" t="str">
        <f t="shared" si="25"/>
        <v>Doanh nghiệp</v>
      </c>
      <c r="J1617" s="15" t="s">
        <v>1284</v>
      </c>
      <c r="K1617" s="15" t="s">
        <v>1265</v>
      </c>
      <c r="L1617" s="32">
        <f>Data!$D1617/10^6</f>
        <v>240.90909099999999</v>
      </c>
    </row>
    <row r="1618" spans="1:12" x14ac:dyDescent="0.25">
      <c r="A1618" s="29" t="s">
        <v>51</v>
      </c>
      <c r="B1618" s="15" t="s">
        <v>1034</v>
      </c>
      <c r="C1618" s="15" t="s">
        <v>10</v>
      </c>
      <c r="D1618" s="16">
        <v>197786219</v>
      </c>
      <c r="E1618" s="17">
        <v>45505</v>
      </c>
      <c r="F1618" s="18">
        <f>MONTH(Data!$E1618)</f>
        <v>8</v>
      </c>
      <c r="G1618" s="16">
        <f>YEAR(Data!$E1618)</f>
        <v>2024</v>
      </c>
      <c r="H1618" s="15" t="s">
        <v>42</v>
      </c>
      <c r="I1618" s="15" t="str">
        <f t="shared" si="25"/>
        <v>Doanh nghiệp</v>
      </c>
      <c r="J1618" s="15" t="s">
        <v>1285</v>
      </c>
      <c r="K1618" s="15" t="s">
        <v>1262</v>
      </c>
      <c r="L1618" s="32">
        <f>Data!$D1618/10^6</f>
        <v>197.78621899999999</v>
      </c>
    </row>
    <row r="1619" spans="1:12" x14ac:dyDescent="0.25">
      <c r="A1619" s="29" t="s">
        <v>87</v>
      </c>
      <c r="B1619" s="15" t="s">
        <v>1099</v>
      </c>
      <c r="C1619" s="15" t="s">
        <v>46</v>
      </c>
      <c r="D1619" s="16">
        <v>79545455</v>
      </c>
      <c r="E1619" s="17">
        <v>45505</v>
      </c>
      <c r="F1619" s="18">
        <f>MONTH(Data!$E1619)</f>
        <v>8</v>
      </c>
      <c r="G1619" s="16">
        <f>YEAR(Data!$E1619)</f>
        <v>2024</v>
      </c>
      <c r="H1619" s="15" t="s">
        <v>29</v>
      </c>
      <c r="I1619" s="15" t="str">
        <f t="shared" si="25"/>
        <v>Doanh nghiệp</v>
      </c>
      <c r="J1619" s="15" t="s">
        <v>1284</v>
      </c>
      <c r="K1619" s="15" t="s">
        <v>1271</v>
      </c>
      <c r="L1619" s="32">
        <f>Data!$D1619/10^6</f>
        <v>79.545455000000004</v>
      </c>
    </row>
    <row r="1620" spans="1:12" x14ac:dyDescent="0.25">
      <c r="A1620" s="29" t="s">
        <v>87</v>
      </c>
      <c r="B1620" s="15" t="s">
        <v>1100</v>
      </c>
      <c r="C1620" s="15" t="s">
        <v>46</v>
      </c>
      <c r="D1620" s="16">
        <v>164772727</v>
      </c>
      <c r="E1620" s="17">
        <v>45505</v>
      </c>
      <c r="F1620" s="18">
        <f>MONTH(Data!$E1620)</f>
        <v>8</v>
      </c>
      <c r="G1620" s="16">
        <f>YEAR(Data!$E1620)</f>
        <v>2024</v>
      </c>
      <c r="H1620" s="15" t="s">
        <v>29</v>
      </c>
      <c r="I1620" s="15" t="str">
        <f t="shared" si="25"/>
        <v>Doanh nghiệp</v>
      </c>
      <c r="J1620" s="15" t="s">
        <v>1285</v>
      </c>
      <c r="K1620" s="15" t="s">
        <v>1271</v>
      </c>
      <c r="L1620" s="32">
        <f>Data!$D1620/10^6</f>
        <v>164.772727</v>
      </c>
    </row>
    <row r="1621" spans="1:12" x14ac:dyDescent="0.25">
      <c r="A1621" s="29" t="s">
        <v>37</v>
      </c>
      <c r="B1621" s="15" t="s">
        <v>1065</v>
      </c>
      <c r="C1621" s="15" t="s">
        <v>10</v>
      </c>
      <c r="D1621" s="16">
        <v>84737273</v>
      </c>
      <c r="E1621" s="17">
        <v>45505</v>
      </c>
      <c r="F1621" s="18">
        <f>MONTH(Data!$E1621)</f>
        <v>8</v>
      </c>
      <c r="G1621" s="16">
        <f>YEAR(Data!$E1621)</f>
        <v>2024</v>
      </c>
      <c r="H1621" s="15" t="s">
        <v>11</v>
      </c>
      <c r="I1621" s="15" t="str">
        <f t="shared" si="25"/>
        <v>Doanh nghiệp</v>
      </c>
      <c r="J1621" s="15" t="s">
        <v>1284</v>
      </c>
      <c r="K1621" s="15" t="s">
        <v>1267</v>
      </c>
      <c r="L1621" s="32">
        <f>Data!$D1621/10^6</f>
        <v>84.737273000000002</v>
      </c>
    </row>
    <row r="1622" spans="1:12" x14ac:dyDescent="0.25">
      <c r="A1622" s="29" t="s">
        <v>21</v>
      </c>
      <c r="B1622" s="15" t="s">
        <v>1088</v>
      </c>
      <c r="C1622" s="15" t="s">
        <v>10</v>
      </c>
      <c r="D1622" s="16">
        <v>507272727</v>
      </c>
      <c r="E1622" s="17">
        <v>45505</v>
      </c>
      <c r="F1622" s="18">
        <f>MONTH(Data!$E1622)</f>
        <v>8</v>
      </c>
      <c r="G1622" s="16">
        <f>YEAR(Data!$E1622)</f>
        <v>2024</v>
      </c>
      <c r="H1622" s="15" t="s">
        <v>22</v>
      </c>
      <c r="I1622" s="15" t="str">
        <f t="shared" si="25"/>
        <v>Doanh nghiệp</v>
      </c>
      <c r="J1622" s="15" t="s">
        <v>1285</v>
      </c>
      <c r="K1622" s="15" t="s">
        <v>1267</v>
      </c>
      <c r="L1622" s="32">
        <f>Data!$D1622/10^6</f>
        <v>507.27272699999997</v>
      </c>
    </row>
    <row r="1623" spans="1:12" x14ac:dyDescent="0.25">
      <c r="A1623" s="29" t="s">
        <v>37</v>
      </c>
      <c r="B1623" s="15" t="s">
        <v>1093</v>
      </c>
      <c r="C1623" s="15" t="s">
        <v>46</v>
      </c>
      <c r="D1623" s="16">
        <v>808363636</v>
      </c>
      <c r="E1623" s="17">
        <v>45505</v>
      </c>
      <c r="F1623" s="18">
        <f>MONTH(Data!$E1623)</f>
        <v>8</v>
      </c>
      <c r="G1623" s="16">
        <f>YEAR(Data!$E1623)</f>
        <v>2024</v>
      </c>
      <c r="H1623" s="15" t="s">
        <v>11</v>
      </c>
      <c r="I1623" s="15" t="str">
        <f t="shared" si="25"/>
        <v>Doanh nghiệp</v>
      </c>
      <c r="J1623" s="15" t="s">
        <v>1284</v>
      </c>
      <c r="K1623" s="15" t="s">
        <v>1271</v>
      </c>
      <c r="L1623" s="32">
        <f>Data!$D1623/10^6</f>
        <v>808.36363600000004</v>
      </c>
    </row>
    <row r="1624" spans="1:12" x14ac:dyDescent="0.25">
      <c r="A1624" s="29" t="s">
        <v>71</v>
      </c>
      <c r="B1624" s="15" t="s">
        <v>1097</v>
      </c>
      <c r="C1624" s="15" t="s">
        <v>10</v>
      </c>
      <c r="D1624" s="16">
        <v>2454496727</v>
      </c>
      <c r="E1624" s="17">
        <v>45505</v>
      </c>
      <c r="F1624" s="18">
        <f>MONTH(Data!$E1624)</f>
        <v>8</v>
      </c>
      <c r="G1624" s="16">
        <f>YEAR(Data!$E1624)</f>
        <v>2024</v>
      </c>
      <c r="H1624" s="15" t="s">
        <v>11</v>
      </c>
      <c r="I1624" s="15" t="str">
        <f t="shared" si="25"/>
        <v>Doanh nghiệp</v>
      </c>
      <c r="J1624" s="15" t="s">
        <v>1285</v>
      </c>
      <c r="K1624" s="15" t="s">
        <v>1263</v>
      </c>
      <c r="L1624" s="32">
        <f>Data!$D1624/10^6</f>
        <v>2454.4967270000002</v>
      </c>
    </row>
    <row r="1625" spans="1:12" x14ac:dyDescent="0.25">
      <c r="A1625" s="29" t="s">
        <v>51</v>
      </c>
      <c r="B1625" s="15" t="s">
        <v>1099</v>
      </c>
      <c r="C1625" s="15" t="s">
        <v>10</v>
      </c>
      <c r="D1625" s="16">
        <v>16378182</v>
      </c>
      <c r="E1625" s="17">
        <v>45505</v>
      </c>
      <c r="F1625" s="18">
        <f>MONTH(Data!$E1625)</f>
        <v>8</v>
      </c>
      <c r="G1625" s="16">
        <f>YEAR(Data!$E1625)</f>
        <v>2024</v>
      </c>
      <c r="H1625" s="15" t="s">
        <v>42</v>
      </c>
      <c r="I1625" s="15" t="str">
        <f t="shared" si="25"/>
        <v>Doanh nghiệp</v>
      </c>
      <c r="J1625" s="15" t="s">
        <v>1284</v>
      </c>
      <c r="K1625" s="15" t="s">
        <v>1263</v>
      </c>
      <c r="L1625" s="32">
        <f>Data!$D1625/10^6</f>
        <v>16.378181999999999</v>
      </c>
    </row>
    <row r="1626" spans="1:12" x14ac:dyDescent="0.25">
      <c r="A1626" s="29" t="s">
        <v>33</v>
      </c>
      <c r="B1626" s="15" t="s">
        <v>1032</v>
      </c>
      <c r="C1626" s="15" t="s">
        <v>10</v>
      </c>
      <c r="D1626" s="16">
        <v>861700000</v>
      </c>
      <c r="E1626" s="17">
        <v>45505</v>
      </c>
      <c r="F1626" s="18">
        <f>MONTH(Data!$E1626)</f>
        <v>8</v>
      </c>
      <c r="G1626" s="16">
        <f>YEAR(Data!$E1626)</f>
        <v>2024</v>
      </c>
      <c r="H1626" s="15" t="s">
        <v>35</v>
      </c>
      <c r="I1626" s="15" t="str">
        <f t="shared" si="25"/>
        <v>Doanh nghiệp</v>
      </c>
      <c r="J1626" s="15" t="s">
        <v>1285</v>
      </c>
      <c r="K1626" s="15" t="s">
        <v>1267</v>
      </c>
      <c r="L1626" s="32">
        <f>Data!$D1626/10^6</f>
        <v>861.7</v>
      </c>
    </row>
    <row r="1627" spans="1:12" x14ac:dyDescent="0.25">
      <c r="A1627" s="29" t="s">
        <v>87</v>
      </c>
      <c r="B1627" s="15" t="s">
        <v>1057</v>
      </c>
      <c r="C1627" s="15" t="s">
        <v>10</v>
      </c>
      <c r="D1627" s="16">
        <v>20540000</v>
      </c>
      <c r="E1627" s="17">
        <v>45505</v>
      </c>
      <c r="F1627" s="18">
        <f>MONTH(Data!$E1627)</f>
        <v>8</v>
      </c>
      <c r="G1627" s="16">
        <f>YEAR(Data!$E1627)</f>
        <v>2024</v>
      </c>
      <c r="H1627" s="15" t="s">
        <v>29</v>
      </c>
      <c r="I1627" s="15" t="str">
        <f t="shared" si="25"/>
        <v>Doanh nghiệp</v>
      </c>
      <c r="J1627" s="15" t="s">
        <v>1284</v>
      </c>
      <c r="K1627" s="15" t="s">
        <v>1263</v>
      </c>
      <c r="L1627" s="32">
        <f>Data!$D1627/10^6</f>
        <v>20.54</v>
      </c>
    </row>
    <row r="1628" spans="1:12" x14ac:dyDescent="0.25">
      <c r="A1628" s="29" t="s">
        <v>21</v>
      </c>
      <c r="B1628" s="15" t="s">
        <v>1092</v>
      </c>
      <c r="C1628" s="15" t="s">
        <v>149</v>
      </c>
      <c r="D1628" s="16">
        <v>15065455</v>
      </c>
      <c r="E1628" s="17">
        <v>45505</v>
      </c>
      <c r="F1628" s="18">
        <f>MONTH(Data!$E1628)</f>
        <v>8</v>
      </c>
      <c r="G1628" s="16">
        <f>YEAR(Data!$E1628)</f>
        <v>2024</v>
      </c>
      <c r="H1628" s="15" t="s">
        <v>22</v>
      </c>
      <c r="I1628" s="15" t="str">
        <f t="shared" si="25"/>
        <v>Doanh nghiệp</v>
      </c>
      <c r="J1628" s="15" t="s">
        <v>1285</v>
      </c>
      <c r="K1628" s="15" t="s">
        <v>1266</v>
      </c>
      <c r="L1628" s="32">
        <f>Data!$D1628/10^6</f>
        <v>15.065455</v>
      </c>
    </row>
    <row r="1629" spans="1:12" x14ac:dyDescent="0.25">
      <c r="A1629" s="29" t="s">
        <v>27</v>
      </c>
      <c r="B1629" s="15" t="s">
        <v>1104</v>
      </c>
      <c r="C1629" s="15" t="s">
        <v>14</v>
      </c>
      <c r="D1629" s="16">
        <v>22574000</v>
      </c>
      <c r="E1629" s="17">
        <v>45505</v>
      </c>
      <c r="F1629" s="18">
        <f>MONTH(Data!$E1629)</f>
        <v>8</v>
      </c>
      <c r="G1629" s="16">
        <f>YEAR(Data!$E1629)</f>
        <v>2024</v>
      </c>
      <c r="H1629" s="15" t="s">
        <v>11</v>
      </c>
      <c r="I1629" s="15" t="str">
        <f t="shared" si="25"/>
        <v>Doanh nghiệp</v>
      </c>
      <c r="J1629" s="15" t="s">
        <v>1284</v>
      </c>
      <c r="K1629" s="15" t="s">
        <v>1264</v>
      </c>
      <c r="L1629" s="32">
        <f>Data!$D1629/10^6</f>
        <v>22.574000000000002</v>
      </c>
    </row>
    <row r="1630" spans="1:12" x14ac:dyDescent="0.25">
      <c r="A1630" s="29" t="s">
        <v>17</v>
      </c>
      <c r="B1630" s="15" t="s">
        <v>1105</v>
      </c>
      <c r="C1630" s="15" t="s">
        <v>14</v>
      </c>
      <c r="D1630" s="16">
        <v>43150000</v>
      </c>
      <c r="E1630" s="17">
        <v>45505</v>
      </c>
      <c r="F1630" s="18">
        <f>MONTH(Data!$E1630)</f>
        <v>8</v>
      </c>
      <c r="G1630" s="16">
        <f>YEAR(Data!$E1630)</f>
        <v>2024</v>
      </c>
      <c r="H1630" s="15" t="s">
        <v>11</v>
      </c>
      <c r="I1630" s="15" t="str">
        <f t="shared" si="25"/>
        <v>Doanh nghiệp</v>
      </c>
      <c r="J1630" s="15" t="s">
        <v>1285</v>
      </c>
      <c r="K1630" s="15" t="s">
        <v>1264</v>
      </c>
      <c r="L1630" s="32">
        <f>Data!$D1630/10^6</f>
        <v>43.15</v>
      </c>
    </row>
    <row r="1631" spans="1:12" x14ac:dyDescent="0.25">
      <c r="A1631" s="29" t="s">
        <v>128</v>
      </c>
      <c r="B1631" s="15" t="s">
        <v>1109</v>
      </c>
      <c r="C1631" s="15" t="s">
        <v>14</v>
      </c>
      <c r="D1631" s="16">
        <v>16763236015</v>
      </c>
      <c r="E1631" s="17">
        <v>45505</v>
      </c>
      <c r="F1631" s="18">
        <f>MONTH(Data!$E1631)</f>
        <v>8</v>
      </c>
      <c r="G1631" s="16">
        <f>YEAR(Data!$E1631)</f>
        <v>2024</v>
      </c>
      <c r="H1631" s="15" t="s">
        <v>42</v>
      </c>
      <c r="I1631" s="15" t="str">
        <f t="shared" si="25"/>
        <v>Doanh nghiệp</v>
      </c>
      <c r="J1631" s="15" t="s">
        <v>1284</v>
      </c>
      <c r="K1631" s="15" t="s">
        <v>1273</v>
      </c>
      <c r="L1631" s="32">
        <f>Data!$D1631/10^6</f>
        <v>16763.236014999999</v>
      </c>
    </row>
    <row r="1632" spans="1:12" x14ac:dyDescent="0.25">
      <c r="A1632" s="29" t="s">
        <v>157</v>
      </c>
      <c r="B1632" s="15" t="s">
        <v>1122</v>
      </c>
      <c r="C1632" s="15" t="s">
        <v>46</v>
      </c>
      <c r="D1632" s="16">
        <v>483563636</v>
      </c>
      <c r="E1632" s="17">
        <v>45505</v>
      </c>
      <c r="F1632" s="18">
        <f>MONTH(Data!$E1632)</f>
        <v>8</v>
      </c>
      <c r="G1632" s="16">
        <f>YEAR(Data!$E1632)</f>
        <v>2024</v>
      </c>
      <c r="H1632" s="15" t="s">
        <v>32</v>
      </c>
      <c r="I1632" s="15" t="str">
        <f t="shared" si="25"/>
        <v>Doanh nghiệp</v>
      </c>
      <c r="J1632" s="15" t="s">
        <v>1285</v>
      </c>
      <c r="K1632" s="15" t="s">
        <v>1265</v>
      </c>
      <c r="L1632" s="32">
        <f>Data!$D1632/10^6</f>
        <v>483.56363599999997</v>
      </c>
    </row>
    <row r="1633" spans="1:12" x14ac:dyDescent="0.25">
      <c r="A1633" s="29" t="s">
        <v>72</v>
      </c>
      <c r="B1633" s="15" t="s">
        <v>1049</v>
      </c>
      <c r="C1633" s="15" t="s">
        <v>10</v>
      </c>
      <c r="D1633" s="16">
        <v>19090909</v>
      </c>
      <c r="E1633" s="17">
        <v>45505</v>
      </c>
      <c r="F1633" s="18">
        <f>MONTH(Data!$E1633)</f>
        <v>8</v>
      </c>
      <c r="G1633" s="16">
        <f>YEAR(Data!$E1633)</f>
        <v>2024</v>
      </c>
      <c r="H1633" s="15" t="s">
        <v>22</v>
      </c>
      <c r="I1633" s="15" t="str">
        <f t="shared" si="25"/>
        <v>Doanh nghiệp</v>
      </c>
      <c r="J1633" s="15" t="s">
        <v>1284</v>
      </c>
      <c r="K1633" s="15" t="s">
        <v>1262</v>
      </c>
      <c r="L1633" s="32">
        <f>Data!$D1633/10^6</f>
        <v>19.090909</v>
      </c>
    </row>
    <row r="1634" spans="1:12" x14ac:dyDescent="0.25">
      <c r="A1634" s="29" t="s">
        <v>74</v>
      </c>
      <c r="B1634" s="15" t="s">
        <v>1033</v>
      </c>
      <c r="C1634" s="15" t="s">
        <v>10</v>
      </c>
      <c r="D1634" s="16">
        <v>13352182</v>
      </c>
      <c r="E1634" s="17">
        <v>45505</v>
      </c>
      <c r="F1634" s="18">
        <f>MONTH(Data!$E1634)</f>
        <v>8</v>
      </c>
      <c r="G1634" s="16">
        <f>YEAR(Data!$E1634)</f>
        <v>2024</v>
      </c>
      <c r="H1634" s="15" t="s">
        <v>11</v>
      </c>
      <c r="I1634" s="15" t="str">
        <f t="shared" si="25"/>
        <v>Doanh nghiệp</v>
      </c>
      <c r="J1634" s="15" t="s">
        <v>1285</v>
      </c>
      <c r="K1634" s="15" t="s">
        <v>1263</v>
      </c>
      <c r="L1634" s="32">
        <f>Data!$D1634/10^6</f>
        <v>13.352182000000001</v>
      </c>
    </row>
    <row r="1635" spans="1:12" x14ac:dyDescent="0.25">
      <c r="A1635" s="29" t="s">
        <v>55</v>
      </c>
      <c r="B1635" s="15" t="s">
        <v>1044</v>
      </c>
      <c r="C1635" s="15" t="s">
        <v>10</v>
      </c>
      <c r="D1635" s="16">
        <v>24914500</v>
      </c>
      <c r="E1635" s="17">
        <v>45505</v>
      </c>
      <c r="F1635" s="18">
        <f>MONTH(Data!$E1635)</f>
        <v>8</v>
      </c>
      <c r="G1635" s="16">
        <f>YEAR(Data!$E1635)</f>
        <v>2024</v>
      </c>
      <c r="H1635" s="15" t="s">
        <v>15</v>
      </c>
      <c r="I1635" s="15" t="str">
        <f t="shared" si="25"/>
        <v>Doanh nghiệp</v>
      </c>
      <c r="J1635" s="15" t="s">
        <v>1284</v>
      </c>
      <c r="K1635" s="15" t="s">
        <v>1263</v>
      </c>
      <c r="L1635" s="32">
        <f>Data!$D1635/10^6</f>
        <v>24.9145</v>
      </c>
    </row>
    <row r="1636" spans="1:12" x14ac:dyDescent="0.25">
      <c r="A1636" s="29" t="s">
        <v>151</v>
      </c>
      <c r="B1636" s="15" t="s">
        <v>1064</v>
      </c>
      <c r="C1636" s="15" t="s">
        <v>46</v>
      </c>
      <c r="D1636" s="16">
        <v>103676500</v>
      </c>
      <c r="E1636" s="17">
        <v>45505</v>
      </c>
      <c r="F1636" s="18">
        <f>MONTH(Data!$E1636)</f>
        <v>8</v>
      </c>
      <c r="G1636" s="16">
        <f>YEAR(Data!$E1636)</f>
        <v>2024</v>
      </c>
      <c r="H1636" s="15" t="s">
        <v>15</v>
      </c>
      <c r="I1636" s="15" t="str">
        <f t="shared" si="25"/>
        <v>Doanh nghiệp</v>
      </c>
      <c r="J1636" s="15" t="s">
        <v>1285</v>
      </c>
      <c r="K1636" s="15" t="s">
        <v>1265</v>
      </c>
      <c r="L1636" s="32">
        <f>Data!$D1636/10^6</f>
        <v>103.6765</v>
      </c>
    </row>
    <row r="1637" spans="1:12" x14ac:dyDescent="0.25">
      <c r="A1637" s="29" t="s">
        <v>123</v>
      </c>
      <c r="B1637" s="15" t="s">
        <v>1053</v>
      </c>
      <c r="C1637" s="15" t="s">
        <v>149</v>
      </c>
      <c r="D1637" s="16">
        <v>29248364</v>
      </c>
      <c r="E1637" s="17">
        <v>45505</v>
      </c>
      <c r="F1637" s="18">
        <f>MONTH(Data!$E1637)</f>
        <v>8</v>
      </c>
      <c r="G1637" s="16">
        <f>YEAR(Data!$E1637)</f>
        <v>2024</v>
      </c>
      <c r="H1637" s="15" t="s">
        <v>15</v>
      </c>
      <c r="I1637" s="15" t="str">
        <f t="shared" si="25"/>
        <v>Doanh nghiệp</v>
      </c>
      <c r="J1637" s="15" t="s">
        <v>1284</v>
      </c>
      <c r="K1637" s="15" t="s">
        <v>1264</v>
      </c>
      <c r="L1637" s="32">
        <f>Data!$D1637/10^6</f>
        <v>29.248363999999999</v>
      </c>
    </row>
    <row r="1638" spans="1:12" x14ac:dyDescent="0.25">
      <c r="A1638" s="29" t="s">
        <v>30</v>
      </c>
      <c r="B1638" s="15" t="s">
        <v>1067</v>
      </c>
      <c r="C1638" s="15" t="s">
        <v>149</v>
      </c>
      <c r="D1638" s="16">
        <v>4363636</v>
      </c>
      <c r="E1638" s="17">
        <v>45505</v>
      </c>
      <c r="F1638" s="18">
        <f>MONTH(Data!$E1638)</f>
        <v>8</v>
      </c>
      <c r="G1638" s="16">
        <f>YEAR(Data!$E1638)</f>
        <v>2024</v>
      </c>
      <c r="H1638" s="15" t="s">
        <v>32</v>
      </c>
      <c r="I1638" s="15" t="str">
        <f t="shared" si="25"/>
        <v>Doanh nghiệp</v>
      </c>
      <c r="J1638" s="15" t="s">
        <v>1285</v>
      </c>
      <c r="K1638" s="15" t="s">
        <v>1264</v>
      </c>
      <c r="L1638" s="32">
        <f>Data!$D1638/10^6</f>
        <v>4.3636359999999996</v>
      </c>
    </row>
    <row r="1639" spans="1:12" x14ac:dyDescent="0.25">
      <c r="A1639" s="29" t="s">
        <v>109</v>
      </c>
      <c r="B1639" s="15" t="s">
        <v>1080</v>
      </c>
      <c r="C1639" s="15" t="s">
        <v>14</v>
      </c>
      <c r="D1639" s="16">
        <v>38215000</v>
      </c>
      <c r="E1639" s="17">
        <v>45505</v>
      </c>
      <c r="F1639" s="18">
        <f>MONTH(Data!$E1639)</f>
        <v>8</v>
      </c>
      <c r="G1639" s="16">
        <f>YEAR(Data!$E1639)</f>
        <v>2024</v>
      </c>
      <c r="H1639" s="15" t="s">
        <v>22</v>
      </c>
      <c r="I1639" s="15" t="str">
        <f t="shared" si="25"/>
        <v>Doanh nghiệp</v>
      </c>
      <c r="J1639" s="15" t="s">
        <v>1284</v>
      </c>
      <c r="K1639" s="15" t="s">
        <v>1264</v>
      </c>
      <c r="L1639" s="32">
        <f>Data!$D1639/10^6</f>
        <v>38.215000000000003</v>
      </c>
    </row>
    <row r="1640" spans="1:12" x14ac:dyDescent="0.25">
      <c r="A1640" s="29" t="s">
        <v>30</v>
      </c>
      <c r="B1640" s="15" t="s">
        <v>1089</v>
      </c>
      <c r="C1640" s="15" t="s">
        <v>10</v>
      </c>
      <c r="D1640" s="16">
        <v>13101818</v>
      </c>
      <c r="E1640" s="17">
        <v>45505</v>
      </c>
      <c r="F1640" s="18">
        <f>MONTH(Data!$E1640)</f>
        <v>8</v>
      </c>
      <c r="G1640" s="16">
        <f>YEAR(Data!$E1640)</f>
        <v>2024</v>
      </c>
      <c r="H1640" s="15" t="s">
        <v>32</v>
      </c>
      <c r="I1640" s="15" t="str">
        <f t="shared" si="25"/>
        <v>Doanh nghiệp</v>
      </c>
      <c r="J1640" s="15" t="s">
        <v>1285</v>
      </c>
      <c r="K1640" s="15" t="s">
        <v>1263</v>
      </c>
      <c r="L1640" s="32">
        <f>Data!$D1640/10^6</f>
        <v>13.101818</v>
      </c>
    </row>
    <row r="1641" spans="1:12" x14ac:dyDescent="0.25">
      <c r="A1641" s="29" t="s">
        <v>30</v>
      </c>
      <c r="B1641" s="15" t="s">
        <v>1090</v>
      </c>
      <c r="C1641" s="15" t="s">
        <v>10</v>
      </c>
      <c r="D1641" s="16">
        <v>13406364</v>
      </c>
      <c r="E1641" s="17">
        <v>45505</v>
      </c>
      <c r="F1641" s="18">
        <f>MONTH(Data!$E1641)</f>
        <v>8</v>
      </c>
      <c r="G1641" s="16">
        <f>YEAR(Data!$E1641)</f>
        <v>2024</v>
      </c>
      <c r="H1641" s="15" t="s">
        <v>32</v>
      </c>
      <c r="I1641" s="15" t="str">
        <f t="shared" si="25"/>
        <v>Doanh nghiệp</v>
      </c>
      <c r="J1641" s="15" t="s">
        <v>1284</v>
      </c>
      <c r="K1641" s="15" t="s">
        <v>1263</v>
      </c>
      <c r="L1641" s="32">
        <f>Data!$D1641/10^6</f>
        <v>13.406364</v>
      </c>
    </row>
    <row r="1642" spans="1:12" x14ac:dyDescent="0.25">
      <c r="A1642" s="29" t="s">
        <v>78</v>
      </c>
      <c r="B1642" s="15" t="s">
        <v>1025</v>
      </c>
      <c r="C1642" s="15" t="s">
        <v>41</v>
      </c>
      <c r="D1642" s="16">
        <v>21116000</v>
      </c>
      <c r="E1642" s="17">
        <v>45505</v>
      </c>
      <c r="F1642" s="18">
        <f>MONTH(Data!$E1642)</f>
        <v>8</v>
      </c>
      <c r="G1642" s="16">
        <f>YEAR(Data!$E1642)</f>
        <v>2024</v>
      </c>
      <c r="H1642" s="15" t="s">
        <v>15</v>
      </c>
      <c r="I1642" s="15" t="str">
        <f t="shared" si="25"/>
        <v>Doanh nghiệp</v>
      </c>
      <c r="J1642" s="15" t="s">
        <v>1285</v>
      </c>
      <c r="K1642" s="15" t="s">
        <v>1270</v>
      </c>
      <c r="L1642" s="32">
        <f>Data!$D1642/10^6</f>
        <v>21.116</v>
      </c>
    </row>
    <row r="1643" spans="1:12" x14ac:dyDescent="0.25">
      <c r="A1643" s="29" t="s">
        <v>68</v>
      </c>
      <c r="B1643" s="15" t="s">
        <v>1037</v>
      </c>
      <c r="C1643" s="15" t="s">
        <v>10</v>
      </c>
      <c r="D1643" s="16">
        <v>25133200</v>
      </c>
      <c r="E1643" s="17">
        <v>45505</v>
      </c>
      <c r="F1643" s="18">
        <f>MONTH(Data!$E1643)</f>
        <v>8</v>
      </c>
      <c r="G1643" s="16">
        <f>YEAR(Data!$E1643)</f>
        <v>2024</v>
      </c>
      <c r="H1643" s="15" t="s">
        <v>22</v>
      </c>
      <c r="I1643" s="15" t="str">
        <f t="shared" si="25"/>
        <v>Doanh nghiệp</v>
      </c>
      <c r="J1643" s="15" t="s">
        <v>1284</v>
      </c>
      <c r="K1643" s="15" t="s">
        <v>1263</v>
      </c>
      <c r="L1643" s="32">
        <f>Data!$D1643/10^6</f>
        <v>25.133199999999999</v>
      </c>
    </row>
    <row r="1644" spans="1:12" x14ac:dyDescent="0.25">
      <c r="A1644" s="29" t="s">
        <v>48</v>
      </c>
      <c r="B1644" s="15" t="s">
        <v>1065</v>
      </c>
      <c r="C1644" s="15" t="s">
        <v>10</v>
      </c>
      <c r="D1644" s="16">
        <v>102263636</v>
      </c>
      <c r="E1644" s="17">
        <v>45505</v>
      </c>
      <c r="F1644" s="18">
        <f>MONTH(Data!$E1644)</f>
        <v>8</v>
      </c>
      <c r="G1644" s="16">
        <f>YEAR(Data!$E1644)</f>
        <v>2024</v>
      </c>
      <c r="H1644" s="15" t="s">
        <v>25</v>
      </c>
      <c r="I1644" s="15" t="str">
        <f t="shared" si="25"/>
        <v>Doanh nghiệp</v>
      </c>
      <c r="J1644" s="15" t="s">
        <v>1285</v>
      </c>
      <c r="K1644" s="15" t="s">
        <v>1263</v>
      </c>
      <c r="L1644" s="32">
        <f>Data!$D1644/10^6</f>
        <v>102.26363600000001</v>
      </c>
    </row>
    <row r="1645" spans="1:12" x14ac:dyDescent="0.25">
      <c r="A1645" s="29" t="s">
        <v>51</v>
      </c>
      <c r="B1645" s="15" t="s">
        <v>1068</v>
      </c>
      <c r="C1645" s="15" t="s">
        <v>10</v>
      </c>
      <c r="D1645" s="16">
        <v>36236364</v>
      </c>
      <c r="E1645" s="17">
        <v>45505</v>
      </c>
      <c r="F1645" s="18">
        <f>MONTH(Data!$E1645)</f>
        <v>8</v>
      </c>
      <c r="G1645" s="16">
        <f>YEAR(Data!$E1645)</f>
        <v>2024</v>
      </c>
      <c r="H1645" s="15" t="s">
        <v>42</v>
      </c>
      <c r="I1645" s="15" t="str">
        <f t="shared" si="25"/>
        <v>Doanh nghiệp</v>
      </c>
      <c r="J1645" s="15" t="s">
        <v>1284</v>
      </c>
      <c r="K1645" s="15" t="s">
        <v>1262</v>
      </c>
      <c r="L1645" s="32">
        <f>Data!$D1645/10^6</f>
        <v>36.236364000000002</v>
      </c>
    </row>
    <row r="1646" spans="1:12" x14ac:dyDescent="0.25">
      <c r="A1646" s="29" t="s">
        <v>36</v>
      </c>
      <c r="B1646" s="15" t="s">
        <v>1073</v>
      </c>
      <c r="C1646" s="15" t="s">
        <v>14</v>
      </c>
      <c r="D1646" s="16">
        <v>56263636</v>
      </c>
      <c r="E1646" s="17">
        <v>45505</v>
      </c>
      <c r="F1646" s="18">
        <f>MONTH(Data!$E1646)</f>
        <v>8</v>
      </c>
      <c r="G1646" s="16">
        <f>YEAR(Data!$E1646)</f>
        <v>2024</v>
      </c>
      <c r="H1646" s="15" t="s">
        <v>15</v>
      </c>
      <c r="I1646" s="15" t="str">
        <f t="shared" si="25"/>
        <v>Doanh nghiệp</v>
      </c>
      <c r="J1646" s="15" t="s">
        <v>1285</v>
      </c>
      <c r="K1646" s="15" t="s">
        <v>1264</v>
      </c>
      <c r="L1646" s="32">
        <f>Data!$D1646/10^6</f>
        <v>56.263635999999998</v>
      </c>
    </row>
    <row r="1647" spans="1:12" x14ac:dyDescent="0.25">
      <c r="A1647" s="29" t="s">
        <v>52</v>
      </c>
      <c r="B1647" s="15" t="s">
        <v>1086</v>
      </c>
      <c r="C1647" s="15" t="s">
        <v>46</v>
      </c>
      <c r="D1647" s="16">
        <v>175200000</v>
      </c>
      <c r="E1647" s="17">
        <v>45505</v>
      </c>
      <c r="F1647" s="18">
        <f>MONTH(Data!$E1647)</f>
        <v>8</v>
      </c>
      <c r="G1647" s="16">
        <f>YEAR(Data!$E1647)</f>
        <v>2024</v>
      </c>
      <c r="H1647" s="15" t="s">
        <v>35</v>
      </c>
      <c r="I1647" s="15" t="str">
        <f t="shared" si="25"/>
        <v>Doanh nghiệp</v>
      </c>
      <c r="J1647" s="15" t="s">
        <v>1284</v>
      </c>
      <c r="K1647" s="15" t="s">
        <v>1272</v>
      </c>
      <c r="L1647" s="32">
        <f>Data!$D1647/10^6</f>
        <v>175.2</v>
      </c>
    </row>
    <row r="1648" spans="1:12" x14ac:dyDescent="0.25">
      <c r="A1648" s="29" t="s">
        <v>79</v>
      </c>
      <c r="B1648" s="15" t="s">
        <v>1088</v>
      </c>
      <c r="C1648" s="15" t="s">
        <v>46</v>
      </c>
      <c r="D1648" s="16">
        <v>94217137</v>
      </c>
      <c r="E1648" s="17">
        <v>45505</v>
      </c>
      <c r="F1648" s="18">
        <f>MONTH(Data!$E1648)</f>
        <v>8</v>
      </c>
      <c r="G1648" s="16">
        <f>YEAR(Data!$E1648)</f>
        <v>2024</v>
      </c>
      <c r="H1648" s="15" t="s">
        <v>15</v>
      </c>
      <c r="I1648" s="15" t="str">
        <f t="shared" si="25"/>
        <v>Doanh nghiệp</v>
      </c>
      <c r="J1648" s="15" t="s">
        <v>1285</v>
      </c>
      <c r="K1648" s="15" t="s">
        <v>1271</v>
      </c>
      <c r="L1648" s="32">
        <f>Data!$D1648/10^6</f>
        <v>94.217136999999994</v>
      </c>
    </row>
    <row r="1649" spans="1:12" x14ac:dyDescent="0.25">
      <c r="A1649" s="29" t="s">
        <v>30</v>
      </c>
      <c r="B1649" s="15" t="s">
        <v>1091</v>
      </c>
      <c r="C1649" s="15" t="s">
        <v>149</v>
      </c>
      <c r="D1649" s="16">
        <v>7508909</v>
      </c>
      <c r="E1649" s="17">
        <v>45505</v>
      </c>
      <c r="F1649" s="18">
        <f>MONTH(Data!$E1649)</f>
        <v>8</v>
      </c>
      <c r="G1649" s="16">
        <f>YEAR(Data!$E1649)</f>
        <v>2024</v>
      </c>
      <c r="H1649" s="15" t="s">
        <v>32</v>
      </c>
      <c r="I1649" s="15" t="str">
        <f t="shared" si="25"/>
        <v>Doanh nghiệp</v>
      </c>
      <c r="J1649" s="15" t="s">
        <v>1284</v>
      </c>
      <c r="K1649" s="15" t="s">
        <v>1263</v>
      </c>
      <c r="L1649" s="32">
        <f>Data!$D1649/10^6</f>
        <v>7.5089090000000001</v>
      </c>
    </row>
    <row r="1650" spans="1:12" x14ac:dyDescent="0.25">
      <c r="A1650" s="29" t="s">
        <v>21</v>
      </c>
      <c r="B1650" s="15" t="s">
        <v>1036</v>
      </c>
      <c r="C1650" s="15" t="s">
        <v>46</v>
      </c>
      <c r="D1650" s="16">
        <v>193197273</v>
      </c>
      <c r="E1650" s="17">
        <v>45505</v>
      </c>
      <c r="F1650" s="18">
        <f>MONTH(Data!$E1650)</f>
        <v>8</v>
      </c>
      <c r="G1650" s="16">
        <f>YEAR(Data!$E1650)</f>
        <v>2024</v>
      </c>
      <c r="H1650" s="15" t="s">
        <v>22</v>
      </c>
      <c r="I1650" s="15" t="str">
        <f t="shared" si="25"/>
        <v>Doanh nghiệp</v>
      </c>
      <c r="J1650" s="15" t="s">
        <v>1285</v>
      </c>
      <c r="K1650" s="15" t="s">
        <v>1272</v>
      </c>
      <c r="L1650" s="32">
        <f>Data!$D1650/10^6</f>
        <v>193.197273</v>
      </c>
    </row>
    <row r="1651" spans="1:12" x14ac:dyDescent="0.25">
      <c r="A1651" s="29" t="s">
        <v>30</v>
      </c>
      <c r="B1651" s="15" t="s">
        <v>1043</v>
      </c>
      <c r="C1651" s="15" t="s">
        <v>10</v>
      </c>
      <c r="D1651" s="16">
        <v>9518182</v>
      </c>
      <c r="E1651" s="17">
        <v>45505</v>
      </c>
      <c r="F1651" s="18">
        <f>MONTH(Data!$E1651)</f>
        <v>8</v>
      </c>
      <c r="G1651" s="16">
        <f>YEAR(Data!$E1651)</f>
        <v>2024</v>
      </c>
      <c r="H1651" s="15" t="s">
        <v>32</v>
      </c>
      <c r="I1651" s="15" t="str">
        <f t="shared" si="25"/>
        <v>Doanh nghiệp</v>
      </c>
      <c r="J1651" s="15" t="s">
        <v>1284</v>
      </c>
      <c r="K1651" s="15" t="s">
        <v>1267</v>
      </c>
      <c r="L1651" s="32">
        <f>Data!$D1651/10^6</f>
        <v>9.5181819999999995</v>
      </c>
    </row>
    <row r="1652" spans="1:12" x14ac:dyDescent="0.25">
      <c r="A1652" s="29" t="s">
        <v>111</v>
      </c>
      <c r="B1652" s="15" t="s">
        <v>1076</v>
      </c>
      <c r="C1652" s="15" t="s">
        <v>46</v>
      </c>
      <c r="D1652" s="16">
        <v>312545455</v>
      </c>
      <c r="E1652" s="17">
        <v>45505</v>
      </c>
      <c r="F1652" s="18">
        <f>MONTH(Data!$E1652)</f>
        <v>8</v>
      </c>
      <c r="G1652" s="16">
        <f>YEAR(Data!$E1652)</f>
        <v>2024</v>
      </c>
      <c r="H1652" s="15" t="s">
        <v>22</v>
      </c>
      <c r="I1652" s="15" t="str">
        <f t="shared" si="25"/>
        <v>Doanh nghiệp</v>
      </c>
      <c r="J1652" s="15" t="s">
        <v>1285</v>
      </c>
      <c r="K1652" s="15" t="s">
        <v>1265</v>
      </c>
      <c r="L1652" s="32">
        <f>Data!$D1652/10^6</f>
        <v>312.545455</v>
      </c>
    </row>
    <row r="1653" spans="1:12" x14ac:dyDescent="0.25">
      <c r="A1653" s="29" t="s">
        <v>52</v>
      </c>
      <c r="B1653" s="15" t="s">
        <v>1096</v>
      </c>
      <c r="C1653" s="15" t="s">
        <v>46</v>
      </c>
      <c r="D1653" s="16">
        <v>95000000</v>
      </c>
      <c r="E1653" s="17">
        <v>45505</v>
      </c>
      <c r="F1653" s="18">
        <f>MONTH(Data!$E1653)</f>
        <v>8</v>
      </c>
      <c r="G1653" s="16">
        <f>YEAR(Data!$E1653)</f>
        <v>2024</v>
      </c>
      <c r="H1653" s="15" t="s">
        <v>35</v>
      </c>
      <c r="I1653" s="15" t="str">
        <f t="shared" si="25"/>
        <v>Doanh nghiệp</v>
      </c>
      <c r="J1653" s="15" t="s">
        <v>1284</v>
      </c>
      <c r="K1653" s="15" t="s">
        <v>1272</v>
      </c>
      <c r="L1653" s="32">
        <f>Data!$D1653/10^6</f>
        <v>95</v>
      </c>
    </row>
    <row r="1654" spans="1:12" x14ac:dyDescent="0.25">
      <c r="A1654" s="29" t="s">
        <v>52</v>
      </c>
      <c r="B1654" s="15" t="s">
        <v>1097</v>
      </c>
      <c r="C1654" s="15" t="s">
        <v>46</v>
      </c>
      <c r="D1654" s="16">
        <v>85000000</v>
      </c>
      <c r="E1654" s="17">
        <v>45505</v>
      </c>
      <c r="F1654" s="18">
        <f>MONTH(Data!$E1654)</f>
        <v>8</v>
      </c>
      <c r="G1654" s="16">
        <f>YEAR(Data!$E1654)</f>
        <v>2024</v>
      </c>
      <c r="H1654" s="15" t="s">
        <v>35</v>
      </c>
      <c r="I1654" s="15" t="str">
        <f t="shared" si="25"/>
        <v>Doanh nghiệp</v>
      </c>
      <c r="J1654" s="15" t="s">
        <v>1285</v>
      </c>
      <c r="K1654" s="15" t="s">
        <v>1272</v>
      </c>
      <c r="L1654" s="32">
        <f>Data!$D1654/10^6</f>
        <v>85</v>
      </c>
    </row>
    <row r="1655" spans="1:12" x14ac:dyDescent="0.25">
      <c r="A1655" s="29" t="s">
        <v>8</v>
      </c>
      <c r="B1655" s="15" t="s">
        <v>1102</v>
      </c>
      <c r="C1655" s="15" t="s">
        <v>14</v>
      </c>
      <c r="D1655" s="16">
        <v>50629432</v>
      </c>
      <c r="E1655" s="17">
        <v>45505</v>
      </c>
      <c r="F1655" s="18">
        <f>MONTH(Data!$E1655)</f>
        <v>8</v>
      </c>
      <c r="G1655" s="16">
        <f>YEAR(Data!$E1655)</f>
        <v>2024</v>
      </c>
      <c r="H1655" s="15" t="s">
        <v>11</v>
      </c>
      <c r="I1655" s="15" t="str">
        <f t="shared" si="25"/>
        <v>Doanh nghiệp</v>
      </c>
      <c r="J1655" s="15" t="s">
        <v>1284</v>
      </c>
      <c r="K1655" s="15" t="s">
        <v>1272</v>
      </c>
      <c r="L1655" s="32">
        <f>Data!$D1655/10^6</f>
        <v>50.629432000000001</v>
      </c>
    </row>
    <row r="1656" spans="1:12" x14ac:dyDescent="0.25">
      <c r="A1656" s="29" t="s">
        <v>8</v>
      </c>
      <c r="B1656" s="15" t="s">
        <v>1103</v>
      </c>
      <c r="C1656" s="15" t="s">
        <v>14</v>
      </c>
      <c r="D1656" s="16">
        <v>49645334</v>
      </c>
      <c r="E1656" s="17">
        <v>45505</v>
      </c>
      <c r="F1656" s="18">
        <f>MONTH(Data!$E1656)</f>
        <v>8</v>
      </c>
      <c r="G1656" s="16">
        <f>YEAR(Data!$E1656)</f>
        <v>2024</v>
      </c>
      <c r="H1656" s="15" t="s">
        <v>11</v>
      </c>
      <c r="I1656" s="15" t="str">
        <f t="shared" si="25"/>
        <v>Doanh nghiệp</v>
      </c>
      <c r="J1656" s="15" t="s">
        <v>1285</v>
      </c>
      <c r="K1656" s="15" t="s">
        <v>1272</v>
      </c>
      <c r="L1656" s="32">
        <f>Data!$D1656/10^6</f>
        <v>49.645333999999998</v>
      </c>
    </row>
    <row r="1657" spans="1:12" x14ac:dyDescent="0.25">
      <c r="A1657" s="29" t="s">
        <v>85</v>
      </c>
      <c r="B1657" s="15" t="s">
        <v>1122</v>
      </c>
      <c r="C1657" s="15" t="s">
        <v>10</v>
      </c>
      <c r="D1657" s="16">
        <v>8309764</v>
      </c>
      <c r="E1657" s="17">
        <v>45505</v>
      </c>
      <c r="F1657" s="18">
        <f>MONTH(Data!$E1657)</f>
        <v>8</v>
      </c>
      <c r="G1657" s="16">
        <f>YEAR(Data!$E1657)</f>
        <v>2024</v>
      </c>
      <c r="H1657" s="15" t="s">
        <v>15</v>
      </c>
      <c r="I1657" s="15" t="str">
        <f t="shared" si="25"/>
        <v>Doanh nghiệp</v>
      </c>
      <c r="J1657" s="15" t="s">
        <v>1284</v>
      </c>
      <c r="K1657" s="15" t="s">
        <v>1263</v>
      </c>
      <c r="L1657" s="32">
        <f>Data!$D1657/10^6</f>
        <v>8.3097639999999995</v>
      </c>
    </row>
    <row r="1658" spans="1:12" x14ac:dyDescent="0.25">
      <c r="A1658" s="29" t="s">
        <v>51</v>
      </c>
      <c r="B1658" s="15" t="s">
        <v>1045</v>
      </c>
      <c r="C1658" s="15" t="s">
        <v>10</v>
      </c>
      <c r="D1658" s="16">
        <v>17812600</v>
      </c>
      <c r="E1658" s="17">
        <v>45505</v>
      </c>
      <c r="F1658" s="18">
        <f>MONTH(Data!$E1658)</f>
        <v>8</v>
      </c>
      <c r="G1658" s="16">
        <f>YEAR(Data!$E1658)</f>
        <v>2024</v>
      </c>
      <c r="H1658" s="15" t="s">
        <v>42</v>
      </c>
      <c r="I1658" s="15" t="str">
        <f t="shared" si="25"/>
        <v>Doanh nghiệp</v>
      </c>
      <c r="J1658" s="15" t="s">
        <v>1285</v>
      </c>
      <c r="K1658" s="15" t="s">
        <v>1262</v>
      </c>
      <c r="L1658" s="32">
        <f>Data!$D1658/10^6</f>
        <v>17.8126</v>
      </c>
    </row>
    <row r="1659" spans="1:12" x14ac:dyDescent="0.25">
      <c r="A1659" s="29" t="s">
        <v>56</v>
      </c>
      <c r="B1659" s="15" t="s">
        <v>1076</v>
      </c>
      <c r="C1659" s="15" t="s">
        <v>149</v>
      </c>
      <c r="D1659" s="16">
        <v>590094400</v>
      </c>
      <c r="E1659" s="17">
        <v>45505</v>
      </c>
      <c r="F1659" s="18">
        <f>MONTH(Data!$E1659)</f>
        <v>8</v>
      </c>
      <c r="G1659" s="16">
        <f>YEAR(Data!$E1659)</f>
        <v>2024</v>
      </c>
      <c r="H1659" s="15" t="s">
        <v>25</v>
      </c>
      <c r="I1659" s="15" t="str">
        <f t="shared" si="25"/>
        <v>Doanh nghiệp</v>
      </c>
      <c r="J1659" s="15" t="s">
        <v>1284</v>
      </c>
      <c r="K1659" s="15" t="s">
        <v>1262</v>
      </c>
      <c r="L1659" s="32">
        <f>Data!$D1659/10^6</f>
        <v>590.09439999999995</v>
      </c>
    </row>
    <row r="1660" spans="1:12" x14ac:dyDescent="0.25">
      <c r="A1660" s="29" t="s">
        <v>62</v>
      </c>
      <c r="B1660" s="15" t="s">
        <v>1081</v>
      </c>
      <c r="C1660" s="15" t="s">
        <v>10</v>
      </c>
      <c r="D1660" s="16">
        <v>26638179</v>
      </c>
      <c r="E1660" s="17">
        <v>45505</v>
      </c>
      <c r="F1660" s="18">
        <f>MONTH(Data!$E1660)</f>
        <v>8</v>
      </c>
      <c r="G1660" s="16">
        <f>YEAR(Data!$E1660)</f>
        <v>2024</v>
      </c>
      <c r="H1660" s="15" t="s">
        <v>15</v>
      </c>
      <c r="I1660" s="15" t="str">
        <f t="shared" si="25"/>
        <v>Doanh nghiệp</v>
      </c>
      <c r="J1660" s="15" t="s">
        <v>1285</v>
      </c>
      <c r="K1660" s="15" t="s">
        <v>1263</v>
      </c>
      <c r="L1660" s="32">
        <f>Data!$D1660/10^6</f>
        <v>26.638179000000001</v>
      </c>
    </row>
    <row r="1661" spans="1:12" x14ac:dyDescent="0.25">
      <c r="A1661" s="29" t="s">
        <v>52</v>
      </c>
      <c r="B1661" s="15" t="s">
        <v>1094</v>
      </c>
      <c r="C1661" s="15" t="s">
        <v>14</v>
      </c>
      <c r="D1661" s="16">
        <v>136800000</v>
      </c>
      <c r="E1661" s="17">
        <v>45505</v>
      </c>
      <c r="F1661" s="18">
        <f>MONTH(Data!$E1661)</f>
        <v>8</v>
      </c>
      <c r="G1661" s="16">
        <f>YEAR(Data!$E1661)</f>
        <v>2024</v>
      </c>
      <c r="H1661" s="15" t="s">
        <v>35</v>
      </c>
      <c r="I1661" s="15" t="str">
        <f t="shared" si="25"/>
        <v>Doanh nghiệp</v>
      </c>
      <c r="J1661" s="15" t="s">
        <v>1284</v>
      </c>
      <c r="K1661" s="15" t="s">
        <v>1264</v>
      </c>
      <c r="L1661" s="32">
        <f>Data!$D1661/10^6</f>
        <v>136.80000000000001</v>
      </c>
    </row>
    <row r="1662" spans="1:12" x14ac:dyDescent="0.25">
      <c r="A1662" s="29" t="s">
        <v>37</v>
      </c>
      <c r="B1662" s="15" t="s">
        <v>1099</v>
      </c>
      <c r="C1662" s="15" t="s">
        <v>46</v>
      </c>
      <c r="D1662" s="16">
        <v>45272727</v>
      </c>
      <c r="E1662" s="17">
        <v>45505</v>
      </c>
      <c r="F1662" s="18">
        <f>MONTH(Data!$E1662)</f>
        <v>8</v>
      </c>
      <c r="G1662" s="16">
        <f>YEAR(Data!$E1662)</f>
        <v>2024</v>
      </c>
      <c r="H1662" s="15" t="s">
        <v>11</v>
      </c>
      <c r="I1662" s="15" t="str">
        <f t="shared" si="25"/>
        <v>Doanh nghiệp</v>
      </c>
      <c r="J1662" s="15" t="s">
        <v>1285</v>
      </c>
      <c r="K1662" s="15" t="s">
        <v>1271</v>
      </c>
      <c r="L1662" s="32">
        <f>Data!$D1662/10^6</f>
        <v>45.272727000000003</v>
      </c>
    </row>
    <row r="1663" spans="1:12" x14ac:dyDescent="0.25">
      <c r="A1663" s="29" t="s">
        <v>128</v>
      </c>
      <c r="B1663" s="15" t="s">
        <v>1047</v>
      </c>
      <c r="C1663" s="15" t="s">
        <v>10</v>
      </c>
      <c r="D1663" s="16">
        <v>46090909</v>
      </c>
      <c r="E1663" s="17">
        <v>45505</v>
      </c>
      <c r="F1663" s="18">
        <f>MONTH(Data!$E1663)</f>
        <v>8</v>
      </c>
      <c r="G1663" s="16">
        <f>YEAR(Data!$E1663)</f>
        <v>2024</v>
      </c>
      <c r="H1663" s="15" t="s">
        <v>42</v>
      </c>
      <c r="I1663" s="15" t="str">
        <f t="shared" si="25"/>
        <v>Doanh nghiệp</v>
      </c>
      <c r="J1663" s="15" t="s">
        <v>1284</v>
      </c>
      <c r="K1663" s="15" t="s">
        <v>1263</v>
      </c>
      <c r="L1663" s="32">
        <f>Data!$D1663/10^6</f>
        <v>46.090909000000003</v>
      </c>
    </row>
    <row r="1664" spans="1:12" x14ac:dyDescent="0.25">
      <c r="A1664" s="29" t="s">
        <v>92</v>
      </c>
      <c r="B1664" s="15" t="s">
        <v>1052</v>
      </c>
      <c r="C1664" s="15" t="s">
        <v>14</v>
      </c>
      <c r="D1664" s="16">
        <v>49545455</v>
      </c>
      <c r="E1664" s="17">
        <v>45505</v>
      </c>
      <c r="F1664" s="18">
        <f>MONTH(Data!$E1664)</f>
        <v>8</v>
      </c>
      <c r="G1664" s="16">
        <f>YEAR(Data!$E1664)</f>
        <v>2024</v>
      </c>
      <c r="H1664" s="15" t="s">
        <v>29</v>
      </c>
      <c r="I1664" s="15" t="str">
        <f t="shared" si="25"/>
        <v>Doanh nghiệp</v>
      </c>
      <c r="J1664" s="15" t="s">
        <v>1285</v>
      </c>
      <c r="K1664" s="15" t="s">
        <v>1275</v>
      </c>
      <c r="L1664" s="32">
        <f>Data!$D1664/10^6</f>
        <v>49.545454999999997</v>
      </c>
    </row>
    <row r="1665" spans="1:12" x14ac:dyDescent="0.25">
      <c r="A1665" s="29" t="s">
        <v>92</v>
      </c>
      <c r="B1665" s="15" t="s">
        <v>1053</v>
      </c>
      <c r="C1665" s="15" t="s">
        <v>14</v>
      </c>
      <c r="D1665" s="16">
        <v>59509091</v>
      </c>
      <c r="E1665" s="17">
        <v>45505</v>
      </c>
      <c r="F1665" s="18">
        <f>MONTH(Data!$E1665)</f>
        <v>8</v>
      </c>
      <c r="G1665" s="16">
        <f>YEAR(Data!$E1665)</f>
        <v>2024</v>
      </c>
      <c r="H1665" s="15" t="s">
        <v>29</v>
      </c>
      <c r="I1665" s="15" t="str">
        <f t="shared" si="25"/>
        <v>Doanh nghiệp</v>
      </c>
      <c r="J1665" s="15" t="s">
        <v>1284</v>
      </c>
      <c r="K1665" s="15" t="s">
        <v>1275</v>
      </c>
      <c r="L1665" s="32">
        <f>Data!$D1665/10^6</f>
        <v>59.509090999999998</v>
      </c>
    </row>
    <row r="1666" spans="1:12" x14ac:dyDescent="0.25">
      <c r="A1666" s="29" t="s">
        <v>54</v>
      </c>
      <c r="B1666" s="15" t="s">
        <v>1079</v>
      </c>
      <c r="C1666" s="15" t="s">
        <v>46</v>
      </c>
      <c r="D1666" s="16">
        <v>1659844385</v>
      </c>
      <c r="E1666" s="17">
        <v>45505</v>
      </c>
      <c r="F1666" s="18">
        <f>MONTH(Data!$E1666)</f>
        <v>8</v>
      </c>
      <c r="G1666" s="16">
        <f>YEAR(Data!$E1666)</f>
        <v>2024</v>
      </c>
      <c r="H1666" s="15" t="s">
        <v>15</v>
      </c>
      <c r="I1666" s="15" t="str">
        <f t="shared" si="25"/>
        <v>Doanh nghiệp</v>
      </c>
      <c r="J1666" s="15" t="s">
        <v>1285</v>
      </c>
      <c r="K1666" s="15" t="s">
        <v>1265</v>
      </c>
      <c r="L1666" s="32">
        <f>Data!$D1666/10^6</f>
        <v>1659.8443850000001</v>
      </c>
    </row>
    <row r="1667" spans="1:12" x14ac:dyDescent="0.25">
      <c r="A1667" s="29" t="s">
        <v>89</v>
      </c>
      <c r="B1667" s="15" t="s">
        <v>1089</v>
      </c>
      <c r="C1667" s="15" t="s">
        <v>10</v>
      </c>
      <c r="D1667" s="16">
        <v>22196500</v>
      </c>
      <c r="E1667" s="17">
        <v>45505</v>
      </c>
      <c r="F1667" s="18">
        <f>MONTH(Data!$E1667)</f>
        <v>8</v>
      </c>
      <c r="G1667" s="16">
        <f>YEAR(Data!$E1667)</f>
        <v>2024</v>
      </c>
      <c r="H1667" s="15" t="s">
        <v>11</v>
      </c>
      <c r="I1667" s="15" t="str">
        <f t="shared" ref="I1667:I1730" si="26">IF(ISNUMBER(SEARCH("Công ty",$B1667)),"Doanh nghiệp",IF(ISNUMBER(SEARCH("Doanh nghiệp",$B1667)),"Doanh nghiệp",IF(ISNUMBER(SEARCH("Tập đoàn",$B1667)),"Doanh nghiệp",
IF(ISNUMBER(SEARCH("Bệnh viện",$B1667)),"Bệnh viện",
IF(ISNUMBER(SEARCH("Ngân hàng",$B1667)),"Ngân hàng",IF(ISNUMBER(SEARCH("trường",$B1667)),"Trường học",IF(ISNUMBER(SEARCH("học viện",$B1667)),"Trường học",
IF(ISNUMBER(SEARCH("Bộ",$B1667)),"Sở ban ngành",IF(ISNUMBER(SEARCH("Đoàn",$B1667)),"Sở ban ngành",IF(ISNUMBER(SEARCH("Phòng",$B1667)),"Sở ban ngành",IF(ISNUMBER(SEARCH("UBND",$B1667)),"Sở ban ngành",IF(ISNUMBER(SEARCH("ủy ban",$B1667)),"Sở ban ngành",IF(ISNUMBER(SEARCH("công an",$B1667)),"Sở ban ngành",IF(ISNUMBER(SEARCH("sở",$B1667)),"Sở ban ngành",IF(ISNUMBER(SEARCH("thôn",$B1667)),"Sở ban ngành",IF(ISNUMBER(SEARCH("xã",$B1667)),"Sở ban ngành",IF(ISNUMBER(SEARCH("quân khu",$B1667)),"Sở ban ngành",IF(ISNUMBER(SEARCH("cục",$B1667)),"Sở ban ngành",IF(ISNUMBER(SEARCH("viện",$B1667)),"Sở ban ngành",IF(ISNUMBER(SEARCH("quỹ",$B1667)),"Sở ban ngành",IF(ISNUMBER(SEARCH("trung tâm",$B1667)),"Sở ban ngành",IF(ISNUMBER(SEARCH("quân chủng",$B1667)),"Sở ban ngành",IF(ISNUMBER(SEARCH("hội",$B1667)),"Sở ban ngành",
"Khác")))))))))))))))))))))))</f>
        <v>Doanh nghiệp</v>
      </c>
      <c r="J1667" s="15" t="s">
        <v>1284</v>
      </c>
      <c r="K1667" s="15" t="s">
        <v>1262</v>
      </c>
      <c r="L1667" s="32">
        <f>Data!$D1667/10^6</f>
        <v>22.1965</v>
      </c>
    </row>
    <row r="1668" spans="1:12" x14ac:dyDescent="0.25">
      <c r="A1668" s="29" t="s">
        <v>128</v>
      </c>
      <c r="B1668" s="15" t="s">
        <v>1113</v>
      </c>
      <c r="C1668" s="15" t="s">
        <v>14</v>
      </c>
      <c r="D1668" s="16">
        <v>273927273</v>
      </c>
      <c r="E1668" s="17">
        <v>45505</v>
      </c>
      <c r="F1668" s="18">
        <f>MONTH(Data!$E1668)</f>
        <v>8</v>
      </c>
      <c r="G1668" s="16">
        <f>YEAR(Data!$E1668)</f>
        <v>2024</v>
      </c>
      <c r="H1668" s="15" t="s">
        <v>42</v>
      </c>
      <c r="I1668" s="15" t="str">
        <f t="shared" si="26"/>
        <v>Doanh nghiệp</v>
      </c>
      <c r="J1668" s="15" t="s">
        <v>1285</v>
      </c>
      <c r="K1668" s="15" t="s">
        <v>1264</v>
      </c>
      <c r="L1668" s="32">
        <f>Data!$D1668/10^6</f>
        <v>273.92727300000001</v>
      </c>
    </row>
    <row r="1669" spans="1:12" x14ac:dyDescent="0.25">
      <c r="A1669" s="29" t="s">
        <v>209</v>
      </c>
      <c r="B1669" s="15" t="s">
        <v>1115</v>
      </c>
      <c r="C1669" s="15" t="s">
        <v>41</v>
      </c>
      <c r="D1669" s="16">
        <v>119181818</v>
      </c>
      <c r="E1669" s="17">
        <v>45505</v>
      </c>
      <c r="F1669" s="18">
        <f>MONTH(Data!$E1669)</f>
        <v>8</v>
      </c>
      <c r="G1669" s="16">
        <f>YEAR(Data!$E1669)</f>
        <v>2024</v>
      </c>
      <c r="H1669" s="15" t="s">
        <v>32</v>
      </c>
      <c r="I1669" s="15" t="str">
        <f t="shared" si="26"/>
        <v>Doanh nghiệp</v>
      </c>
      <c r="J1669" s="15" t="s">
        <v>1284</v>
      </c>
      <c r="K1669" s="15" t="s">
        <v>1269</v>
      </c>
      <c r="L1669" s="32">
        <f>Data!$D1669/10^6</f>
        <v>119.18181800000001</v>
      </c>
    </row>
    <row r="1670" spans="1:12" x14ac:dyDescent="0.25">
      <c r="A1670" s="29" t="s">
        <v>47</v>
      </c>
      <c r="B1670" s="15" t="s">
        <v>1028</v>
      </c>
      <c r="C1670" s="15" t="s">
        <v>10</v>
      </c>
      <c r="D1670" s="16">
        <v>63305455</v>
      </c>
      <c r="E1670" s="17">
        <v>45505</v>
      </c>
      <c r="F1670" s="18">
        <f>MONTH(Data!$E1670)</f>
        <v>8</v>
      </c>
      <c r="G1670" s="16">
        <f>YEAR(Data!$E1670)</f>
        <v>2024</v>
      </c>
      <c r="H1670" s="15" t="s">
        <v>29</v>
      </c>
      <c r="I1670" s="15" t="str">
        <f t="shared" si="26"/>
        <v>Doanh nghiệp</v>
      </c>
      <c r="J1670" s="15" t="s">
        <v>1285</v>
      </c>
      <c r="K1670" s="15" t="s">
        <v>1263</v>
      </c>
      <c r="L1670" s="32">
        <f>Data!$D1670/10^6</f>
        <v>63.305455000000002</v>
      </c>
    </row>
    <row r="1671" spans="1:12" x14ac:dyDescent="0.25">
      <c r="A1671" s="29" t="s">
        <v>48</v>
      </c>
      <c r="B1671" s="15" t="s">
        <v>1033</v>
      </c>
      <c r="C1671" s="15" t="s">
        <v>149</v>
      </c>
      <c r="D1671" s="16">
        <v>81127244</v>
      </c>
      <c r="E1671" s="17">
        <v>45505</v>
      </c>
      <c r="F1671" s="18">
        <f>MONTH(Data!$E1671)</f>
        <v>8</v>
      </c>
      <c r="G1671" s="16">
        <f>YEAR(Data!$E1671)</f>
        <v>2024</v>
      </c>
      <c r="H1671" s="15" t="s">
        <v>25</v>
      </c>
      <c r="I1671" s="15" t="str">
        <f t="shared" si="26"/>
        <v>Doanh nghiệp</v>
      </c>
      <c r="J1671" s="15" t="s">
        <v>1284</v>
      </c>
      <c r="K1671" s="15" t="s">
        <v>1263</v>
      </c>
      <c r="L1671" s="32">
        <f>Data!$D1671/10^6</f>
        <v>81.127244000000005</v>
      </c>
    </row>
    <row r="1672" spans="1:12" x14ac:dyDescent="0.25">
      <c r="A1672" s="29" t="s">
        <v>37</v>
      </c>
      <c r="B1672" s="15" t="s">
        <v>1069</v>
      </c>
      <c r="C1672" s="15" t="s">
        <v>10</v>
      </c>
      <c r="D1672" s="16">
        <v>25059200</v>
      </c>
      <c r="E1672" s="17">
        <v>45505</v>
      </c>
      <c r="F1672" s="18">
        <f>MONTH(Data!$E1672)</f>
        <v>8</v>
      </c>
      <c r="G1672" s="16">
        <f>YEAR(Data!$E1672)</f>
        <v>2024</v>
      </c>
      <c r="H1672" s="15" t="s">
        <v>11</v>
      </c>
      <c r="I1672" s="15" t="str">
        <f t="shared" si="26"/>
        <v>Doanh nghiệp</v>
      </c>
      <c r="J1672" s="15" t="s">
        <v>1285</v>
      </c>
      <c r="K1672" s="15" t="s">
        <v>1263</v>
      </c>
      <c r="L1672" s="32">
        <f>Data!$D1672/10^6</f>
        <v>25.059200000000001</v>
      </c>
    </row>
    <row r="1673" spans="1:12" x14ac:dyDescent="0.25">
      <c r="A1673" s="29" t="s">
        <v>68</v>
      </c>
      <c r="B1673" s="15" t="s">
        <v>1085</v>
      </c>
      <c r="C1673" s="15" t="s">
        <v>149</v>
      </c>
      <c r="D1673" s="16">
        <v>43759455</v>
      </c>
      <c r="E1673" s="17">
        <v>45505</v>
      </c>
      <c r="F1673" s="18">
        <f>MONTH(Data!$E1673)</f>
        <v>8</v>
      </c>
      <c r="G1673" s="16">
        <f>YEAR(Data!$E1673)</f>
        <v>2024</v>
      </c>
      <c r="H1673" s="15" t="s">
        <v>22</v>
      </c>
      <c r="I1673" s="15" t="str">
        <f t="shared" si="26"/>
        <v>Doanh nghiệp</v>
      </c>
      <c r="J1673" s="15" t="s">
        <v>1284</v>
      </c>
      <c r="K1673" s="15" t="s">
        <v>1262</v>
      </c>
      <c r="L1673" s="32">
        <f>Data!$D1673/10^6</f>
        <v>43.759455000000003</v>
      </c>
    </row>
    <row r="1674" spans="1:12" x14ac:dyDescent="0.25">
      <c r="A1674" s="29" t="s">
        <v>151</v>
      </c>
      <c r="B1674" s="15" t="s">
        <v>1104</v>
      </c>
      <c r="C1674" s="15" t="s">
        <v>46</v>
      </c>
      <c r="D1674" s="16">
        <v>460578971</v>
      </c>
      <c r="E1674" s="17">
        <v>45505</v>
      </c>
      <c r="F1674" s="18">
        <f>MONTH(Data!$E1674)</f>
        <v>8</v>
      </c>
      <c r="G1674" s="16">
        <f>YEAR(Data!$E1674)</f>
        <v>2024</v>
      </c>
      <c r="H1674" s="15" t="s">
        <v>15</v>
      </c>
      <c r="I1674" s="15" t="str">
        <f t="shared" si="26"/>
        <v>Doanh nghiệp</v>
      </c>
      <c r="J1674" s="15" t="s">
        <v>1285</v>
      </c>
      <c r="K1674" s="15" t="s">
        <v>1265</v>
      </c>
      <c r="L1674" s="32">
        <f>Data!$D1674/10^6</f>
        <v>460.57897100000002</v>
      </c>
    </row>
    <row r="1675" spans="1:12" x14ac:dyDescent="0.25">
      <c r="A1675" s="29" t="s">
        <v>43</v>
      </c>
      <c r="B1675" s="15" t="s">
        <v>1040</v>
      </c>
      <c r="C1675" s="15" t="s">
        <v>46</v>
      </c>
      <c r="D1675" s="16">
        <v>132754476</v>
      </c>
      <c r="E1675" s="17">
        <v>45505</v>
      </c>
      <c r="F1675" s="18">
        <f>MONTH(Data!$E1675)</f>
        <v>8</v>
      </c>
      <c r="G1675" s="16">
        <f>YEAR(Data!$E1675)</f>
        <v>2024</v>
      </c>
      <c r="H1675" s="15" t="s">
        <v>35</v>
      </c>
      <c r="I1675" s="15" t="str">
        <f t="shared" si="26"/>
        <v>Doanh nghiệp</v>
      </c>
      <c r="J1675" s="15" t="s">
        <v>1284</v>
      </c>
      <c r="K1675" s="15" t="s">
        <v>1265</v>
      </c>
      <c r="L1675" s="32">
        <f>Data!$D1675/10^6</f>
        <v>132.75447600000001</v>
      </c>
    </row>
    <row r="1676" spans="1:12" x14ac:dyDescent="0.25">
      <c r="A1676" s="29" t="s">
        <v>48</v>
      </c>
      <c r="B1676" s="15" t="s">
        <v>1046</v>
      </c>
      <c r="C1676" s="15" t="s">
        <v>10</v>
      </c>
      <c r="D1676" s="16">
        <v>5320000</v>
      </c>
      <c r="E1676" s="17">
        <v>45505</v>
      </c>
      <c r="F1676" s="18">
        <f>MONTH(Data!$E1676)</f>
        <v>8</v>
      </c>
      <c r="G1676" s="16">
        <f>YEAR(Data!$E1676)</f>
        <v>2024</v>
      </c>
      <c r="H1676" s="15" t="s">
        <v>25</v>
      </c>
      <c r="I1676" s="15" t="str">
        <f t="shared" si="26"/>
        <v>Doanh nghiệp</v>
      </c>
      <c r="J1676" s="15" t="s">
        <v>1285</v>
      </c>
      <c r="K1676" s="15" t="s">
        <v>1263</v>
      </c>
      <c r="L1676" s="32">
        <f>Data!$D1676/10^6</f>
        <v>5.32</v>
      </c>
    </row>
    <row r="1677" spans="1:12" x14ac:dyDescent="0.25">
      <c r="A1677" s="29" t="s">
        <v>48</v>
      </c>
      <c r="B1677" s="15" t="s">
        <v>1047</v>
      </c>
      <c r="C1677" s="15" t="s">
        <v>10</v>
      </c>
      <c r="D1677" s="16">
        <v>12170000</v>
      </c>
      <c r="E1677" s="17">
        <v>45505</v>
      </c>
      <c r="F1677" s="18">
        <f>MONTH(Data!$E1677)</f>
        <v>8</v>
      </c>
      <c r="G1677" s="16">
        <f>YEAR(Data!$E1677)</f>
        <v>2024</v>
      </c>
      <c r="H1677" s="15" t="s">
        <v>25</v>
      </c>
      <c r="I1677" s="15" t="str">
        <f t="shared" si="26"/>
        <v>Doanh nghiệp</v>
      </c>
      <c r="J1677" s="15" t="s">
        <v>1284</v>
      </c>
      <c r="K1677" s="15" t="s">
        <v>1263</v>
      </c>
      <c r="L1677" s="32">
        <f>Data!$D1677/10^6</f>
        <v>12.17</v>
      </c>
    </row>
    <row r="1678" spans="1:12" x14ac:dyDescent="0.25">
      <c r="A1678" s="29" t="s">
        <v>48</v>
      </c>
      <c r="B1678" s="15" t="s">
        <v>1048</v>
      </c>
      <c r="C1678" s="15" t="s">
        <v>10</v>
      </c>
      <c r="D1678" s="16">
        <v>4590000</v>
      </c>
      <c r="E1678" s="17">
        <v>45505</v>
      </c>
      <c r="F1678" s="18">
        <f>MONTH(Data!$E1678)</f>
        <v>8</v>
      </c>
      <c r="G1678" s="16">
        <f>YEAR(Data!$E1678)</f>
        <v>2024</v>
      </c>
      <c r="H1678" s="15" t="s">
        <v>25</v>
      </c>
      <c r="I1678" s="15" t="str">
        <f t="shared" si="26"/>
        <v>Doanh nghiệp</v>
      </c>
      <c r="J1678" s="15" t="s">
        <v>1285</v>
      </c>
      <c r="K1678" s="15" t="s">
        <v>1263</v>
      </c>
      <c r="L1678" s="32">
        <f>Data!$D1678/10^6</f>
        <v>4.59</v>
      </c>
    </row>
    <row r="1679" spans="1:12" x14ac:dyDescent="0.25">
      <c r="A1679" s="29" t="s">
        <v>73</v>
      </c>
      <c r="B1679" s="15" t="s">
        <v>1063</v>
      </c>
      <c r="C1679" s="15" t="s">
        <v>10</v>
      </c>
      <c r="D1679" s="16">
        <v>15532500</v>
      </c>
      <c r="E1679" s="17">
        <v>45505</v>
      </c>
      <c r="F1679" s="18">
        <f>MONTH(Data!$E1679)</f>
        <v>8</v>
      </c>
      <c r="G1679" s="16">
        <f>YEAR(Data!$E1679)</f>
        <v>2024</v>
      </c>
      <c r="H1679" s="15" t="s">
        <v>32</v>
      </c>
      <c r="I1679" s="15" t="str">
        <f t="shared" si="26"/>
        <v>Doanh nghiệp</v>
      </c>
      <c r="J1679" s="15" t="s">
        <v>1284</v>
      </c>
      <c r="K1679" s="15" t="s">
        <v>1263</v>
      </c>
      <c r="L1679" s="32">
        <f>Data!$D1679/10^6</f>
        <v>15.532500000000001</v>
      </c>
    </row>
    <row r="1680" spans="1:12" x14ac:dyDescent="0.25">
      <c r="A1680" s="29" t="s">
        <v>51</v>
      </c>
      <c r="B1680" s="15" t="s">
        <v>1064</v>
      </c>
      <c r="C1680" s="15" t="s">
        <v>10</v>
      </c>
      <c r="D1680" s="16">
        <v>48363636</v>
      </c>
      <c r="E1680" s="17">
        <v>45505</v>
      </c>
      <c r="F1680" s="18">
        <f>MONTH(Data!$E1680)</f>
        <v>8</v>
      </c>
      <c r="G1680" s="16">
        <f>YEAR(Data!$E1680)</f>
        <v>2024</v>
      </c>
      <c r="H1680" s="15" t="s">
        <v>42</v>
      </c>
      <c r="I1680" s="15" t="str">
        <f t="shared" si="26"/>
        <v>Doanh nghiệp</v>
      </c>
      <c r="J1680" s="15" t="s">
        <v>1285</v>
      </c>
      <c r="K1680" s="15" t="s">
        <v>1263</v>
      </c>
      <c r="L1680" s="32">
        <f>Data!$D1680/10^6</f>
        <v>48.363636</v>
      </c>
    </row>
    <row r="1681" spans="1:12" x14ac:dyDescent="0.25">
      <c r="A1681" s="29" t="s">
        <v>51</v>
      </c>
      <c r="B1681" s="15" t="s">
        <v>1065</v>
      </c>
      <c r="C1681" s="15" t="s">
        <v>10</v>
      </c>
      <c r="D1681" s="16">
        <v>61905455</v>
      </c>
      <c r="E1681" s="17">
        <v>45505</v>
      </c>
      <c r="F1681" s="18">
        <f>MONTH(Data!$E1681)</f>
        <v>8</v>
      </c>
      <c r="G1681" s="16">
        <f>YEAR(Data!$E1681)</f>
        <v>2024</v>
      </c>
      <c r="H1681" s="15" t="s">
        <v>42</v>
      </c>
      <c r="I1681" s="15" t="str">
        <f t="shared" si="26"/>
        <v>Doanh nghiệp</v>
      </c>
      <c r="J1681" s="15" t="s">
        <v>1284</v>
      </c>
      <c r="K1681" s="15" t="s">
        <v>1263</v>
      </c>
      <c r="L1681" s="32">
        <f>Data!$D1681/10^6</f>
        <v>61.905455000000003</v>
      </c>
    </row>
    <row r="1682" spans="1:12" x14ac:dyDescent="0.25">
      <c r="A1682" s="29" t="s">
        <v>111</v>
      </c>
      <c r="B1682" s="15" t="s">
        <v>1108</v>
      </c>
      <c r="C1682" s="15" t="s">
        <v>149</v>
      </c>
      <c r="D1682" s="16">
        <v>80909091</v>
      </c>
      <c r="E1682" s="17">
        <v>45505</v>
      </c>
      <c r="F1682" s="18">
        <f>MONTH(Data!$E1682)</f>
        <v>8</v>
      </c>
      <c r="G1682" s="16">
        <f>YEAR(Data!$E1682)</f>
        <v>2024</v>
      </c>
      <c r="H1682" s="15" t="s">
        <v>22</v>
      </c>
      <c r="I1682" s="15" t="str">
        <f t="shared" si="26"/>
        <v>Doanh nghiệp</v>
      </c>
      <c r="J1682" s="15" t="s">
        <v>1285</v>
      </c>
      <c r="K1682" s="15" t="s">
        <v>1263</v>
      </c>
      <c r="L1682" s="32">
        <f>Data!$D1682/10^6</f>
        <v>80.909091000000004</v>
      </c>
    </row>
    <row r="1683" spans="1:12" x14ac:dyDescent="0.25">
      <c r="A1683" s="29" t="s">
        <v>130</v>
      </c>
      <c r="B1683" s="15" t="s">
        <v>1110</v>
      </c>
      <c r="C1683" s="15" t="s">
        <v>10</v>
      </c>
      <c r="D1683" s="16">
        <v>30600000</v>
      </c>
      <c r="E1683" s="17">
        <v>45505</v>
      </c>
      <c r="F1683" s="18">
        <f>MONTH(Data!$E1683)</f>
        <v>8</v>
      </c>
      <c r="G1683" s="16">
        <f>YEAR(Data!$E1683)</f>
        <v>2024</v>
      </c>
      <c r="H1683" s="15" t="s">
        <v>22</v>
      </c>
      <c r="I1683" s="15" t="str">
        <f t="shared" si="26"/>
        <v>Doanh nghiệp</v>
      </c>
      <c r="J1683" s="15" t="s">
        <v>1284</v>
      </c>
      <c r="K1683" s="15" t="s">
        <v>1262</v>
      </c>
      <c r="L1683" s="32">
        <f>Data!$D1683/10^6</f>
        <v>30.6</v>
      </c>
    </row>
    <row r="1684" spans="1:12" x14ac:dyDescent="0.25">
      <c r="A1684" s="29" t="s">
        <v>59</v>
      </c>
      <c r="B1684" s="15" t="s">
        <v>1121</v>
      </c>
      <c r="C1684" s="15" t="s">
        <v>46</v>
      </c>
      <c r="D1684" s="16">
        <v>117363636</v>
      </c>
      <c r="E1684" s="17">
        <v>45505</v>
      </c>
      <c r="F1684" s="18">
        <f>MONTH(Data!$E1684)</f>
        <v>8</v>
      </c>
      <c r="G1684" s="16">
        <f>YEAR(Data!$E1684)</f>
        <v>2024</v>
      </c>
      <c r="H1684" s="15" t="s">
        <v>22</v>
      </c>
      <c r="I1684" s="15" t="str">
        <f t="shared" si="26"/>
        <v>Doanh nghiệp</v>
      </c>
      <c r="J1684" s="15" t="s">
        <v>1285</v>
      </c>
      <c r="K1684" s="15" t="s">
        <v>1265</v>
      </c>
      <c r="L1684" s="32">
        <f>Data!$D1684/10^6</f>
        <v>117.363636</v>
      </c>
    </row>
    <row r="1685" spans="1:12" x14ac:dyDescent="0.25">
      <c r="A1685" s="29" t="s">
        <v>59</v>
      </c>
      <c r="B1685" s="15" t="s">
        <v>1122</v>
      </c>
      <c r="C1685" s="15" t="s">
        <v>46</v>
      </c>
      <c r="D1685" s="16">
        <v>37272727</v>
      </c>
      <c r="E1685" s="17">
        <v>45505</v>
      </c>
      <c r="F1685" s="18">
        <f>MONTH(Data!$E1685)</f>
        <v>8</v>
      </c>
      <c r="G1685" s="16">
        <f>YEAR(Data!$E1685)</f>
        <v>2024</v>
      </c>
      <c r="H1685" s="15" t="s">
        <v>22</v>
      </c>
      <c r="I1685" s="15" t="str">
        <f t="shared" si="26"/>
        <v>Doanh nghiệp</v>
      </c>
      <c r="J1685" s="15" t="s">
        <v>1284</v>
      </c>
      <c r="K1685" s="15" t="s">
        <v>1265</v>
      </c>
      <c r="L1685" s="32">
        <f>Data!$D1685/10^6</f>
        <v>37.272727000000003</v>
      </c>
    </row>
    <row r="1686" spans="1:12" x14ac:dyDescent="0.25">
      <c r="A1686" s="29" t="s">
        <v>89</v>
      </c>
      <c r="B1686" s="15" t="s">
        <v>1128</v>
      </c>
      <c r="C1686" s="15" t="s">
        <v>46</v>
      </c>
      <c r="D1686" s="16">
        <v>87159091</v>
      </c>
      <c r="E1686" s="17">
        <v>45505</v>
      </c>
      <c r="F1686" s="18">
        <f>MONTH(Data!$E1686)</f>
        <v>8</v>
      </c>
      <c r="G1686" s="16">
        <f>YEAR(Data!$E1686)</f>
        <v>2024</v>
      </c>
      <c r="H1686" s="15" t="s">
        <v>11</v>
      </c>
      <c r="I1686" s="15" t="str">
        <f t="shared" si="26"/>
        <v>Doanh nghiệp</v>
      </c>
      <c r="J1686" s="15" t="s">
        <v>1285</v>
      </c>
      <c r="K1686" s="15" t="s">
        <v>1271</v>
      </c>
      <c r="L1686" s="32">
        <f>Data!$D1686/10^6</f>
        <v>87.159091000000004</v>
      </c>
    </row>
    <row r="1687" spans="1:12" x14ac:dyDescent="0.25">
      <c r="A1687" s="29" t="s">
        <v>89</v>
      </c>
      <c r="B1687" s="15" t="s">
        <v>1127</v>
      </c>
      <c r="C1687" s="15" t="s">
        <v>10</v>
      </c>
      <c r="D1687" s="16">
        <v>28363636</v>
      </c>
      <c r="E1687" s="17">
        <v>45505</v>
      </c>
      <c r="F1687" s="18">
        <f>MONTH(Data!$E1687)</f>
        <v>8</v>
      </c>
      <c r="G1687" s="16">
        <f>YEAR(Data!$E1687)</f>
        <v>2024</v>
      </c>
      <c r="H1687" s="15" t="s">
        <v>11</v>
      </c>
      <c r="I1687" s="15" t="str">
        <f t="shared" si="26"/>
        <v>Doanh nghiệp</v>
      </c>
      <c r="J1687" s="15" t="s">
        <v>1284</v>
      </c>
      <c r="K1687" s="15" t="s">
        <v>1263</v>
      </c>
      <c r="L1687" s="32">
        <f>Data!$D1687/10^6</f>
        <v>28.363636</v>
      </c>
    </row>
    <row r="1688" spans="1:12" x14ac:dyDescent="0.25">
      <c r="A1688" s="29" t="s">
        <v>23</v>
      </c>
      <c r="B1688" s="15" t="s">
        <v>1134</v>
      </c>
      <c r="C1688" s="15" t="s">
        <v>46</v>
      </c>
      <c r="D1688" s="16">
        <v>190000000</v>
      </c>
      <c r="E1688" s="17">
        <v>45505</v>
      </c>
      <c r="F1688" s="18">
        <f>MONTH(Data!$E1688)</f>
        <v>8</v>
      </c>
      <c r="G1688" s="16">
        <f>YEAR(Data!$E1688)</f>
        <v>2024</v>
      </c>
      <c r="H1688" s="15" t="s">
        <v>25</v>
      </c>
      <c r="I1688" s="15" t="str">
        <f t="shared" si="26"/>
        <v>Doanh nghiệp</v>
      </c>
      <c r="J1688" s="15" t="s">
        <v>1285</v>
      </c>
      <c r="K1688" s="15" t="s">
        <v>1265</v>
      </c>
      <c r="L1688" s="32">
        <f>Data!$D1688/10^6</f>
        <v>190</v>
      </c>
    </row>
    <row r="1689" spans="1:12" x14ac:dyDescent="0.25">
      <c r="A1689" s="29" t="s">
        <v>8</v>
      </c>
      <c r="B1689" s="15" t="s">
        <v>1136</v>
      </c>
      <c r="C1689" s="15" t="s">
        <v>149</v>
      </c>
      <c r="D1689" s="16">
        <v>22241518</v>
      </c>
      <c r="E1689" s="17">
        <v>45505</v>
      </c>
      <c r="F1689" s="18">
        <f>MONTH(Data!$E1689)</f>
        <v>8</v>
      </c>
      <c r="G1689" s="16">
        <f>YEAR(Data!$E1689)</f>
        <v>2024</v>
      </c>
      <c r="H1689" s="15" t="s">
        <v>11</v>
      </c>
      <c r="I1689" s="15" t="str">
        <f t="shared" si="26"/>
        <v>Doanh nghiệp</v>
      </c>
      <c r="J1689" s="15" t="s">
        <v>1284</v>
      </c>
      <c r="K1689" s="15" t="s">
        <v>1264</v>
      </c>
      <c r="L1689" s="32">
        <f>Data!$D1689/10^6</f>
        <v>22.241517999999999</v>
      </c>
    </row>
    <row r="1690" spans="1:12" x14ac:dyDescent="0.25">
      <c r="A1690" s="29" t="s">
        <v>151</v>
      </c>
      <c r="B1690" s="15" t="s">
        <v>1141</v>
      </c>
      <c r="C1690" s="15" t="s">
        <v>14</v>
      </c>
      <c r="D1690" s="16">
        <v>63876000</v>
      </c>
      <c r="E1690" s="17">
        <v>45505</v>
      </c>
      <c r="F1690" s="18">
        <f>MONTH(Data!$E1690)</f>
        <v>8</v>
      </c>
      <c r="G1690" s="16">
        <f>YEAR(Data!$E1690)</f>
        <v>2024</v>
      </c>
      <c r="H1690" s="15" t="s">
        <v>15</v>
      </c>
      <c r="I1690" s="15" t="str">
        <f t="shared" si="26"/>
        <v>Doanh nghiệp</v>
      </c>
      <c r="J1690" s="15" t="s">
        <v>1285</v>
      </c>
      <c r="K1690" s="15" t="s">
        <v>1273</v>
      </c>
      <c r="L1690" s="32">
        <f>Data!$D1690/10^6</f>
        <v>63.875999999999998</v>
      </c>
    </row>
    <row r="1691" spans="1:12" x14ac:dyDescent="0.25">
      <c r="A1691" s="29" t="s">
        <v>23</v>
      </c>
      <c r="B1691" s="15" t="s">
        <v>1142</v>
      </c>
      <c r="C1691" s="15" t="s">
        <v>14</v>
      </c>
      <c r="D1691" s="16">
        <v>472272727</v>
      </c>
      <c r="E1691" s="17">
        <v>45505</v>
      </c>
      <c r="F1691" s="18">
        <f>MONTH(Data!$E1691)</f>
        <v>8</v>
      </c>
      <c r="G1691" s="16">
        <f>YEAR(Data!$E1691)</f>
        <v>2024</v>
      </c>
      <c r="H1691" s="15" t="s">
        <v>25</v>
      </c>
      <c r="I1691" s="15" t="str">
        <f t="shared" si="26"/>
        <v>Doanh nghiệp</v>
      </c>
      <c r="J1691" s="15" t="s">
        <v>1284</v>
      </c>
      <c r="K1691" s="15" t="s">
        <v>1274</v>
      </c>
      <c r="L1691" s="32">
        <f>Data!$D1691/10^6</f>
        <v>472.27272699999997</v>
      </c>
    </row>
    <row r="1692" spans="1:12" x14ac:dyDescent="0.25">
      <c r="A1692" s="29" t="s">
        <v>13</v>
      </c>
      <c r="B1692" s="15" t="s">
        <v>1128</v>
      </c>
      <c r="C1692" s="15" t="s">
        <v>46</v>
      </c>
      <c r="D1692" s="16">
        <v>66347091</v>
      </c>
      <c r="E1692" s="17">
        <v>45505</v>
      </c>
      <c r="F1692" s="18">
        <f>MONTH(Data!$E1692)</f>
        <v>8</v>
      </c>
      <c r="G1692" s="16">
        <f>YEAR(Data!$E1692)</f>
        <v>2024</v>
      </c>
      <c r="H1692" s="15" t="s">
        <v>15</v>
      </c>
      <c r="I1692" s="15" t="str">
        <f t="shared" si="26"/>
        <v>Doanh nghiệp</v>
      </c>
      <c r="J1692" s="15" t="s">
        <v>1285</v>
      </c>
      <c r="K1692" s="15" t="s">
        <v>1265</v>
      </c>
      <c r="L1692" s="32">
        <f>Data!$D1692/10^6</f>
        <v>66.347091000000006</v>
      </c>
    </row>
    <row r="1693" spans="1:12" x14ac:dyDescent="0.25">
      <c r="A1693" s="29" t="s">
        <v>13</v>
      </c>
      <c r="B1693" s="15" t="s">
        <v>1133</v>
      </c>
      <c r="C1693" s="15" t="s">
        <v>149</v>
      </c>
      <c r="D1693" s="16">
        <v>11045455</v>
      </c>
      <c r="E1693" s="17">
        <v>45505</v>
      </c>
      <c r="F1693" s="18">
        <f>MONTH(Data!$E1693)</f>
        <v>8</v>
      </c>
      <c r="G1693" s="16">
        <f>YEAR(Data!$E1693)</f>
        <v>2024</v>
      </c>
      <c r="H1693" s="15" t="s">
        <v>15</v>
      </c>
      <c r="I1693" s="15" t="str">
        <f t="shared" si="26"/>
        <v>Doanh nghiệp</v>
      </c>
      <c r="J1693" s="15" t="s">
        <v>1284</v>
      </c>
      <c r="K1693" s="15" t="s">
        <v>1264</v>
      </c>
      <c r="L1693" s="32">
        <f>Data!$D1693/10^6</f>
        <v>11.045455</v>
      </c>
    </row>
    <row r="1694" spans="1:12" x14ac:dyDescent="0.25">
      <c r="A1694" s="29" t="s">
        <v>92</v>
      </c>
      <c r="B1694" s="15" t="s">
        <v>1152</v>
      </c>
      <c r="C1694" s="15" t="s">
        <v>14</v>
      </c>
      <c r="D1694" s="16">
        <v>74656364</v>
      </c>
      <c r="E1694" s="17">
        <v>45505</v>
      </c>
      <c r="F1694" s="18">
        <f>MONTH(Data!$E1694)</f>
        <v>8</v>
      </c>
      <c r="G1694" s="16">
        <f>YEAR(Data!$E1694)</f>
        <v>2024</v>
      </c>
      <c r="H1694" s="15" t="s">
        <v>29</v>
      </c>
      <c r="I1694" s="15" t="str">
        <f t="shared" si="26"/>
        <v>Doanh nghiệp</v>
      </c>
      <c r="J1694" s="15" t="s">
        <v>1285</v>
      </c>
      <c r="K1694" s="15" t="s">
        <v>1275</v>
      </c>
      <c r="L1694" s="32">
        <f>Data!$D1694/10^6</f>
        <v>74.656363999999996</v>
      </c>
    </row>
    <row r="1695" spans="1:12" x14ac:dyDescent="0.25">
      <c r="A1695" s="29" t="s">
        <v>79</v>
      </c>
      <c r="B1695" s="15" t="s">
        <v>1136</v>
      </c>
      <c r="C1695" s="15" t="s">
        <v>14</v>
      </c>
      <c r="D1695" s="16">
        <v>23321818</v>
      </c>
      <c r="E1695" s="17">
        <v>45505</v>
      </c>
      <c r="F1695" s="18">
        <f>MONTH(Data!$E1695)</f>
        <v>8</v>
      </c>
      <c r="G1695" s="16">
        <f>YEAR(Data!$E1695)</f>
        <v>2024</v>
      </c>
      <c r="H1695" s="15" t="s">
        <v>15</v>
      </c>
      <c r="I1695" s="15" t="str">
        <f t="shared" si="26"/>
        <v>Doanh nghiệp</v>
      </c>
      <c r="J1695" s="15" t="s">
        <v>1284</v>
      </c>
      <c r="K1695" s="15" t="s">
        <v>1264</v>
      </c>
      <c r="L1695" s="32">
        <f>Data!$D1695/10^6</f>
        <v>23.321818</v>
      </c>
    </row>
    <row r="1696" spans="1:12" x14ac:dyDescent="0.25">
      <c r="A1696" s="29" t="s">
        <v>79</v>
      </c>
      <c r="B1696" s="15" t="s">
        <v>1137</v>
      </c>
      <c r="C1696" s="15" t="s">
        <v>14</v>
      </c>
      <c r="D1696" s="16">
        <v>137036364</v>
      </c>
      <c r="E1696" s="17">
        <v>45505</v>
      </c>
      <c r="F1696" s="18">
        <f>MONTH(Data!$E1696)</f>
        <v>8</v>
      </c>
      <c r="G1696" s="16">
        <f>YEAR(Data!$E1696)</f>
        <v>2024</v>
      </c>
      <c r="H1696" s="15" t="s">
        <v>15</v>
      </c>
      <c r="I1696" s="15" t="str">
        <f t="shared" si="26"/>
        <v>Doanh nghiệp</v>
      </c>
      <c r="J1696" s="15" t="s">
        <v>1285</v>
      </c>
      <c r="K1696" s="15" t="s">
        <v>1264</v>
      </c>
      <c r="L1696" s="32">
        <f>Data!$D1696/10^6</f>
        <v>137.03636399999999</v>
      </c>
    </row>
    <row r="1697" spans="1:12" x14ac:dyDescent="0.25">
      <c r="A1697" s="29" t="s">
        <v>47</v>
      </c>
      <c r="B1697" s="15" t="s">
        <v>1138</v>
      </c>
      <c r="C1697" s="15" t="s">
        <v>10</v>
      </c>
      <c r="D1697" s="16">
        <v>11375455</v>
      </c>
      <c r="E1697" s="17">
        <v>45505</v>
      </c>
      <c r="F1697" s="18">
        <f>MONTH(Data!$E1697)</f>
        <v>8</v>
      </c>
      <c r="G1697" s="16">
        <f>YEAR(Data!$E1697)</f>
        <v>2024</v>
      </c>
      <c r="H1697" s="15" t="s">
        <v>29</v>
      </c>
      <c r="I1697" s="15" t="str">
        <f t="shared" si="26"/>
        <v>Doanh nghiệp</v>
      </c>
      <c r="J1697" s="15" t="s">
        <v>1284</v>
      </c>
      <c r="K1697" s="15" t="s">
        <v>1263</v>
      </c>
      <c r="L1697" s="32">
        <f>Data!$D1697/10^6</f>
        <v>11.375455000000001</v>
      </c>
    </row>
    <row r="1698" spans="1:12" x14ac:dyDescent="0.25">
      <c r="A1698" s="29" t="s">
        <v>78</v>
      </c>
      <c r="B1698" s="15" t="s">
        <v>1152</v>
      </c>
      <c r="C1698" s="15" t="s">
        <v>149</v>
      </c>
      <c r="D1698" s="16">
        <v>29554691</v>
      </c>
      <c r="E1698" s="17">
        <v>45505</v>
      </c>
      <c r="F1698" s="18">
        <f>MONTH(Data!$E1698)</f>
        <v>8</v>
      </c>
      <c r="G1698" s="16">
        <f>YEAR(Data!$E1698)</f>
        <v>2024</v>
      </c>
      <c r="H1698" s="15" t="s">
        <v>15</v>
      </c>
      <c r="I1698" s="15" t="str">
        <f t="shared" si="26"/>
        <v>Doanh nghiệp</v>
      </c>
      <c r="J1698" s="15" t="s">
        <v>1285</v>
      </c>
      <c r="K1698" s="15" t="s">
        <v>1263</v>
      </c>
      <c r="L1698" s="32">
        <f>Data!$D1698/10^6</f>
        <v>29.554690999999998</v>
      </c>
    </row>
    <row r="1699" spans="1:12" x14ac:dyDescent="0.25">
      <c r="A1699" s="29" t="s">
        <v>78</v>
      </c>
      <c r="B1699" s="15" t="s">
        <v>1153</v>
      </c>
      <c r="C1699" s="15" t="s">
        <v>10</v>
      </c>
      <c r="D1699" s="16">
        <v>73623080</v>
      </c>
      <c r="E1699" s="17">
        <v>45505</v>
      </c>
      <c r="F1699" s="18">
        <f>MONTH(Data!$E1699)</f>
        <v>8</v>
      </c>
      <c r="G1699" s="16">
        <f>YEAR(Data!$E1699)</f>
        <v>2024</v>
      </c>
      <c r="H1699" s="15" t="s">
        <v>15</v>
      </c>
      <c r="I1699" s="15" t="str">
        <f t="shared" si="26"/>
        <v>Doanh nghiệp</v>
      </c>
      <c r="J1699" s="15" t="s">
        <v>1284</v>
      </c>
      <c r="K1699" s="15" t="s">
        <v>1262</v>
      </c>
      <c r="L1699" s="32">
        <f>Data!$D1699/10^6</f>
        <v>73.623080000000002</v>
      </c>
    </row>
    <row r="1700" spans="1:12" x14ac:dyDescent="0.25">
      <c r="A1700" s="29" t="s">
        <v>78</v>
      </c>
      <c r="B1700" s="15" t="s">
        <v>1154</v>
      </c>
      <c r="C1700" s="15" t="s">
        <v>149</v>
      </c>
      <c r="D1700" s="16">
        <v>203340909</v>
      </c>
      <c r="E1700" s="17">
        <v>45505</v>
      </c>
      <c r="F1700" s="18">
        <f>MONTH(Data!$E1700)</f>
        <v>8</v>
      </c>
      <c r="G1700" s="16">
        <f>YEAR(Data!$E1700)</f>
        <v>2024</v>
      </c>
      <c r="H1700" s="15" t="s">
        <v>15</v>
      </c>
      <c r="I1700" s="15" t="str">
        <f t="shared" si="26"/>
        <v>Doanh nghiệp</v>
      </c>
      <c r="J1700" s="15" t="s">
        <v>1285</v>
      </c>
      <c r="K1700" s="15" t="s">
        <v>1262</v>
      </c>
      <c r="L1700" s="32">
        <f>Data!$D1700/10^6</f>
        <v>203.34090900000001</v>
      </c>
    </row>
    <row r="1701" spans="1:12" x14ac:dyDescent="0.25">
      <c r="A1701" s="29" t="s">
        <v>72</v>
      </c>
      <c r="B1701" s="15" t="s">
        <v>1138</v>
      </c>
      <c r="C1701" s="15" t="s">
        <v>10</v>
      </c>
      <c r="D1701" s="16">
        <v>905402409</v>
      </c>
      <c r="E1701" s="17">
        <v>45505</v>
      </c>
      <c r="F1701" s="18">
        <f>MONTH(Data!$E1701)</f>
        <v>8</v>
      </c>
      <c r="G1701" s="16">
        <f>YEAR(Data!$E1701)</f>
        <v>2024</v>
      </c>
      <c r="H1701" s="15" t="s">
        <v>22</v>
      </c>
      <c r="I1701" s="15" t="str">
        <f t="shared" si="26"/>
        <v>Doanh nghiệp</v>
      </c>
      <c r="J1701" s="15" t="s">
        <v>1284</v>
      </c>
      <c r="K1701" s="15" t="s">
        <v>1263</v>
      </c>
      <c r="L1701" s="32">
        <f>Data!$D1701/10^6</f>
        <v>905.40240900000003</v>
      </c>
    </row>
    <row r="1702" spans="1:12" x14ac:dyDescent="0.25">
      <c r="A1702" s="29" t="s">
        <v>68</v>
      </c>
      <c r="B1702" s="15" t="s">
        <v>1140</v>
      </c>
      <c r="C1702" s="15" t="s">
        <v>149</v>
      </c>
      <c r="D1702" s="16">
        <v>18577273</v>
      </c>
      <c r="E1702" s="17">
        <v>45505</v>
      </c>
      <c r="F1702" s="18">
        <f>MONTH(Data!$E1702)</f>
        <v>8</v>
      </c>
      <c r="G1702" s="16">
        <f>YEAR(Data!$E1702)</f>
        <v>2024</v>
      </c>
      <c r="H1702" s="15" t="s">
        <v>22</v>
      </c>
      <c r="I1702" s="15" t="str">
        <f t="shared" si="26"/>
        <v>Doanh nghiệp</v>
      </c>
      <c r="J1702" s="15" t="s">
        <v>1285</v>
      </c>
      <c r="K1702" s="15" t="s">
        <v>1262</v>
      </c>
      <c r="L1702" s="32">
        <f>Data!$D1702/10^6</f>
        <v>18.577273000000002</v>
      </c>
    </row>
    <row r="1703" spans="1:12" x14ac:dyDescent="0.25">
      <c r="A1703" s="29" t="s">
        <v>48</v>
      </c>
      <c r="B1703" s="15" t="s">
        <v>1156</v>
      </c>
      <c r="C1703" s="15" t="s">
        <v>14</v>
      </c>
      <c r="D1703" s="16">
        <v>21300000</v>
      </c>
      <c r="E1703" s="17">
        <v>45505</v>
      </c>
      <c r="F1703" s="18">
        <f>MONTH(Data!$E1703)</f>
        <v>8</v>
      </c>
      <c r="G1703" s="16">
        <f>YEAR(Data!$E1703)</f>
        <v>2024</v>
      </c>
      <c r="H1703" s="15" t="s">
        <v>25</v>
      </c>
      <c r="I1703" s="15" t="str">
        <f t="shared" si="26"/>
        <v>Doanh nghiệp</v>
      </c>
      <c r="J1703" s="15" t="s">
        <v>1284</v>
      </c>
      <c r="K1703" s="15" t="s">
        <v>1264</v>
      </c>
      <c r="L1703" s="32">
        <f>Data!$D1703/10^6</f>
        <v>21.3</v>
      </c>
    </row>
    <row r="1704" spans="1:12" x14ac:dyDescent="0.25">
      <c r="A1704" s="29" t="s">
        <v>27</v>
      </c>
      <c r="B1704" s="15" t="s">
        <v>1183</v>
      </c>
      <c r="C1704" s="15" t="s">
        <v>10</v>
      </c>
      <c r="D1704" s="16">
        <v>281690503</v>
      </c>
      <c r="E1704" s="17">
        <v>45505</v>
      </c>
      <c r="F1704" s="18">
        <f>MONTH(Data!$E1704)</f>
        <v>8</v>
      </c>
      <c r="G1704" s="16">
        <f>YEAR(Data!$E1704)</f>
        <v>2024</v>
      </c>
      <c r="H1704" s="15" t="s">
        <v>11</v>
      </c>
      <c r="I1704" s="15" t="str">
        <f t="shared" si="26"/>
        <v>Doanh nghiệp</v>
      </c>
      <c r="J1704" s="15" t="s">
        <v>1285</v>
      </c>
      <c r="K1704" s="15" t="s">
        <v>1263</v>
      </c>
      <c r="L1704" s="32">
        <f>Data!$D1704/10^6</f>
        <v>281.69050299999998</v>
      </c>
    </row>
    <row r="1705" spans="1:12" x14ac:dyDescent="0.25">
      <c r="A1705" s="29" t="s">
        <v>27</v>
      </c>
      <c r="B1705" s="15" t="s">
        <v>1185</v>
      </c>
      <c r="C1705" s="15" t="s">
        <v>41</v>
      </c>
      <c r="D1705" s="16">
        <v>295480000</v>
      </c>
      <c r="E1705" s="17">
        <v>45505</v>
      </c>
      <c r="F1705" s="18">
        <f>MONTH(Data!$E1705)</f>
        <v>8</v>
      </c>
      <c r="G1705" s="16">
        <f>YEAR(Data!$E1705)</f>
        <v>2024</v>
      </c>
      <c r="H1705" s="15" t="s">
        <v>11</v>
      </c>
      <c r="I1705" s="15" t="str">
        <f t="shared" si="26"/>
        <v>Doanh nghiệp</v>
      </c>
      <c r="J1705" s="15" t="s">
        <v>1284</v>
      </c>
      <c r="K1705" s="15" t="s">
        <v>1280</v>
      </c>
      <c r="L1705" s="32">
        <f>Data!$D1705/10^6</f>
        <v>295.48</v>
      </c>
    </row>
    <row r="1706" spans="1:12" x14ac:dyDescent="0.25">
      <c r="A1706" s="29" t="s">
        <v>28</v>
      </c>
      <c r="B1706" s="15" t="s">
        <v>1188</v>
      </c>
      <c r="C1706" s="15" t="s">
        <v>149</v>
      </c>
      <c r="D1706" s="16">
        <v>19178491</v>
      </c>
      <c r="E1706" s="17">
        <v>45505</v>
      </c>
      <c r="F1706" s="18">
        <f>MONTH(Data!$E1706)</f>
        <v>8</v>
      </c>
      <c r="G1706" s="16">
        <f>YEAR(Data!$E1706)</f>
        <v>2024</v>
      </c>
      <c r="H1706" s="15" t="s">
        <v>29</v>
      </c>
      <c r="I1706" s="15" t="str">
        <f t="shared" si="26"/>
        <v>Doanh nghiệp</v>
      </c>
      <c r="J1706" s="15" t="s">
        <v>1285</v>
      </c>
      <c r="K1706" s="15" t="s">
        <v>1266</v>
      </c>
      <c r="L1706" s="32">
        <f>Data!$D1706/10^6</f>
        <v>19.178491000000001</v>
      </c>
    </row>
    <row r="1707" spans="1:12" x14ac:dyDescent="0.25">
      <c r="A1707" s="29" t="s">
        <v>95</v>
      </c>
      <c r="B1707" s="15" t="s">
        <v>1203</v>
      </c>
      <c r="C1707" s="15" t="s">
        <v>10</v>
      </c>
      <c r="D1707" s="16">
        <v>60391455</v>
      </c>
      <c r="E1707" s="17">
        <v>45505</v>
      </c>
      <c r="F1707" s="18">
        <f>MONTH(Data!$E1707)</f>
        <v>8</v>
      </c>
      <c r="G1707" s="16">
        <f>YEAR(Data!$E1707)</f>
        <v>2024</v>
      </c>
      <c r="H1707" s="15" t="s">
        <v>35</v>
      </c>
      <c r="I1707" s="15" t="str">
        <f t="shared" si="26"/>
        <v>Doanh nghiệp</v>
      </c>
      <c r="J1707" s="15" t="s">
        <v>1284</v>
      </c>
      <c r="K1707" s="15" t="s">
        <v>1263</v>
      </c>
      <c r="L1707" s="32">
        <f>Data!$D1707/10^6</f>
        <v>60.391455000000001</v>
      </c>
    </row>
    <row r="1708" spans="1:12" x14ac:dyDescent="0.25">
      <c r="A1708" s="29" t="s">
        <v>30</v>
      </c>
      <c r="B1708" s="15" t="s">
        <v>1221</v>
      </c>
      <c r="C1708" s="15" t="s">
        <v>149</v>
      </c>
      <c r="D1708" s="16">
        <v>20146909</v>
      </c>
      <c r="E1708" s="17">
        <v>45505</v>
      </c>
      <c r="F1708" s="18">
        <f>MONTH(Data!$E1708)</f>
        <v>8</v>
      </c>
      <c r="G1708" s="16">
        <f>YEAR(Data!$E1708)</f>
        <v>2024</v>
      </c>
      <c r="H1708" s="15" t="s">
        <v>32</v>
      </c>
      <c r="I1708" s="15" t="str">
        <f t="shared" si="26"/>
        <v>Doanh nghiệp</v>
      </c>
      <c r="J1708" s="15" t="s">
        <v>1285</v>
      </c>
      <c r="K1708" s="15" t="s">
        <v>1275</v>
      </c>
      <c r="L1708" s="32">
        <f>Data!$D1708/10^6</f>
        <v>20.146909000000001</v>
      </c>
    </row>
    <row r="1709" spans="1:12" x14ac:dyDescent="0.25">
      <c r="A1709" s="29" t="s">
        <v>30</v>
      </c>
      <c r="B1709" s="15" t="s">
        <v>1222</v>
      </c>
      <c r="C1709" s="15" t="s">
        <v>14</v>
      </c>
      <c r="D1709" s="16">
        <v>38330000</v>
      </c>
      <c r="E1709" s="17">
        <v>45505</v>
      </c>
      <c r="F1709" s="18">
        <f>MONTH(Data!$E1709)</f>
        <v>8</v>
      </c>
      <c r="G1709" s="16">
        <f>YEAR(Data!$E1709)</f>
        <v>2024</v>
      </c>
      <c r="H1709" s="15" t="s">
        <v>32</v>
      </c>
      <c r="I1709" s="15" t="str">
        <f t="shared" si="26"/>
        <v>Doanh nghiệp</v>
      </c>
      <c r="J1709" s="15" t="s">
        <v>1284</v>
      </c>
      <c r="K1709" s="15" t="s">
        <v>1266</v>
      </c>
      <c r="L1709" s="32">
        <f>Data!$D1709/10^6</f>
        <v>38.33</v>
      </c>
    </row>
    <row r="1710" spans="1:12" x14ac:dyDescent="0.25">
      <c r="A1710" s="29" t="s">
        <v>30</v>
      </c>
      <c r="B1710" s="15" t="s">
        <v>1223</v>
      </c>
      <c r="C1710" s="15" t="s">
        <v>149</v>
      </c>
      <c r="D1710" s="16">
        <v>36312364</v>
      </c>
      <c r="E1710" s="17">
        <v>45505</v>
      </c>
      <c r="F1710" s="18">
        <f>MONTH(Data!$E1710)</f>
        <v>8</v>
      </c>
      <c r="G1710" s="16">
        <f>YEAR(Data!$E1710)</f>
        <v>2024</v>
      </c>
      <c r="H1710" s="15" t="s">
        <v>32</v>
      </c>
      <c r="I1710" s="15" t="str">
        <f t="shared" si="26"/>
        <v>Doanh nghiệp</v>
      </c>
      <c r="J1710" s="15" t="s">
        <v>1285</v>
      </c>
      <c r="K1710" s="15" t="s">
        <v>1262</v>
      </c>
      <c r="L1710" s="32">
        <f>Data!$D1710/10^6</f>
        <v>36.312364000000002</v>
      </c>
    </row>
    <row r="1711" spans="1:12" x14ac:dyDescent="0.25">
      <c r="A1711" s="29" t="s">
        <v>33</v>
      </c>
      <c r="B1711" s="15" t="s">
        <v>1236</v>
      </c>
      <c r="C1711" s="15" t="s">
        <v>14</v>
      </c>
      <c r="D1711" s="16">
        <v>114500000</v>
      </c>
      <c r="E1711" s="17">
        <v>45505</v>
      </c>
      <c r="F1711" s="18">
        <f>MONTH(Data!$E1711)</f>
        <v>8</v>
      </c>
      <c r="G1711" s="16">
        <f>YEAR(Data!$E1711)</f>
        <v>2024</v>
      </c>
      <c r="H1711" s="15" t="s">
        <v>35</v>
      </c>
      <c r="I1711" s="15" t="str">
        <f t="shared" si="26"/>
        <v>Doanh nghiệp</v>
      </c>
      <c r="J1711" s="15" t="s">
        <v>1284</v>
      </c>
      <c r="K1711" s="15" t="s">
        <v>1273</v>
      </c>
      <c r="L1711" s="32">
        <f>Data!$D1711/10^6</f>
        <v>114.5</v>
      </c>
    </row>
    <row r="1712" spans="1:12" x14ac:dyDescent="0.25">
      <c r="A1712" s="29" t="s">
        <v>92</v>
      </c>
      <c r="B1712" s="15" t="s">
        <v>1235</v>
      </c>
      <c r="C1712" s="15" t="s">
        <v>10</v>
      </c>
      <c r="D1712" s="16">
        <v>295203000</v>
      </c>
      <c r="E1712" s="17">
        <v>45505</v>
      </c>
      <c r="F1712" s="18">
        <f>MONTH(Data!$E1712)</f>
        <v>8</v>
      </c>
      <c r="G1712" s="16">
        <f>YEAR(Data!$E1712)</f>
        <v>2024</v>
      </c>
      <c r="H1712" s="15" t="s">
        <v>29</v>
      </c>
      <c r="I1712" s="15" t="str">
        <f t="shared" si="26"/>
        <v>Doanh nghiệp</v>
      </c>
      <c r="J1712" s="15" t="s">
        <v>1285</v>
      </c>
      <c r="K1712" s="15" t="s">
        <v>1267</v>
      </c>
      <c r="L1712" s="32">
        <f>Data!$D1712/10^6</f>
        <v>295.20299999999997</v>
      </c>
    </row>
    <row r="1713" spans="1:12" x14ac:dyDescent="0.25">
      <c r="A1713" s="29" t="s">
        <v>92</v>
      </c>
      <c r="B1713" s="15" t="s">
        <v>1236</v>
      </c>
      <c r="C1713" s="15" t="s">
        <v>10</v>
      </c>
      <c r="D1713" s="16">
        <v>295203000</v>
      </c>
      <c r="E1713" s="17">
        <v>45505</v>
      </c>
      <c r="F1713" s="18">
        <f>MONTH(Data!$E1713)</f>
        <v>8</v>
      </c>
      <c r="G1713" s="16">
        <f>YEAR(Data!$E1713)</f>
        <v>2024</v>
      </c>
      <c r="H1713" s="15" t="s">
        <v>29</v>
      </c>
      <c r="I1713" s="15" t="str">
        <f t="shared" si="26"/>
        <v>Doanh nghiệp</v>
      </c>
      <c r="J1713" s="15" t="s">
        <v>1284</v>
      </c>
      <c r="K1713" s="15" t="s">
        <v>1267</v>
      </c>
      <c r="L1713" s="32">
        <f>Data!$D1713/10^6</f>
        <v>295.20299999999997</v>
      </c>
    </row>
    <row r="1714" spans="1:12" x14ac:dyDescent="0.25">
      <c r="A1714" s="29" t="s">
        <v>85</v>
      </c>
      <c r="B1714" s="15" t="s">
        <v>1242</v>
      </c>
      <c r="C1714" s="15" t="s">
        <v>149</v>
      </c>
      <c r="D1714" s="16">
        <v>56844545</v>
      </c>
      <c r="E1714" s="17">
        <v>45505</v>
      </c>
      <c r="F1714" s="18">
        <f>MONTH(Data!$E1714)</f>
        <v>8</v>
      </c>
      <c r="G1714" s="16">
        <f>YEAR(Data!$E1714)</f>
        <v>2024</v>
      </c>
      <c r="H1714" s="15" t="s">
        <v>15</v>
      </c>
      <c r="I1714" s="15" t="str">
        <f t="shared" si="26"/>
        <v>Doanh nghiệp</v>
      </c>
      <c r="J1714" s="15" t="s">
        <v>1285</v>
      </c>
      <c r="K1714" s="15" t="s">
        <v>1267</v>
      </c>
      <c r="L1714" s="32">
        <f>Data!$D1714/10^6</f>
        <v>56.844544999999997</v>
      </c>
    </row>
    <row r="1715" spans="1:12" x14ac:dyDescent="0.25">
      <c r="A1715" s="29" t="s">
        <v>89</v>
      </c>
      <c r="B1715" s="15" t="s">
        <v>1249</v>
      </c>
      <c r="C1715" s="15" t="s">
        <v>46</v>
      </c>
      <c r="D1715" s="16">
        <v>63636364</v>
      </c>
      <c r="E1715" s="17">
        <v>45505</v>
      </c>
      <c r="F1715" s="18">
        <f>MONTH(Data!$E1715)</f>
        <v>8</v>
      </c>
      <c r="G1715" s="16">
        <f>YEAR(Data!$E1715)</f>
        <v>2024</v>
      </c>
      <c r="H1715" s="15" t="s">
        <v>11</v>
      </c>
      <c r="I1715" s="15" t="str">
        <f t="shared" si="26"/>
        <v>Doanh nghiệp</v>
      </c>
      <c r="J1715" s="15" t="s">
        <v>1284</v>
      </c>
      <c r="K1715" s="15" t="s">
        <v>1271</v>
      </c>
      <c r="L1715" s="32">
        <f>Data!$D1715/10^6</f>
        <v>63.636364</v>
      </c>
    </row>
    <row r="1716" spans="1:12" x14ac:dyDescent="0.25">
      <c r="A1716" s="29" t="s">
        <v>160</v>
      </c>
      <c r="B1716" s="15" t="s">
        <v>1247</v>
      </c>
      <c r="C1716" s="15" t="s">
        <v>14</v>
      </c>
      <c r="D1716" s="16">
        <v>62219393</v>
      </c>
      <c r="E1716" s="17">
        <v>45505</v>
      </c>
      <c r="F1716" s="18">
        <f>MONTH(Data!$E1716)</f>
        <v>8</v>
      </c>
      <c r="G1716" s="16">
        <f>YEAR(Data!$E1716)</f>
        <v>2024</v>
      </c>
      <c r="H1716" s="15" t="s">
        <v>35</v>
      </c>
      <c r="I1716" s="15" t="str">
        <f t="shared" si="26"/>
        <v>Doanh nghiệp</v>
      </c>
      <c r="J1716" s="15" t="s">
        <v>1285</v>
      </c>
      <c r="K1716" s="15" t="s">
        <v>1272</v>
      </c>
      <c r="L1716" s="32">
        <f>Data!$D1716/10^6</f>
        <v>62.219392999999997</v>
      </c>
    </row>
    <row r="1717" spans="1:12" x14ac:dyDescent="0.25">
      <c r="A1717" s="29" t="s">
        <v>89</v>
      </c>
      <c r="B1717" s="15" t="s">
        <v>1246</v>
      </c>
      <c r="C1717" s="15" t="s">
        <v>14</v>
      </c>
      <c r="D1717" s="16">
        <v>1220001674</v>
      </c>
      <c r="E1717" s="17">
        <v>45505</v>
      </c>
      <c r="F1717" s="18">
        <f>MONTH(Data!$E1717)</f>
        <v>8</v>
      </c>
      <c r="G1717" s="16">
        <f>YEAR(Data!$E1717)</f>
        <v>2024</v>
      </c>
      <c r="H1717" s="15" t="s">
        <v>11</v>
      </c>
      <c r="I1717" s="15" t="str">
        <f t="shared" si="26"/>
        <v>Doanh nghiệp</v>
      </c>
      <c r="J1717" s="15" t="s">
        <v>1284</v>
      </c>
      <c r="K1717" s="15" t="s">
        <v>1273</v>
      </c>
      <c r="L1717" s="32">
        <f>Data!$D1717/10^6</f>
        <v>1220.0016740000001</v>
      </c>
    </row>
    <row r="1718" spans="1:12" x14ac:dyDescent="0.25">
      <c r="A1718" s="29" t="s">
        <v>23</v>
      </c>
      <c r="B1718" s="15" t="s">
        <v>1248</v>
      </c>
      <c r="C1718" s="15" t="s">
        <v>10</v>
      </c>
      <c r="D1718" s="16">
        <v>82644628</v>
      </c>
      <c r="E1718" s="17">
        <v>45505</v>
      </c>
      <c r="F1718" s="18">
        <f>MONTH(Data!$E1718)</f>
        <v>8</v>
      </c>
      <c r="G1718" s="16">
        <f>YEAR(Data!$E1718)</f>
        <v>2024</v>
      </c>
      <c r="H1718" s="15" t="s">
        <v>25</v>
      </c>
      <c r="I1718" s="15" t="str">
        <f t="shared" si="26"/>
        <v>Doanh nghiệp</v>
      </c>
      <c r="J1718" s="15" t="s">
        <v>1285</v>
      </c>
      <c r="K1718" s="15" t="s">
        <v>1276</v>
      </c>
      <c r="L1718" s="32">
        <f>Data!$D1718/10^6</f>
        <v>82.644627999999997</v>
      </c>
    </row>
    <row r="1719" spans="1:12" x14ac:dyDescent="0.25">
      <c r="A1719" s="29" t="s">
        <v>85</v>
      </c>
      <c r="B1719" s="15" t="s">
        <v>86</v>
      </c>
      <c r="C1719" s="15" t="s">
        <v>10</v>
      </c>
      <c r="D1719" s="16">
        <v>85000000</v>
      </c>
      <c r="E1719" s="17">
        <v>45505</v>
      </c>
      <c r="F1719" s="18">
        <f>MONTH(Data!$E1719)</f>
        <v>8</v>
      </c>
      <c r="G1719" s="16">
        <f>YEAR(Data!$E1719)</f>
        <v>2024</v>
      </c>
      <c r="H1719" s="15" t="s">
        <v>15</v>
      </c>
      <c r="I1719" s="15" t="str">
        <f t="shared" si="26"/>
        <v>Sở ban ngành</v>
      </c>
      <c r="J1719" s="15" t="s">
        <v>1284</v>
      </c>
      <c r="K1719" s="15" t="s">
        <v>1267</v>
      </c>
      <c r="L1719" s="32">
        <f>Data!$D1719/10^6</f>
        <v>85</v>
      </c>
    </row>
    <row r="1720" spans="1:12" x14ac:dyDescent="0.25">
      <c r="A1720" s="29" t="s">
        <v>85</v>
      </c>
      <c r="B1720" s="15" t="s">
        <v>86</v>
      </c>
      <c r="C1720" s="15" t="s">
        <v>10</v>
      </c>
      <c r="D1720" s="16">
        <v>43363000</v>
      </c>
      <c r="E1720" s="17">
        <v>45505</v>
      </c>
      <c r="F1720" s="18">
        <f>MONTH(Data!$E1720)</f>
        <v>8</v>
      </c>
      <c r="G1720" s="16">
        <f>YEAR(Data!$E1720)</f>
        <v>2024</v>
      </c>
      <c r="H1720" s="15" t="s">
        <v>15</v>
      </c>
      <c r="I1720" s="15" t="str">
        <f t="shared" si="26"/>
        <v>Sở ban ngành</v>
      </c>
      <c r="J1720" s="15" t="s">
        <v>1285</v>
      </c>
      <c r="K1720" s="15" t="s">
        <v>1263</v>
      </c>
      <c r="L1720" s="32">
        <f>Data!$D1720/10^6</f>
        <v>43.363</v>
      </c>
    </row>
    <row r="1721" spans="1:12" x14ac:dyDescent="0.25">
      <c r="A1721" s="29" t="s">
        <v>23</v>
      </c>
      <c r="B1721" s="15" t="s">
        <v>464</v>
      </c>
      <c r="C1721" s="15" t="s">
        <v>41</v>
      </c>
      <c r="D1721" s="16">
        <v>745728545</v>
      </c>
      <c r="E1721" s="17">
        <v>45505</v>
      </c>
      <c r="F1721" s="18">
        <f>MONTH(Data!$E1721)</f>
        <v>8</v>
      </c>
      <c r="G1721" s="16">
        <f>YEAR(Data!$E1721)</f>
        <v>2024</v>
      </c>
      <c r="H1721" s="15" t="s">
        <v>25</v>
      </c>
      <c r="I1721" s="15" t="str">
        <f t="shared" si="26"/>
        <v>Sở ban ngành</v>
      </c>
      <c r="J1721" s="15" t="s">
        <v>1284</v>
      </c>
      <c r="K1721" s="15" t="s">
        <v>1269</v>
      </c>
      <c r="L1721" s="32">
        <f>Data!$D1721/10^6</f>
        <v>745.72854500000005</v>
      </c>
    </row>
    <row r="1722" spans="1:12" x14ac:dyDescent="0.25">
      <c r="A1722" s="29" t="s">
        <v>36</v>
      </c>
      <c r="B1722" s="15" t="s">
        <v>471</v>
      </c>
      <c r="C1722" s="15" t="s">
        <v>10</v>
      </c>
      <c r="D1722" s="16">
        <v>163363636</v>
      </c>
      <c r="E1722" s="17">
        <v>45505</v>
      </c>
      <c r="F1722" s="18">
        <f>MONTH(Data!$E1722)</f>
        <v>8</v>
      </c>
      <c r="G1722" s="16">
        <f>YEAR(Data!$E1722)</f>
        <v>2024</v>
      </c>
      <c r="H1722" s="15" t="s">
        <v>15</v>
      </c>
      <c r="I1722" s="15" t="str">
        <f t="shared" si="26"/>
        <v>Sở ban ngành</v>
      </c>
      <c r="J1722" s="15" t="s">
        <v>1285</v>
      </c>
      <c r="K1722" s="15" t="s">
        <v>1262</v>
      </c>
      <c r="L1722" s="32">
        <f>Data!$D1722/10^6</f>
        <v>163.36363600000001</v>
      </c>
    </row>
    <row r="1723" spans="1:12" x14ac:dyDescent="0.25">
      <c r="A1723" s="29" t="s">
        <v>87</v>
      </c>
      <c r="B1723" s="15" t="s">
        <v>1095</v>
      </c>
      <c r="C1723" s="15" t="s">
        <v>46</v>
      </c>
      <c r="D1723" s="16">
        <v>211909091</v>
      </c>
      <c r="E1723" s="17">
        <v>45505</v>
      </c>
      <c r="F1723" s="18">
        <f>MONTH(Data!$E1723)</f>
        <v>8</v>
      </c>
      <c r="G1723" s="16">
        <f>YEAR(Data!$E1723)</f>
        <v>2024</v>
      </c>
      <c r="H1723" s="15" t="s">
        <v>29</v>
      </c>
      <c r="I1723" s="15" t="str">
        <f t="shared" si="26"/>
        <v>Doanh nghiệp</v>
      </c>
      <c r="J1723" s="15" t="s">
        <v>1284</v>
      </c>
      <c r="K1723" s="15" t="s">
        <v>1271</v>
      </c>
      <c r="L1723" s="32">
        <f>Data!$D1723/10^6</f>
        <v>211.90909099999999</v>
      </c>
    </row>
    <row r="1724" spans="1:12" x14ac:dyDescent="0.25">
      <c r="A1724" s="29" t="s">
        <v>87</v>
      </c>
      <c r="B1724" s="15" t="s">
        <v>1096</v>
      </c>
      <c r="C1724" s="15" t="s">
        <v>46</v>
      </c>
      <c r="D1724" s="16">
        <v>211909091</v>
      </c>
      <c r="E1724" s="17">
        <v>45505</v>
      </c>
      <c r="F1724" s="18">
        <f>MONTH(Data!$E1724)</f>
        <v>8</v>
      </c>
      <c r="G1724" s="16">
        <f>YEAR(Data!$E1724)</f>
        <v>2024</v>
      </c>
      <c r="H1724" s="15" t="s">
        <v>29</v>
      </c>
      <c r="I1724" s="15" t="str">
        <f t="shared" si="26"/>
        <v>Doanh nghiệp</v>
      </c>
      <c r="J1724" s="15" t="s">
        <v>1285</v>
      </c>
      <c r="K1724" s="15" t="s">
        <v>1271</v>
      </c>
      <c r="L1724" s="32">
        <f>Data!$D1724/10^6</f>
        <v>211.90909099999999</v>
      </c>
    </row>
    <row r="1725" spans="1:12" x14ac:dyDescent="0.25">
      <c r="A1725" s="29" t="s">
        <v>87</v>
      </c>
      <c r="B1725" s="15" t="s">
        <v>1097</v>
      </c>
      <c r="C1725" s="15" t="s">
        <v>46</v>
      </c>
      <c r="D1725" s="16">
        <v>1945455</v>
      </c>
      <c r="E1725" s="17">
        <v>45505</v>
      </c>
      <c r="F1725" s="18">
        <f>MONTH(Data!$E1725)</f>
        <v>8</v>
      </c>
      <c r="G1725" s="16">
        <f>YEAR(Data!$E1725)</f>
        <v>2024</v>
      </c>
      <c r="H1725" s="15" t="s">
        <v>29</v>
      </c>
      <c r="I1725" s="15" t="str">
        <f t="shared" si="26"/>
        <v>Doanh nghiệp</v>
      </c>
      <c r="J1725" s="15" t="s">
        <v>1284</v>
      </c>
      <c r="K1725" s="15" t="s">
        <v>1271</v>
      </c>
      <c r="L1725" s="32">
        <f>Data!$D1725/10^6</f>
        <v>1.9454549999999999</v>
      </c>
    </row>
    <row r="1726" spans="1:12" x14ac:dyDescent="0.25">
      <c r="A1726" s="29" t="s">
        <v>87</v>
      </c>
      <c r="B1726" s="15" t="s">
        <v>1098</v>
      </c>
      <c r="C1726" s="15" t="s">
        <v>46</v>
      </c>
      <c r="D1726" s="16">
        <v>31254545</v>
      </c>
      <c r="E1726" s="17">
        <v>45505</v>
      </c>
      <c r="F1726" s="18">
        <f>MONTH(Data!$E1726)</f>
        <v>8</v>
      </c>
      <c r="G1726" s="16">
        <f>YEAR(Data!$E1726)</f>
        <v>2024</v>
      </c>
      <c r="H1726" s="15" t="s">
        <v>29</v>
      </c>
      <c r="I1726" s="15" t="str">
        <f t="shared" si="26"/>
        <v>Doanh nghiệp</v>
      </c>
      <c r="J1726" s="15" t="s">
        <v>1285</v>
      </c>
      <c r="K1726" s="15" t="s">
        <v>1271</v>
      </c>
      <c r="L1726" s="32">
        <f>Data!$D1726/10^6</f>
        <v>31.254545</v>
      </c>
    </row>
    <row r="1727" spans="1:12" x14ac:dyDescent="0.25">
      <c r="A1727" s="29" t="s">
        <v>87</v>
      </c>
      <c r="B1727" s="15" t="s">
        <v>1101</v>
      </c>
      <c r="C1727" s="15" t="s">
        <v>46</v>
      </c>
      <c r="D1727" s="16">
        <v>211909091</v>
      </c>
      <c r="E1727" s="17">
        <v>45505</v>
      </c>
      <c r="F1727" s="18">
        <f>MONTH(Data!$E1727)</f>
        <v>8</v>
      </c>
      <c r="G1727" s="16">
        <f>YEAR(Data!$E1727)</f>
        <v>2024</v>
      </c>
      <c r="H1727" s="15" t="s">
        <v>29</v>
      </c>
      <c r="I1727" s="15" t="str">
        <f t="shared" si="26"/>
        <v>Doanh nghiệp</v>
      </c>
      <c r="J1727" s="15" t="s">
        <v>1284</v>
      </c>
      <c r="K1727" s="15" t="s">
        <v>1271</v>
      </c>
      <c r="L1727" s="32">
        <f>Data!$D1727/10^6</f>
        <v>211.90909099999999</v>
      </c>
    </row>
    <row r="1728" spans="1:12" x14ac:dyDescent="0.25">
      <c r="A1728" s="29" t="s">
        <v>17</v>
      </c>
      <c r="B1728" s="15" t="s">
        <v>360</v>
      </c>
      <c r="C1728" s="15" t="s">
        <v>10</v>
      </c>
      <c r="D1728" s="16">
        <v>44050000</v>
      </c>
      <c r="E1728" s="17">
        <v>45505</v>
      </c>
      <c r="F1728" s="18">
        <f>MONTH(Data!$E1728)</f>
        <v>8</v>
      </c>
      <c r="G1728" s="16">
        <f>YEAR(Data!$E1728)</f>
        <v>2024</v>
      </c>
      <c r="H1728" s="15" t="s">
        <v>11</v>
      </c>
      <c r="I1728" s="15" t="str">
        <f t="shared" si="26"/>
        <v>Sở ban ngành</v>
      </c>
      <c r="J1728" s="15" t="s">
        <v>1285</v>
      </c>
      <c r="K1728" s="15" t="s">
        <v>1263</v>
      </c>
      <c r="L1728" s="32">
        <f>Data!$D1728/10^6</f>
        <v>44.05</v>
      </c>
    </row>
    <row r="1729" spans="1:12" x14ac:dyDescent="0.25">
      <c r="A1729" s="29" t="s">
        <v>119</v>
      </c>
      <c r="B1729" s="15" t="s">
        <v>491</v>
      </c>
      <c r="C1729" s="15" t="s">
        <v>14</v>
      </c>
      <c r="D1729" s="16">
        <v>51636364</v>
      </c>
      <c r="E1729" s="17">
        <v>45505</v>
      </c>
      <c r="F1729" s="18">
        <f>MONTH(Data!$E1729)</f>
        <v>8</v>
      </c>
      <c r="G1729" s="16">
        <f>YEAR(Data!$E1729)</f>
        <v>2024</v>
      </c>
      <c r="H1729" s="15" t="s">
        <v>35</v>
      </c>
      <c r="I1729" s="15" t="str">
        <f t="shared" si="26"/>
        <v>Sở ban ngành</v>
      </c>
      <c r="J1729" s="15" t="s">
        <v>1284</v>
      </c>
      <c r="K1729" s="15" t="s">
        <v>1277</v>
      </c>
      <c r="L1729" s="32">
        <f>Data!$D1729/10^6</f>
        <v>51.636364</v>
      </c>
    </row>
    <row r="1730" spans="1:12" x14ac:dyDescent="0.25">
      <c r="A1730" s="29" t="s">
        <v>45</v>
      </c>
      <c r="B1730" s="15" t="s">
        <v>481</v>
      </c>
      <c r="C1730" s="15" t="s">
        <v>149</v>
      </c>
      <c r="D1730" s="16">
        <v>8490909</v>
      </c>
      <c r="E1730" s="17">
        <v>45505</v>
      </c>
      <c r="F1730" s="18">
        <f>MONTH(Data!$E1730)</f>
        <v>8</v>
      </c>
      <c r="G1730" s="16">
        <f>YEAR(Data!$E1730)</f>
        <v>2024</v>
      </c>
      <c r="H1730" s="15" t="s">
        <v>29</v>
      </c>
      <c r="I1730" s="15" t="str">
        <f t="shared" si="26"/>
        <v>Sở ban ngành</v>
      </c>
      <c r="J1730" s="15" t="s">
        <v>1285</v>
      </c>
      <c r="K1730" s="15" t="s">
        <v>1263</v>
      </c>
      <c r="L1730" s="32">
        <f>Data!$D1730/10^6</f>
        <v>8.4909090000000003</v>
      </c>
    </row>
    <row r="1731" spans="1:12" x14ac:dyDescent="0.25">
      <c r="A1731" s="29" t="s">
        <v>89</v>
      </c>
      <c r="B1731" s="15" t="s">
        <v>489</v>
      </c>
      <c r="C1731" s="15" t="s">
        <v>46</v>
      </c>
      <c r="D1731" s="16">
        <v>36818182</v>
      </c>
      <c r="E1731" s="17">
        <v>45505</v>
      </c>
      <c r="F1731" s="18">
        <f>MONTH(Data!$E1731)</f>
        <v>8</v>
      </c>
      <c r="G1731" s="16">
        <f>YEAR(Data!$E1731)</f>
        <v>2024</v>
      </c>
      <c r="H1731" s="15" t="s">
        <v>11</v>
      </c>
      <c r="I1731" s="15" t="str">
        <f t="shared" ref="I1731:I1794" si="27">IF(ISNUMBER(SEARCH("Công ty",$B1731)),"Doanh nghiệp",IF(ISNUMBER(SEARCH("Doanh nghiệp",$B1731)),"Doanh nghiệp",IF(ISNUMBER(SEARCH("Tập đoàn",$B1731)),"Doanh nghiệp",
IF(ISNUMBER(SEARCH("Bệnh viện",$B1731)),"Bệnh viện",
IF(ISNUMBER(SEARCH("Ngân hàng",$B1731)),"Ngân hàng",IF(ISNUMBER(SEARCH("trường",$B1731)),"Trường học",IF(ISNUMBER(SEARCH("học viện",$B1731)),"Trường học",
IF(ISNUMBER(SEARCH("Bộ",$B1731)),"Sở ban ngành",IF(ISNUMBER(SEARCH("Đoàn",$B1731)),"Sở ban ngành",IF(ISNUMBER(SEARCH("Phòng",$B1731)),"Sở ban ngành",IF(ISNUMBER(SEARCH("UBND",$B1731)),"Sở ban ngành",IF(ISNUMBER(SEARCH("ủy ban",$B1731)),"Sở ban ngành",IF(ISNUMBER(SEARCH("công an",$B1731)),"Sở ban ngành",IF(ISNUMBER(SEARCH("sở",$B1731)),"Sở ban ngành",IF(ISNUMBER(SEARCH("thôn",$B1731)),"Sở ban ngành",IF(ISNUMBER(SEARCH("xã",$B1731)),"Sở ban ngành",IF(ISNUMBER(SEARCH("quân khu",$B1731)),"Sở ban ngành",IF(ISNUMBER(SEARCH("cục",$B1731)),"Sở ban ngành",IF(ISNUMBER(SEARCH("viện",$B1731)),"Sở ban ngành",IF(ISNUMBER(SEARCH("quỹ",$B1731)),"Sở ban ngành",IF(ISNUMBER(SEARCH("trung tâm",$B1731)),"Sở ban ngành",IF(ISNUMBER(SEARCH("quân chủng",$B1731)),"Sở ban ngành",IF(ISNUMBER(SEARCH("hội",$B1731)),"Sở ban ngành",
"Khác")))))))))))))))))))))))</f>
        <v>Sở ban ngành</v>
      </c>
      <c r="J1731" s="15" t="s">
        <v>1284</v>
      </c>
      <c r="K1731" s="15" t="s">
        <v>1271</v>
      </c>
      <c r="L1731" s="32">
        <f>Data!$D1731/10^6</f>
        <v>36.818182</v>
      </c>
    </row>
    <row r="1732" spans="1:12" x14ac:dyDescent="0.25">
      <c r="A1732" s="29" t="s">
        <v>45</v>
      </c>
      <c r="B1732" s="15" t="s">
        <v>1045</v>
      </c>
      <c r="C1732" s="15" t="s">
        <v>10</v>
      </c>
      <c r="D1732" s="16">
        <v>81596818</v>
      </c>
      <c r="E1732" s="17">
        <v>45505</v>
      </c>
      <c r="F1732" s="18">
        <f>MONTH(Data!$E1732)</f>
        <v>8</v>
      </c>
      <c r="G1732" s="16">
        <f>YEAR(Data!$E1732)</f>
        <v>2024</v>
      </c>
      <c r="H1732" s="15" t="s">
        <v>29</v>
      </c>
      <c r="I1732" s="15" t="str">
        <f t="shared" si="27"/>
        <v>Doanh nghiệp</v>
      </c>
      <c r="J1732" s="15" t="s">
        <v>1285</v>
      </c>
      <c r="K1732" s="15" t="s">
        <v>1262</v>
      </c>
      <c r="L1732" s="32">
        <f>Data!$D1732/10^6</f>
        <v>81.596817999999999</v>
      </c>
    </row>
    <row r="1733" spans="1:12" x14ac:dyDescent="0.25">
      <c r="A1733" s="29" t="s">
        <v>73</v>
      </c>
      <c r="B1733" s="15" t="s">
        <v>468</v>
      </c>
      <c r="C1733" s="15" t="s">
        <v>149</v>
      </c>
      <c r="D1733" s="16">
        <v>11818182</v>
      </c>
      <c r="E1733" s="17">
        <v>45505</v>
      </c>
      <c r="F1733" s="18">
        <f>MONTH(Data!$E1733)</f>
        <v>8</v>
      </c>
      <c r="G1733" s="16">
        <f>YEAR(Data!$E1733)</f>
        <v>2024</v>
      </c>
      <c r="H1733" s="15" t="s">
        <v>32</v>
      </c>
      <c r="I1733" s="15" t="str">
        <f t="shared" si="27"/>
        <v>Ngân hàng</v>
      </c>
      <c r="J1733" s="15" t="s">
        <v>1284</v>
      </c>
      <c r="K1733" s="15" t="s">
        <v>1268</v>
      </c>
      <c r="L1733" s="32">
        <f>Data!$D1733/10^6</f>
        <v>11.818182</v>
      </c>
    </row>
    <row r="1734" spans="1:12" x14ac:dyDescent="0.25">
      <c r="A1734" s="29" t="s">
        <v>36</v>
      </c>
      <c r="B1734" s="15" t="s">
        <v>461</v>
      </c>
      <c r="C1734" s="15" t="s">
        <v>10</v>
      </c>
      <c r="D1734" s="16">
        <v>9918182</v>
      </c>
      <c r="E1734" s="17">
        <v>45505</v>
      </c>
      <c r="F1734" s="18">
        <f>MONTH(Data!$E1734)</f>
        <v>8</v>
      </c>
      <c r="G1734" s="16">
        <f>YEAR(Data!$E1734)</f>
        <v>2024</v>
      </c>
      <c r="H1734" s="15" t="s">
        <v>15</v>
      </c>
      <c r="I1734" s="15" t="str">
        <f t="shared" si="27"/>
        <v>Ngân hàng</v>
      </c>
      <c r="J1734" s="15" t="s">
        <v>1285</v>
      </c>
      <c r="K1734" s="15" t="s">
        <v>1262</v>
      </c>
      <c r="L1734" s="32">
        <f>Data!$D1734/10^6</f>
        <v>9.9181819999999998</v>
      </c>
    </row>
    <row r="1735" spans="1:12" x14ac:dyDescent="0.25">
      <c r="A1735" s="29" t="s">
        <v>28</v>
      </c>
      <c r="B1735" s="15" t="s">
        <v>490</v>
      </c>
      <c r="C1735" s="15" t="s">
        <v>14</v>
      </c>
      <c r="D1735" s="16">
        <v>856836364</v>
      </c>
      <c r="E1735" s="17">
        <v>45505</v>
      </c>
      <c r="F1735" s="18">
        <f>MONTH(Data!$E1735)</f>
        <v>8</v>
      </c>
      <c r="G1735" s="16">
        <f>YEAR(Data!$E1735)</f>
        <v>2024</v>
      </c>
      <c r="H1735" s="15" t="s">
        <v>29</v>
      </c>
      <c r="I1735" s="15" t="str">
        <f t="shared" si="27"/>
        <v>Sở ban ngành</v>
      </c>
      <c r="J1735" s="15" t="s">
        <v>1284</v>
      </c>
      <c r="K1735" s="15" t="s">
        <v>1275</v>
      </c>
      <c r="L1735" s="32">
        <f>Data!$D1735/10^6</f>
        <v>856.836364</v>
      </c>
    </row>
    <row r="1736" spans="1:12" x14ac:dyDescent="0.25">
      <c r="A1736" s="29" t="s">
        <v>27</v>
      </c>
      <c r="B1736" s="15" t="s">
        <v>458</v>
      </c>
      <c r="C1736" s="15" t="s">
        <v>10</v>
      </c>
      <c r="D1736" s="16">
        <v>1928000</v>
      </c>
      <c r="E1736" s="17">
        <v>45505</v>
      </c>
      <c r="F1736" s="18">
        <f>MONTH(Data!$E1736)</f>
        <v>8</v>
      </c>
      <c r="G1736" s="16">
        <f>YEAR(Data!$E1736)</f>
        <v>2024</v>
      </c>
      <c r="H1736" s="15" t="s">
        <v>11</v>
      </c>
      <c r="I1736" s="15" t="str">
        <f t="shared" si="27"/>
        <v>Ngân hàng</v>
      </c>
      <c r="J1736" s="15" t="s">
        <v>1285</v>
      </c>
      <c r="K1736" s="15" t="s">
        <v>1263</v>
      </c>
      <c r="L1736" s="32">
        <f>Data!$D1736/10^6</f>
        <v>1.9279999999999999</v>
      </c>
    </row>
    <row r="1737" spans="1:12" x14ac:dyDescent="0.25">
      <c r="A1737" s="29" t="s">
        <v>65</v>
      </c>
      <c r="B1737" s="15" t="s">
        <v>392</v>
      </c>
      <c r="C1737" s="15" t="s">
        <v>10</v>
      </c>
      <c r="D1737" s="16">
        <v>45393636</v>
      </c>
      <c r="E1737" s="17">
        <v>45505</v>
      </c>
      <c r="F1737" s="18">
        <f>MONTH(Data!$E1737)</f>
        <v>8</v>
      </c>
      <c r="G1737" s="16">
        <f>YEAR(Data!$E1737)</f>
        <v>2024</v>
      </c>
      <c r="H1737" s="15" t="s">
        <v>25</v>
      </c>
      <c r="I1737" s="15" t="str">
        <f t="shared" si="27"/>
        <v>Sở ban ngành</v>
      </c>
      <c r="J1737" s="15" t="s">
        <v>1284</v>
      </c>
      <c r="K1737" s="15" t="s">
        <v>1263</v>
      </c>
      <c r="L1737" s="32">
        <f>Data!$D1737/10^6</f>
        <v>45.393636000000001</v>
      </c>
    </row>
    <row r="1738" spans="1:12" x14ac:dyDescent="0.25">
      <c r="A1738" s="29" t="s">
        <v>100</v>
      </c>
      <c r="B1738" s="15" t="s">
        <v>400</v>
      </c>
      <c r="C1738" s="15" t="s">
        <v>10</v>
      </c>
      <c r="D1738" s="16">
        <v>3465454545</v>
      </c>
      <c r="E1738" s="17">
        <v>45505</v>
      </c>
      <c r="F1738" s="18">
        <f>MONTH(Data!$E1738)</f>
        <v>8</v>
      </c>
      <c r="G1738" s="16">
        <f>YEAR(Data!$E1738)</f>
        <v>2024</v>
      </c>
      <c r="H1738" s="15" t="s">
        <v>42</v>
      </c>
      <c r="I1738" s="15" t="str">
        <f t="shared" si="27"/>
        <v>Sở ban ngành</v>
      </c>
      <c r="J1738" s="15" t="s">
        <v>1285</v>
      </c>
      <c r="K1738" s="15" t="s">
        <v>1267</v>
      </c>
      <c r="L1738" s="32">
        <f>Data!$D1738/10^6</f>
        <v>3465.4545450000001</v>
      </c>
    </row>
    <row r="1739" spans="1:12" x14ac:dyDescent="0.25">
      <c r="A1739" s="29" t="s">
        <v>17</v>
      </c>
      <c r="B1739" s="15" t="s">
        <v>477</v>
      </c>
      <c r="C1739" s="15" t="s">
        <v>14</v>
      </c>
      <c r="D1739" s="16">
        <v>45000000</v>
      </c>
      <c r="E1739" s="17">
        <v>45505</v>
      </c>
      <c r="F1739" s="18">
        <f>MONTH(Data!$E1739)</f>
        <v>8</v>
      </c>
      <c r="G1739" s="16">
        <f>YEAR(Data!$E1739)</f>
        <v>2024</v>
      </c>
      <c r="H1739" s="15" t="s">
        <v>11</v>
      </c>
      <c r="I1739" s="15" t="str">
        <f t="shared" si="27"/>
        <v>Sở ban ngành</v>
      </c>
      <c r="J1739" s="15" t="s">
        <v>1284</v>
      </c>
      <c r="K1739" s="15" t="s">
        <v>1264</v>
      </c>
      <c r="L1739" s="32">
        <f>Data!$D1739/10^6</f>
        <v>45</v>
      </c>
    </row>
    <row r="1740" spans="1:12" x14ac:dyDescent="0.25">
      <c r="A1740" s="29" t="s">
        <v>17</v>
      </c>
      <c r="B1740" s="15" t="s">
        <v>477</v>
      </c>
      <c r="C1740" s="15" t="s">
        <v>149</v>
      </c>
      <c r="D1740" s="16">
        <v>40036000</v>
      </c>
      <c r="E1740" s="17">
        <v>45505</v>
      </c>
      <c r="F1740" s="18">
        <f>MONTH(Data!$E1740)</f>
        <v>8</v>
      </c>
      <c r="G1740" s="16">
        <f>YEAR(Data!$E1740)</f>
        <v>2024</v>
      </c>
      <c r="H1740" s="15" t="s">
        <v>11</v>
      </c>
      <c r="I1740" s="15" t="str">
        <f t="shared" si="27"/>
        <v>Sở ban ngành</v>
      </c>
      <c r="J1740" s="15" t="s">
        <v>1285</v>
      </c>
      <c r="K1740" s="15" t="s">
        <v>1264</v>
      </c>
      <c r="L1740" s="32">
        <f>Data!$D1740/10^6</f>
        <v>40.036000000000001</v>
      </c>
    </row>
    <row r="1741" spans="1:12" x14ac:dyDescent="0.25">
      <c r="A1741" s="29" t="s">
        <v>8</v>
      </c>
      <c r="B1741" s="15" t="s">
        <v>496</v>
      </c>
      <c r="C1741" s="15" t="s">
        <v>41</v>
      </c>
      <c r="D1741" s="16">
        <v>31432727</v>
      </c>
      <c r="E1741" s="17">
        <v>45505</v>
      </c>
      <c r="F1741" s="18">
        <f>MONTH(Data!$E1741)</f>
        <v>8</v>
      </c>
      <c r="G1741" s="16">
        <f>YEAR(Data!$E1741)</f>
        <v>2024</v>
      </c>
      <c r="H1741" s="15" t="s">
        <v>11</v>
      </c>
      <c r="I1741" s="15" t="str">
        <f t="shared" si="27"/>
        <v>Sở ban ngành</v>
      </c>
      <c r="J1741" s="15" t="s">
        <v>1284</v>
      </c>
      <c r="K1741" s="15" t="s">
        <v>1280</v>
      </c>
      <c r="L1741" s="32">
        <f>Data!$D1741/10^6</f>
        <v>31.432727</v>
      </c>
    </row>
    <row r="1742" spans="1:12" x14ac:dyDescent="0.25">
      <c r="A1742" s="29" t="s">
        <v>85</v>
      </c>
      <c r="B1742" s="15" t="s">
        <v>460</v>
      </c>
      <c r="C1742" s="15" t="s">
        <v>14</v>
      </c>
      <c r="D1742" s="16">
        <v>190012045</v>
      </c>
      <c r="E1742" s="17">
        <v>45505</v>
      </c>
      <c r="F1742" s="18">
        <f>MONTH(Data!$E1742)</f>
        <v>8</v>
      </c>
      <c r="G1742" s="16">
        <f>YEAR(Data!$E1742)</f>
        <v>2024</v>
      </c>
      <c r="H1742" s="15" t="s">
        <v>15</v>
      </c>
      <c r="I1742" s="15" t="str">
        <f t="shared" si="27"/>
        <v>Sở ban ngành</v>
      </c>
      <c r="J1742" s="15" t="s">
        <v>1285</v>
      </c>
      <c r="K1742" s="15" t="s">
        <v>1264</v>
      </c>
      <c r="L1742" s="32">
        <f>Data!$D1742/10^6</f>
        <v>190.012045</v>
      </c>
    </row>
    <row r="1743" spans="1:12" x14ac:dyDescent="0.25">
      <c r="A1743" s="29" t="s">
        <v>78</v>
      </c>
      <c r="B1743" s="15" t="s">
        <v>498</v>
      </c>
      <c r="C1743" s="15" t="s">
        <v>149</v>
      </c>
      <c r="D1743" s="16">
        <v>54550000</v>
      </c>
      <c r="E1743" s="17">
        <v>45505</v>
      </c>
      <c r="F1743" s="18">
        <f>MONTH(Data!$E1743)</f>
        <v>8</v>
      </c>
      <c r="G1743" s="16">
        <f>YEAR(Data!$E1743)</f>
        <v>2024</v>
      </c>
      <c r="H1743" s="15" t="s">
        <v>15</v>
      </c>
      <c r="I1743" s="15" t="str">
        <f t="shared" si="27"/>
        <v>Sở ban ngành</v>
      </c>
      <c r="J1743" s="15" t="s">
        <v>1284</v>
      </c>
      <c r="K1743" s="15" t="s">
        <v>1272</v>
      </c>
      <c r="L1743" s="32">
        <f>Data!$D1743/10^6</f>
        <v>54.55</v>
      </c>
    </row>
    <row r="1744" spans="1:12" x14ac:dyDescent="0.25">
      <c r="A1744" s="29" t="s">
        <v>109</v>
      </c>
      <c r="B1744" s="15" t="s">
        <v>465</v>
      </c>
      <c r="C1744" s="15" t="s">
        <v>10</v>
      </c>
      <c r="D1744" s="16">
        <v>75375000</v>
      </c>
      <c r="E1744" s="17">
        <v>45505</v>
      </c>
      <c r="F1744" s="18">
        <f>MONTH(Data!$E1744)</f>
        <v>8</v>
      </c>
      <c r="G1744" s="16">
        <f>YEAR(Data!$E1744)</f>
        <v>2024</v>
      </c>
      <c r="H1744" s="15" t="s">
        <v>22</v>
      </c>
      <c r="I1744" s="15" t="str">
        <f t="shared" si="27"/>
        <v>Sở ban ngành</v>
      </c>
      <c r="J1744" s="15" t="s">
        <v>1285</v>
      </c>
      <c r="K1744" s="15" t="s">
        <v>1267</v>
      </c>
      <c r="L1744" s="32">
        <f>Data!$D1744/10^6</f>
        <v>75.375</v>
      </c>
    </row>
    <row r="1745" spans="1:12" x14ac:dyDescent="0.25">
      <c r="A1745" s="29" t="s">
        <v>74</v>
      </c>
      <c r="B1745" s="15" t="s">
        <v>289</v>
      </c>
      <c r="C1745" s="15" t="s">
        <v>149</v>
      </c>
      <c r="D1745" s="16">
        <v>83448818</v>
      </c>
      <c r="E1745" s="17">
        <v>45505</v>
      </c>
      <c r="F1745" s="18">
        <f>MONTH(Data!$E1745)</f>
        <v>8</v>
      </c>
      <c r="G1745" s="16">
        <f>YEAR(Data!$E1745)</f>
        <v>2024</v>
      </c>
      <c r="H1745" s="15" t="s">
        <v>11</v>
      </c>
      <c r="I1745" s="15" t="str">
        <f t="shared" si="27"/>
        <v>Sở ban ngành</v>
      </c>
      <c r="J1745" s="15" t="s">
        <v>1284</v>
      </c>
      <c r="K1745" s="15" t="s">
        <v>1264</v>
      </c>
      <c r="L1745" s="32">
        <f>Data!$D1745/10^6</f>
        <v>83.448818000000003</v>
      </c>
    </row>
    <row r="1746" spans="1:12" x14ac:dyDescent="0.25">
      <c r="A1746" s="29" t="s">
        <v>95</v>
      </c>
      <c r="B1746" s="15" t="s">
        <v>371</v>
      </c>
      <c r="C1746" s="15" t="s">
        <v>10</v>
      </c>
      <c r="D1746" s="16">
        <v>77952000</v>
      </c>
      <c r="E1746" s="17">
        <v>45505</v>
      </c>
      <c r="F1746" s="18">
        <f>MONTH(Data!$E1746)</f>
        <v>8</v>
      </c>
      <c r="G1746" s="16">
        <f>YEAR(Data!$E1746)</f>
        <v>2024</v>
      </c>
      <c r="H1746" s="15" t="s">
        <v>35</v>
      </c>
      <c r="I1746" s="15" t="str">
        <f t="shared" si="27"/>
        <v>Sở ban ngành</v>
      </c>
      <c r="J1746" s="15" t="s">
        <v>1285</v>
      </c>
      <c r="K1746" s="15" t="s">
        <v>1267</v>
      </c>
      <c r="L1746" s="32">
        <f>Data!$D1746/10^6</f>
        <v>77.951999999999998</v>
      </c>
    </row>
    <row r="1747" spans="1:12" x14ac:dyDescent="0.25">
      <c r="A1747" s="29" t="s">
        <v>30</v>
      </c>
      <c r="B1747" s="15" t="s">
        <v>486</v>
      </c>
      <c r="C1747" s="15" t="s">
        <v>41</v>
      </c>
      <c r="D1747" s="16">
        <v>45002727</v>
      </c>
      <c r="E1747" s="17">
        <v>45505</v>
      </c>
      <c r="F1747" s="18">
        <f>MONTH(Data!$E1747)</f>
        <v>8</v>
      </c>
      <c r="G1747" s="16">
        <f>YEAR(Data!$E1747)</f>
        <v>2024</v>
      </c>
      <c r="H1747" s="15" t="s">
        <v>32</v>
      </c>
      <c r="I1747" s="15" t="str">
        <f t="shared" si="27"/>
        <v>Sở ban ngành</v>
      </c>
      <c r="J1747" s="15" t="s">
        <v>1284</v>
      </c>
      <c r="K1747" s="15" t="s">
        <v>1269</v>
      </c>
      <c r="L1747" s="32">
        <f>Data!$D1747/10^6</f>
        <v>45.002727</v>
      </c>
    </row>
    <row r="1748" spans="1:12" x14ac:dyDescent="0.25">
      <c r="A1748" s="29" t="s">
        <v>73</v>
      </c>
      <c r="B1748" s="15" t="s">
        <v>228</v>
      </c>
      <c r="C1748" s="15" t="s">
        <v>14</v>
      </c>
      <c r="D1748" s="16">
        <v>13636364</v>
      </c>
      <c r="E1748" s="17">
        <v>45505</v>
      </c>
      <c r="F1748" s="18">
        <f>MONTH(Data!$E1748)</f>
        <v>8</v>
      </c>
      <c r="G1748" s="16">
        <f>YEAR(Data!$E1748)</f>
        <v>2024</v>
      </c>
      <c r="H1748" s="15" t="s">
        <v>32</v>
      </c>
      <c r="I1748" s="15" t="str">
        <f t="shared" si="27"/>
        <v>Sở ban ngành</v>
      </c>
      <c r="J1748" s="15" t="s">
        <v>1285</v>
      </c>
      <c r="K1748" s="15" t="s">
        <v>1264</v>
      </c>
      <c r="L1748" s="32">
        <f>Data!$D1748/10^6</f>
        <v>13.636364</v>
      </c>
    </row>
    <row r="1749" spans="1:12" x14ac:dyDescent="0.25">
      <c r="A1749" s="29" t="s">
        <v>68</v>
      </c>
      <c r="B1749" s="15" t="s">
        <v>485</v>
      </c>
      <c r="C1749" s="15" t="s">
        <v>14</v>
      </c>
      <c r="D1749" s="16">
        <v>69909091</v>
      </c>
      <c r="E1749" s="17">
        <v>45505</v>
      </c>
      <c r="F1749" s="18">
        <f>MONTH(Data!$E1749)</f>
        <v>8</v>
      </c>
      <c r="G1749" s="16">
        <f>YEAR(Data!$E1749)</f>
        <v>2024</v>
      </c>
      <c r="H1749" s="15" t="s">
        <v>22</v>
      </c>
      <c r="I1749" s="15" t="str">
        <f t="shared" si="27"/>
        <v>Sở ban ngành</v>
      </c>
      <c r="J1749" s="15" t="s">
        <v>1284</v>
      </c>
      <c r="K1749" s="15" t="s">
        <v>1275</v>
      </c>
      <c r="L1749" s="32">
        <f>Data!$D1749/10^6</f>
        <v>69.909091000000004</v>
      </c>
    </row>
    <row r="1750" spans="1:12" x14ac:dyDescent="0.25">
      <c r="A1750" s="29" t="s">
        <v>130</v>
      </c>
      <c r="B1750" s="15" t="s">
        <v>482</v>
      </c>
      <c r="C1750" s="15" t="s">
        <v>10</v>
      </c>
      <c r="D1750" s="16">
        <v>88172000</v>
      </c>
      <c r="E1750" s="17">
        <v>45505</v>
      </c>
      <c r="F1750" s="18">
        <f>MONTH(Data!$E1750)</f>
        <v>8</v>
      </c>
      <c r="G1750" s="16">
        <f>YEAR(Data!$E1750)</f>
        <v>2024</v>
      </c>
      <c r="H1750" s="15" t="s">
        <v>22</v>
      </c>
      <c r="I1750" s="15" t="str">
        <f t="shared" si="27"/>
        <v>Sở ban ngành</v>
      </c>
      <c r="J1750" s="15" t="s">
        <v>1285</v>
      </c>
      <c r="K1750" s="15" t="s">
        <v>1263</v>
      </c>
      <c r="L1750" s="32">
        <f>Data!$D1750/10^6</f>
        <v>88.171999999999997</v>
      </c>
    </row>
    <row r="1751" spans="1:12" x14ac:dyDescent="0.25">
      <c r="A1751" s="29" t="s">
        <v>52</v>
      </c>
      <c r="B1751" s="15" t="s">
        <v>455</v>
      </c>
      <c r="C1751" s="15" t="s">
        <v>10</v>
      </c>
      <c r="D1751" s="16">
        <v>285872727</v>
      </c>
      <c r="E1751" s="17">
        <v>45505</v>
      </c>
      <c r="F1751" s="18">
        <f>MONTH(Data!$E1751)</f>
        <v>8</v>
      </c>
      <c r="G1751" s="16">
        <f>YEAR(Data!$E1751)</f>
        <v>2024</v>
      </c>
      <c r="H1751" s="15" t="s">
        <v>35</v>
      </c>
      <c r="I1751" s="15" t="str">
        <f t="shared" si="27"/>
        <v>Sở ban ngành</v>
      </c>
      <c r="J1751" s="15" t="s">
        <v>1284</v>
      </c>
      <c r="K1751" s="15" t="s">
        <v>1262</v>
      </c>
      <c r="L1751" s="32">
        <f>Data!$D1751/10^6</f>
        <v>285.872727</v>
      </c>
    </row>
    <row r="1752" spans="1:12" x14ac:dyDescent="0.25">
      <c r="A1752" s="29" t="s">
        <v>92</v>
      </c>
      <c r="B1752" s="15" t="s">
        <v>457</v>
      </c>
      <c r="C1752" s="15" t="s">
        <v>14</v>
      </c>
      <c r="D1752" s="16">
        <v>103208690</v>
      </c>
      <c r="E1752" s="17">
        <v>45505</v>
      </c>
      <c r="F1752" s="18">
        <f>MONTH(Data!$E1752)</f>
        <v>8</v>
      </c>
      <c r="G1752" s="16">
        <f>YEAR(Data!$E1752)</f>
        <v>2024</v>
      </c>
      <c r="H1752" s="15" t="s">
        <v>29</v>
      </c>
      <c r="I1752" s="15" t="str">
        <f t="shared" si="27"/>
        <v>Sở ban ngành</v>
      </c>
      <c r="J1752" s="15" t="s">
        <v>1285</v>
      </c>
      <c r="K1752" s="15" t="s">
        <v>1275</v>
      </c>
      <c r="L1752" s="32">
        <f>Data!$D1752/10^6</f>
        <v>103.20869</v>
      </c>
    </row>
    <row r="1753" spans="1:12" x14ac:dyDescent="0.25">
      <c r="A1753" s="29" t="s">
        <v>89</v>
      </c>
      <c r="B1753" s="15" t="s">
        <v>472</v>
      </c>
      <c r="C1753" s="15" t="s">
        <v>46</v>
      </c>
      <c r="D1753" s="16">
        <v>54511856</v>
      </c>
      <c r="E1753" s="17">
        <v>45505</v>
      </c>
      <c r="F1753" s="18">
        <f>MONTH(Data!$E1753)</f>
        <v>8</v>
      </c>
      <c r="G1753" s="16">
        <f>YEAR(Data!$E1753)</f>
        <v>2024</v>
      </c>
      <c r="H1753" s="15" t="s">
        <v>11</v>
      </c>
      <c r="I1753" s="15" t="str">
        <f t="shared" si="27"/>
        <v>Sở ban ngành</v>
      </c>
      <c r="J1753" s="15" t="s">
        <v>1284</v>
      </c>
      <c r="K1753" s="15" t="s">
        <v>1271</v>
      </c>
      <c r="L1753" s="32">
        <f>Data!$D1753/10^6</f>
        <v>54.511856000000002</v>
      </c>
    </row>
    <row r="1754" spans="1:12" x14ac:dyDescent="0.25">
      <c r="A1754" s="29" t="s">
        <v>268</v>
      </c>
      <c r="B1754" s="15" t="s">
        <v>483</v>
      </c>
      <c r="C1754" s="15" t="s">
        <v>46</v>
      </c>
      <c r="D1754" s="16">
        <v>22500000</v>
      </c>
      <c r="E1754" s="17">
        <v>45505</v>
      </c>
      <c r="F1754" s="18">
        <f>MONTH(Data!$E1754)</f>
        <v>8</v>
      </c>
      <c r="G1754" s="16">
        <f>YEAR(Data!$E1754)</f>
        <v>2024</v>
      </c>
      <c r="H1754" s="15" t="s">
        <v>25</v>
      </c>
      <c r="I1754" s="15" t="str">
        <f t="shared" si="27"/>
        <v>Sở ban ngành</v>
      </c>
      <c r="J1754" s="15" t="s">
        <v>1285</v>
      </c>
      <c r="K1754" s="15" t="s">
        <v>1271</v>
      </c>
      <c r="L1754" s="32">
        <f>Data!$D1754/10^6</f>
        <v>22.5</v>
      </c>
    </row>
    <row r="1755" spans="1:12" x14ac:dyDescent="0.25">
      <c r="A1755" s="29" t="s">
        <v>268</v>
      </c>
      <c r="B1755" s="15" t="s">
        <v>467</v>
      </c>
      <c r="C1755" s="15" t="s">
        <v>46</v>
      </c>
      <c r="D1755" s="16">
        <v>36363636</v>
      </c>
      <c r="E1755" s="17">
        <v>45505</v>
      </c>
      <c r="F1755" s="18">
        <f>MONTH(Data!$E1755)</f>
        <v>8</v>
      </c>
      <c r="G1755" s="16">
        <f>YEAR(Data!$E1755)</f>
        <v>2024</v>
      </c>
      <c r="H1755" s="15" t="s">
        <v>25</v>
      </c>
      <c r="I1755" s="15" t="str">
        <f t="shared" si="27"/>
        <v>Sở ban ngành</v>
      </c>
      <c r="J1755" s="15" t="s">
        <v>1284</v>
      </c>
      <c r="K1755" s="15" t="s">
        <v>1271</v>
      </c>
      <c r="L1755" s="32">
        <f>Data!$D1755/10^6</f>
        <v>36.363636</v>
      </c>
    </row>
    <row r="1756" spans="1:12" x14ac:dyDescent="0.25">
      <c r="A1756" s="29" t="s">
        <v>268</v>
      </c>
      <c r="B1756" s="15" t="s">
        <v>467</v>
      </c>
      <c r="C1756" s="15" t="s">
        <v>46</v>
      </c>
      <c r="D1756" s="16">
        <v>45454545</v>
      </c>
      <c r="E1756" s="17">
        <v>45505</v>
      </c>
      <c r="F1756" s="18">
        <f>MONTH(Data!$E1756)</f>
        <v>8</v>
      </c>
      <c r="G1756" s="16">
        <f>YEAR(Data!$E1756)</f>
        <v>2024</v>
      </c>
      <c r="H1756" s="15" t="s">
        <v>25</v>
      </c>
      <c r="I1756" s="15" t="str">
        <f t="shared" si="27"/>
        <v>Sở ban ngành</v>
      </c>
      <c r="J1756" s="15" t="s">
        <v>1285</v>
      </c>
      <c r="K1756" s="15" t="s">
        <v>1271</v>
      </c>
      <c r="L1756" s="32">
        <f>Data!$D1756/10^6</f>
        <v>45.454545000000003</v>
      </c>
    </row>
    <row r="1757" spans="1:12" x14ac:dyDescent="0.25">
      <c r="A1757" s="29" t="s">
        <v>62</v>
      </c>
      <c r="B1757" s="15" t="s">
        <v>469</v>
      </c>
      <c r="C1757" s="15" t="s">
        <v>10</v>
      </c>
      <c r="D1757" s="16">
        <v>90106000</v>
      </c>
      <c r="E1757" s="17">
        <v>45505</v>
      </c>
      <c r="F1757" s="18">
        <f>MONTH(Data!$E1757)</f>
        <v>8</v>
      </c>
      <c r="G1757" s="16">
        <f>YEAR(Data!$E1757)</f>
        <v>2024</v>
      </c>
      <c r="H1757" s="15" t="s">
        <v>15</v>
      </c>
      <c r="I1757" s="15" t="str">
        <f t="shared" si="27"/>
        <v>Sở ban ngành</v>
      </c>
      <c r="J1757" s="15" t="s">
        <v>1284</v>
      </c>
      <c r="K1757" s="15" t="s">
        <v>1263</v>
      </c>
      <c r="L1757" s="32">
        <f>Data!$D1757/10^6</f>
        <v>90.105999999999995</v>
      </c>
    </row>
    <row r="1758" spans="1:12" x14ac:dyDescent="0.25">
      <c r="A1758" s="29" t="s">
        <v>13</v>
      </c>
      <c r="B1758" s="15" t="s">
        <v>492</v>
      </c>
      <c r="C1758" s="15" t="s">
        <v>14</v>
      </c>
      <c r="D1758" s="16">
        <v>49312727</v>
      </c>
      <c r="E1758" s="17">
        <v>45505</v>
      </c>
      <c r="F1758" s="18">
        <f>MONTH(Data!$E1758)</f>
        <v>8</v>
      </c>
      <c r="G1758" s="16">
        <f>YEAR(Data!$E1758)</f>
        <v>2024</v>
      </c>
      <c r="H1758" s="15" t="s">
        <v>15</v>
      </c>
      <c r="I1758" s="15" t="str">
        <f t="shared" si="27"/>
        <v>Sở ban ngành</v>
      </c>
      <c r="J1758" s="15" t="s">
        <v>1285</v>
      </c>
      <c r="K1758" s="15" t="s">
        <v>1275</v>
      </c>
      <c r="L1758" s="32">
        <f>Data!$D1758/10^6</f>
        <v>49.312727000000002</v>
      </c>
    </row>
    <row r="1759" spans="1:12" x14ac:dyDescent="0.25">
      <c r="A1759" s="29" t="s">
        <v>8</v>
      </c>
      <c r="B1759" s="15" t="s">
        <v>479</v>
      </c>
      <c r="C1759" s="15" t="s">
        <v>46</v>
      </c>
      <c r="D1759" s="16">
        <v>90839382</v>
      </c>
      <c r="E1759" s="17">
        <v>45505</v>
      </c>
      <c r="F1759" s="18">
        <f>MONTH(Data!$E1759)</f>
        <v>8</v>
      </c>
      <c r="G1759" s="16">
        <f>YEAR(Data!$E1759)</f>
        <v>2024</v>
      </c>
      <c r="H1759" s="15" t="s">
        <v>11</v>
      </c>
      <c r="I1759" s="15" t="str">
        <f t="shared" si="27"/>
        <v>Sở ban ngành</v>
      </c>
      <c r="J1759" s="15" t="s">
        <v>1284</v>
      </c>
      <c r="K1759" s="15" t="s">
        <v>1271</v>
      </c>
      <c r="L1759" s="32">
        <f>Data!$D1759/10^6</f>
        <v>90.839382000000001</v>
      </c>
    </row>
    <row r="1760" spans="1:12" x14ac:dyDescent="0.25">
      <c r="A1760" s="29" t="s">
        <v>37</v>
      </c>
      <c r="B1760" s="15" t="s">
        <v>475</v>
      </c>
      <c r="C1760" s="15" t="s">
        <v>14</v>
      </c>
      <c r="D1760" s="16">
        <v>88945455</v>
      </c>
      <c r="E1760" s="17">
        <v>45505</v>
      </c>
      <c r="F1760" s="18">
        <f>MONTH(Data!$E1760)</f>
        <v>8</v>
      </c>
      <c r="G1760" s="16">
        <f>YEAR(Data!$E1760)</f>
        <v>2024</v>
      </c>
      <c r="H1760" s="15" t="s">
        <v>11</v>
      </c>
      <c r="I1760" s="15" t="str">
        <f t="shared" si="27"/>
        <v>Sở ban ngành</v>
      </c>
      <c r="J1760" s="15" t="s">
        <v>1285</v>
      </c>
      <c r="K1760" s="15" t="s">
        <v>1272</v>
      </c>
      <c r="L1760" s="32">
        <f>Data!$D1760/10^6</f>
        <v>88.945454999999995</v>
      </c>
    </row>
    <row r="1761" spans="1:12" x14ac:dyDescent="0.25">
      <c r="A1761" s="29" t="s">
        <v>13</v>
      </c>
      <c r="B1761" s="15" t="s">
        <v>463</v>
      </c>
      <c r="C1761" s="15" t="s">
        <v>10</v>
      </c>
      <c r="D1761" s="16">
        <v>44672273</v>
      </c>
      <c r="E1761" s="17">
        <v>45505</v>
      </c>
      <c r="F1761" s="18">
        <f>MONTH(Data!$E1761)</f>
        <v>8</v>
      </c>
      <c r="G1761" s="16">
        <f>YEAR(Data!$E1761)</f>
        <v>2024</v>
      </c>
      <c r="H1761" s="15" t="s">
        <v>15</v>
      </c>
      <c r="I1761" s="15" t="str">
        <f t="shared" si="27"/>
        <v>Sở ban ngành</v>
      </c>
      <c r="J1761" s="15" t="s">
        <v>1284</v>
      </c>
      <c r="K1761" s="15" t="s">
        <v>1263</v>
      </c>
      <c r="L1761" s="32">
        <f>Data!$D1761/10^6</f>
        <v>44.672272999999997</v>
      </c>
    </row>
    <row r="1762" spans="1:12" x14ac:dyDescent="0.25">
      <c r="A1762" s="29" t="s">
        <v>27</v>
      </c>
      <c r="B1762" s="15" t="s">
        <v>319</v>
      </c>
      <c r="C1762" s="15" t="s">
        <v>46</v>
      </c>
      <c r="D1762" s="16">
        <v>36505000</v>
      </c>
      <c r="E1762" s="17">
        <v>45505</v>
      </c>
      <c r="F1762" s="18">
        <f>MONTH(Data!$E1762)</f>
        <v>8</v>
      </c>
      <c r="G1762" s="16">
        <f>YEAR(Data!$E1762)</f>
        <v>2024</v>
      </c>
      <c r="H1762" s="15" t="s">
        <v>11</v>
      </c>
      <c r="I1762" s="15" t="str">
        <f t="shared" si="27"/>
        <v>Sở ban ngành</v>
      </c>
      <c r="J1762" s="15" t="s">
        <v>1285</v>
      </c>
      <c r="K1762" s="15" t="s">
        <v>1271</v>
      </c>
      <c r="L1762" s="32">
        <f>Data!$D1762/10^6</f>
        <v>36.505000000000003</v>
      </c>
    </row>
    <row r="1763" spans="1:12" x14ac:dyDescent="0.25">
      <c r="A1763" s="29" t="s">
        <v>62</v>
      </c>
      <c r="B1763" s="15" t="s">
        <v>494</v>
      </c>
      <c r="C1763" s="15" t="s">
        <v>46</v>
      </c>
      <c r="D1763" s="16">
        <v>77208182</v>
      </c>
      <c r="E1763" s="17">
        <v>45505</v>
      </c>
      <c r="F1763" s="18">
        <f>MONTH(Data!$E1763)</f>
        <v>8</v>
      </c>
      <c r="G1763" s="16">
        <f>YEAR(Data!$E1763)</f>
        <v>2024</v>
      </c>
      <c r="H1763" s="15" t="s">
        <v>15</v>
      </c>
      <c r="I1763" s="15" t="str">
        <f t="shared" si="27"/>
        <v>Sở ban ngành</v>
      </c>
      <c r="J1763" s="15" t="s">
        <v>1284</v>
      </c>
      <c r="K1763" s="15" t="s">
        <v>1271</v>
      </c>
      <c r="L1763" s="32">
        <f>Data!$D1763/10^6</f>
        <v>77.208181999999994</v>
      </c>
    </row>
    <row r="1764" spans="1:12" x14ac:dyDescent="0.25">
      <c r="A1764" s="29" t="s">
        <v>37</v>
      </c>
      <c r="B1764" s="15" t="s">
        <v>476</v>
      </c>
      <c r="C1764" s="15" t="s">
        <v>14</v>
      </c>
      <c r="D1764" s="16">
        <v>88945455</v>
      </c>
      <c r="E1764" s="17">
        <v>45505</v>
      </c>
      <c r="F1764" s="18">
        <f>MONTH(Data!$E1764)</f>
        <v>8</v>
      </c>
      <c r="G1764" s="16">
        <f>YEAR(Data!$E1764)</f>
        <v>2024</v>
      </c>
      <c r="H1764" s="15" t="s">
        <v>11</v>
      </c>
      <c r="I1764" s="15" t="str">
        <f t="shared" si="27"/>
        <v>Sở ban ngành</v>
      </c>
      <c r="J1764" s="15" t="s">
        <v>1285</v>
      </c>
      <c r="K1764" s="15" t="s">
        <v>1272</v>
      </c>
      <c r="L1764" s="32">
        <f>Data!$D1764/10^6</f>
        <v>88.945454999999995</v>
      </c>
    </row>
    <row r="1765" spans="1:12" x14ac:dyDescent="0.25">
      <c r="A1765" s="29" t="s">
        <v>74</v>
      </c>
      <c r="B1765" s="15" t="s">
        <v>484</v>
      </c>
      <c r="C1765" s="15" t="s">
        <v>46</v>
      </c>
      <c r="D1765" s="16">
        <v>397825455</v>
      </c>
      <c r="E1765" s="17">
        <v>45505</v>
      </c>
      <c r="F1765" s="18">
        <f>MONTH(Data!$E1765)</f>
        <v>8</v>
      </c>
      <c r="G1765" s="16">
        <f>YEAR(Data!$E1765)</f>
        <v>2024</v>
      </c>
      <c r="H1765" s="15" t="s">
        <v>11</v>
      </c>
      <c r="I1765" s="15" t="str">
        <f t="shared" si="27"/>
        <v>Sở ban ngành</v>
      </c>
      <c r="J1765" s="15" t="s">
        <v>1284</v>
      </c>
      <c r="K1765" s="15" t="s">
        <v>1271</v>
      </c>
      <c r="L1765" s="32">
        <f>Data!$D1765/10^6</f>
        <v>397.82545499999998</v>
      </c>
    </row>
    <row r="1766" spans="1:12" x14ac:dyDescent="0.25">
      <c r="A1766" s="29" t="s">
        <v>116</v>
      </c>
      <c r="B1766" s="15" t="s">
        <v>487</v>
      </c>
      <c r="C1766" s="15" t="s">
        <v>46</v>
      </c>
      <c r="D1766" s="16">
        <v>72727273</v>
      </c>
      <c r="E1766" s="17">
        <v>45505</v>
      </c>
      <c r="F1766" s="18">
        <f>MONTH(Data!$E1766)</f>
        <v>8</v>
      </c>
      <c r="G1766" s="16">
        <f>YEAR(Data!$E1766)</f>
        <v>2024</v>
      </c>
      <c r="H1766" s="15" t="s">
        <v>15</v>
      </c>
      <c r="I1766" s="15" t="str">
        <f t="shared" si="27"/>
        <v>Sở ban ngành</v>
      </c>
      <c r="J1766" s="15" t="s">
        <v>1285</v>
      </c>
      <c r="K1766" s="15" t="s">
        <v>1265</v>
      </c>
      <c r="L1766" s="32">
        <f>Data!$D1766/10^6</f>
        <v>72.727272999999997</v>
      </c>
    </row>
    <row r="1767" spans="1:12" x14ac:dyDescent="0.25">
      <c r="A1767" s="29" t="s">
        <v>74</v>
      </c>
      <c r="B1767" s="15" t="s">
        <v>445</v>
      </c>
      <c r="C1767" s="15" t="s">
        <v>46</v>
      </c>
      <c r="D1767" s="16">
        <v>423190000</v>
      </c>
      <c r="E1767" s="17">
        <v>45505</v>
      </c>
      <c r="F1767" s="18">
        <f>MONTH(Data!$E1767)</f>
        <v>8</v>
      </c>
      <c r="G1767" s="16">
        <f>YEAR(Data!$E1767)</f>
        <v>2024</v>
      </c>
      <c r="H1767" s="15" t="s">
        <v>11</v>
      </c>
      <c r="I1767" s="15" t="str">
        <f t="shared" si="27"/>
        <v>Sở ban ngành</v>
      </c>
      <c r="J1767" s="15" t="s">
        <v>1284</v>
      </c>
      <c r="K1767" s="15" t="s">
        <v>1271</v>
      </c>
      <c r="L1767" s="32">
        <f>Data!$D1767/10^6</f>
        <v>423.19</v>
      </c>
    </row>
    <row r="1768" spans="1:12" x14ac:dyDescent="0.25">
      <c r="A1768" s="29" t="s">
        <v>74</v>
      </c>
      <c r="B1768" s="15" t="s">
        <v>493</v>
      </c>
      <c r="C1768" s="15" t="s">
        <v>149</v>
      </c>
      <c r="D1768" s="16">
        <v>21797273</v>
      </c>
      <c r="E1768" s="17">
        <v>45505</v>
      </c>
      <c r="F1768" s="18">
        <f>MONTH(Data!$E1768)</f>
        <v>8</v>
      </c>
      <c r="G1768" s="16">
        <f>YEAR(Data!$E1768)</f>
        <v>2024</v>
      </c>
      <c r="H1768" s="15" t="s">
        <v>11</v>
      </c>
      <c r="I1768" s="15" t="str">
        <f t="shared" si="27"/>
        <v>Sở ban ngành</v>
      </c>
      <c r="J1768" s="15" t="s">
        <v>1285</v>
      </c>
      <c r="K1768" s="15" t="s">
        <v>1278</v>
      </c>
      <c r="L1768" s="32">
        <f>Data!$D1768/10^6</f>
        <v>21.797273000000001</v>
      </c>
    </row>
    <row r="1769" spans="1:12" x14ac:dyDescent="0.25">
      <c r="A1769" s="29" t="s">
        <v>55</v>
      </c>
      <c r="B1769" s="15" t="s">
        <v>497</v>
      </c>
      <c r="C1769" s="15" t="s">
        <v>10</v>
      </c>
      <c r="D1769" s="16">
        <v>90417500</v>
      </c>
      <c r="E1769" s="17">
        <v>45505</v>
      </c>
      <c r="F1769" s="18">
        <f>MONTH(Data!$E1769)</f>
        <v>8</v>
      </c>
      <c r="G1769" s="16">
        <f>YEAR(Data!$E1769)</f>
        <v>2024</v>
      </c>
      <c r="H1769" s="15" t="s">
        <v>15</v>
      </c>
      <c r="I1769" s="15" t="str">
        <f t="shared" si="27"/>
        <v>Sở ban ngành</v>
      </c>
      <c r="J1769" s="15" t="s">
        <v>1284</v>
      </c>
      <c r="K1769" s="15" t="s">
        <v>1262</v>
      </c>
      <c r="L1769" s="32">
        <f>Data!$D1769/10^6</f>
        <v>90.417500000000004</v>
      </c>
    </row>
    <row r="1770" spans="1:12" x14ac:dyDescent="0.25">
      <c r="A1770" s="29" t="s">
        <v>73</v>
      </c>
      <c r="B1770" s="15" t="s">
        <v>501</v>
      </c>
      <c r="C1770" s="15" t="s">
        <v>10</v>
      </c>
      <c r="D1770" s="16">
        <v>705830000</v>
      </c>
      <c r="E1770" s="17">
        <v>45505</v>
      </c>
      <c r="F1770" s="18">
        <f>MONTH(Data!$E1770)</f>
        <v>8</v>
      </c>
      <c r="G1770" s="16">
        <f>YEAR(Data!$E1770)</f>
        <v>2024</v>
      </c>
      <c r="H1770" s="15" t="s">
        <v>32</v>
      </c>
      <c r="I1770" s="15" t="str">
        <f t="shared" si="27"/>
        <v>Sở ban ngành</v>
      </c>
      <c r="J1770" s="15" t="s">
        <v>1285</v>
      </c>
      <c r="K1770" s="15" t="s">
        <v>1267</v>
      </c>
      <c r="L1770" s="32">
        <f>Data!$D1770/10^6</f>
        <v>705.83</v>
      </c>
    </row>
    <row r="1771" spans="1:12" x14ac:dyDescent="0.25">
      <c r="A1771" s="29" t="s">
        <v>30</v>
      </c>
      <c r="B1771" s="15" t="s">
        <v>180</v>
      </c>
      <c r="C1771" s="15" t="s">
        <v>149</v>
      </c>
      <c r="D1771" s="16">
        <v>22421818</v>
      </c>
      <c r="E1771" s="17">
        <v>45505</v>
      </c>
      <c r="F1771" s="18">
        <f>MONTH(Data!$E1771)</f>
        <v>8</v>
      </c>
      <c r="G1771" s="16">
        <f>YEAR(Data!$E1771)</f>
        <v>2024</v>
      </c>
      <c r="H1771" s="15" t="s">
        <v>32</v>
      </c>
      <c r="I1771" s="15" t="str">
        <f t="shared" si="27"/>
        <v>Sở ban ngành</v>
      </c>
      <c r="J1771" s="15" t="s">
        <v>1284</v>
      </c>
      <c r="K1771" s="15" t="s">
        <v>1272</v>
      </c>
      <c r="L1771" s="32">
        <f>Data!$D1771/10^6</f>
        <v>22.421817999999998</v>
      </c>
    </row>
    <row r="1772" spans="1:12" x14ac:dyDescent="0.25">
      <c r="A1772" s="29" t="s">
        <v>23</v>
      </c>
      <c r="B1772" s="15" t="s">
        <v>500</v>
      </c>
      <c r="C1772" s="15" t="s">
        <v>41</v>
      </c>
      <c r="D1772" s="16">
        <v>32727273</v>
      </c>
      <c r="E1772" s="17">
        <v>45505</v>
      </c>
      <c r="F1772" s="18">
        <f>MONTH(Data!$E1772)</f>
        <v>8</v>
      </c>
      <c r="G1772" s="16">
        <f>YEAR(Data!$E1772)</f>
        <v>2024</v>
      </c>
      <c r="H1772" s="15" t="s">
        <v>25</v>
      </c>
      <c r="I1772" s="15" t="str">
        <f t="shared" si="27"/>
        <v>Trường học</v>
      </c>
      <c r="J1772" s="15" t="s">
        <v>1285</v>
      </c>
      <c r="K1772" s="15" t="s">
        <v>1269</v>
      </c>
      <c r="L1772" s="32">
        <f>Data!$D1772/10^6</f>
        <v>32.727272999999997</v>
      </c>
    </row>
    <row r="1773" spans="1:12" x14ac:dyDescent="0.25">
      <c r="A1773" s="29" t="s">
        <v>45</v>
      </c>
      <c r="B1773" s="15" t="s">
        <v>99</v>
      </c>
      <c r="C1773" s="15" t="s">
        <v>46</v>
      </c>
      <c r="D1773" s="16">
        <v>19000000</v>
      </c>
      <c r="E1773" s="17">
        <v>45505</v>
      </c>
      <c r="F1773" s="18">
        <f>MONTH(Data!$E1773)</f>
        <v>8</v>
      </c>
      <c r="G1773" s="16">
        <f>YEAR(Data!$E1773)</f>
        <v>2024</v>
      </c>
      <c r="H1773" s="15" t="s">
        <v>29</v>
      </c>
      <c r="I1773" s="15" t="str">
        <f t="shared" si="27"/>
        <v>Trường học</v>
      </c>
      <c r="J1773" s="15" t="s">
        <v>1284</v>
      </c>
      <c r="K1773" s="15" t="s">
        <v>1271</v>
      </c>
      <c r="L1773" s="32">
        <f>Data!$D1773/10^6</f>
        <v>19</v>
      </c>
    </row>
    <row r="1774" spans="1:12" x14ac:dyDescent="0.25">
      <c r="A1774" s="29" t="s">
        <v>73</v>
      </c>
      <c r="B1774" s="15" t="s">
        <v>488</v>
      </c>
      <c r="C1774" s="15" t="s">
        <v>10</v>
      </c>
      <c r="D1774" s="16">
        <v>91818182</v>
      </c>
      <c r="E1774" s="17">
        <v>45505</v>
      </c>
      <c r="F1774" s="18">
        <f>MONTH(Data!$E1774)</f>
        <v>8</v>
      </c>
      <c r="G1774" s="16">
        <f>YEAR(Data!$E1774)</f>
        <v>2024</v>
      </c>
      <c r="H1774" s="15" t="s">
        <v>32</v>
      </c>
      <c r="I1774" s="15" t="str">
        <f t="shared" si="27"/>
        <v>Trường học</v>
      </c>
      <c r="J1774" s="15" t="s">
        <v>1285</v>
      </c>
      <c r="K1774" s="15" t="s">
        <v>1267</v>
      </c>
      <c r="L1774" s="32">
        <f>Data!$D1774/10^6</f>
        <v>91.818181999999993</v>
      </c>
    </row>
    <row r="1775" spans="1:12" x14ac:dyDescent="0.25">
      <c r="A1775" s="29" t="s">
        <v>45</v>
      </c>
      <c r="B1775" s="15" t="s">
        <v>495</v>
      </c>
      <c r="C1775" s="15" t="s">
        <v>10</v>
      </c>
      <c r="D1775" s="16">
        <v>11962727</v>
      </c>
      <c r="E1775" s="17">
        <v>45505</v>
      </c>
      <c r="F1775" s="18">
        <f>MONTH(Data!$E1775)</f>
        <v>8</v>
      </c>
      <c r="G1775" s="16">
        <f>YEAR(Data!$E1775)</f>
        <v>2024</v>
      </c>
      <c r="H1775" s="15" t="s">
        <v>29</v>
      </c>
      <c r="I1775" s="15" t="str">
        <f t="shared" si="27"/>
        <v>Trường học</v>
      </c>
      <c r="J1775" s="15" t="s">
        <v>1284</v>
      </c>
      <c r="K1775" s="15" t="s">
        <v>1263</v>
      </c>
      <c r="L1775" s="32">
        <f>Data!$D1775/10^6</f>
        <v>11.962726999999999</v>
      </c>
    </row>
    <row r="1776" spans="1:12" x14ac:dyDescent="0.25">
      <c r="A1776" s="29" t="s">
        <v>28</v>
      </c>
      <c r="B1776" s="15" t="s">
        <v>474</v>
      </c>
      <c r="C1776" s="15" t="s">
        <v>10</v>
      </c>
      <c r="D1776" s="16">
        <v>132986364</v>
      </c>
      <c r="E1776" s="17">
        <v>45505</v>
      </c>
      <c r="F1776" s="18">
        <f>MONTH(Data!$E1776)</f>
        <v>8</v>
      </c>
      <c r="G1776" s="16">
        <f>YEAR(Data!$E1776)</f>
        <v>2024</v>
      </c>
      <c r="H1776" s="15" t="s">
        <v>29</v>
      </c>
      <c r="I1776" s="15" t="str">
        <f t="shared" si="27"/>
        <v>Trường học</v>
      </c>
      <c r="J1776" s="15" t="s">
        <v>1285</v>
      </c>
      <c r="K1776" s="15" t="s">
        <v>1267</v>
      </c>
      <c r="L1776" s="32">
        <f>Data!$D1776/10^6</f>
        <v>132.98636400000001</v>
      </c>
    </row>
    <row r="1777" spans="1:12" x14ac:dyDescent="0.25">
      <c r="A1777" s="29" t="s">
        <v>56</v>
      </c>
      <c r="B1777" s="15" t="s">
        <v>456</v>
      </c>
      <c r="C1777" s="15" t="s">
        <v>10</v>
      </c>
      <c r="D1777" s="16">
        <v>38180000</v>
      </c>
      <c r="E1777" s="17">
        <v>45505</v>
      </c>
      <c r="F1777" s="18">
        <f>MONTH(Data!$E1777)</f>
        <v>8</v>
      </c>
      <c r="G1777" s="16">
        <f>YEAR(Data!$E1777)</f>
        <v>2024</v>
      </c>
      <c r="H1777" s="15" t="s">
        <v>25</v>
      </c>
      <c r="I1777" s="15" t="str">
        <f t="shared" si="27"/>
        <v>Trường học</v>
      </c>
      <c r="J1777" s="15" t="s">
        <v>1284</v>
      </c>
      <c r="K1777" s="15" t="s">
        <v>1262</v>
      </c>
      <c r="L1777" s="32">
        <f>Data!$D1777/10^6</f>
        <v>38.18</v>
      </c>
    </row>
    <row r="1778" spans="1:12" x14ac:dyDescent="0.25">
      <c r="A1778" s="29" t="s">
        <v>23</v>
      </c>
      <c r="B1778" s="15" t="s">
        <v>470</v>
      </c>
      <c r="C1778" s="15" t="s">
        <v>41</v>
      </c>
      <c r="D1778" s="16">
        <v>32727273</v>
      </c>
      <c r="E1778" s="17">
        <v>45505</v>
      </c>
      <c r="F1778" s="18">
        <f>MONTH(Data!$E1778)</f>
        <v>8</v>
      </c>
      <c r="G1778" s="16">
        <f>YEAR(Data!$E1778)</f>
        <v>2024</v>
      </c>
      <c r="H1778" s="15" t="s">
        <v>25</v>
      </c>
      <c r="I1778" s="15" t="str">
        <f t="shared" si="27"/>
        <v>Trường học</v>
      </c>
      <c r="J1778" s="15" t="s">
        <v>1285</v>
      </c>
      <c r="K1778" s="15" t="s">
        <v>1269</v>
      </c>
      <c r="L1778" s="32">
        <f>Data!$D1778/10^6</f>
        <v>32.727272999999997</v>
      </c>
    </row>
    <row r="1779" spans="1:12" x14ac:dyDescent="0.25">
      <c r="A1779" s="29" t="s">
        <v>62</v>
      </c>
      <c r="B1779" s="15" t="s">
        <v>473</v>
      </c>
      <c r="C1779" s="15" t="s">
        <v>10</v>
      </c>
      <c r="D1779" s="16">
        <v>24363636</v>
      </c>
      <c r="E1779" s="17">
        <v>45505</v>
      </c>
      <c r="F1779" s="18">
        <f>MONTH(Data!$E1779)</f>
        <v>8</v>
      </c>
      <c r="G1779" s="16">
        <f>YEAR(Data!$E1779)</f>
        <v>2024</v>
      </c>
      <c r="H1779" s="15" t="s">
        <v>15</v>
      </c>
      <c r="I1779" s="15" t="str">
        <f t="shared" si="27"/>
        <v>Trường học</v>
      </c>
      <c r="J1779" s="15" t="s">
        <v>1284</v>
      </c>
      <c r="K1779" s="15" t="s">
        <v>1262</v>
      </c>
      <c r="L1779" s="32">
        <f>Data!$D1779/10^6</f>
        <v>24.363636</v>
      </c>
    </row>
    <row r="1780" spans="1:12" x14ac:dyDescent="0.25">
      <c r="A1780" s="29" t="s">
        <v>74</v>
      </c>
      <c r="B1780" s="15" t="s">
        <v>499</v>
      </c>
      <c r="C1780" s="15" t="s">
        <v>149</v>
      </c>
      <c r="D1780" s="16">
        <v>12090909</v>
      </c>
      <c r="E1780" s="17">
        <v>45505</v>
      </c>
      <c r="F1780" s="18">
        <f>MONTH(Data!$E1780)</f>
        <v>8</v>
      </c>
      <c r="G1780" s="16">
        <f>YEAR(Data!$E1780)</f>
        <v>2024</v>
      </c>
      <c r="H1780" s="15" t="s">
        <v>11</v>
      </c>
      <c r="I1780" s="15" t="str">
        <f t="shared" si="27"/>
        <v>Trường học</v>
      </c>
      <c r="J1780" s="15" t="s">
        <v>1285</v>
      </c>
      <c r="K1780" s="15" t="s">
        <v>1264</v>
      </c>
      <c r="L1780" s="32">
        <f>Data!$D1780/10^6</f>
        <v>12.090909</v>
      </c>
    </row>
    <row r="1781" spans="1:12" x14ac:dyDescent="0.25">
      <c r="A1781" s="29" t="s">
        <v>17</v>
      </c>
      <c r="B1781" s="15" t="s">
        <v>462</v>
      </c>
      <c r="C1781" s="15" t="s">
        <v>10</v>
      </c>
      <c r="D1781" s="16">
        <v>38460000</v>
      </c>
      <c r="E1781" s="17">
        <v>45505</v>
      </c>
      <c r="F1781" s="18">
        <f>MONTH(Data!$E1781)</f>
        <v>8</v>
      </c>
      <c r="G1781" s="16">
        <f>YEAR(Data!$E1781)</f>
        <v>2024</v>
      </c>
      <c r="H1781" s="15" t="s">
        <v>11</v>
      </c>
      <c r="I1781" s="15" t="str">
        <f t="shared" si="27"/>
        <v>Trường học</v>
      </c>
      <c r="J1781" s="15" t="s">
        <v>1284</v>
      </c>
      <c r="K1781" s="15" t="s">
        <v>1262</v>
      </c>
      <c r="L1781" s="32">
        <f>Data!$D1781/10^6</f>
        <v>38.46</v>
      </c>
    </row>
    <row r="1782" spans="1:12" x14ac:dyDescent="0.25">
      <c r="A1782" s="29" t="s">
        <v>28</v>
      </c>
      <c r="B1782" s="15" t="s">
        <v>466</v>
      </c>
      <c r="C1782" s="15" t="s">
        <v>10</v>
      </c>
      <c r="D1782" s="16">
        <v>105945455</v>
      </c>
      <c r="E1782" s="17">
        <v>45505</v>
      </c>
      <c r="F1782" s="18">
        <f>MONTH(Data!$E1782)</f>
        <v>8</v>
      </c>
      <c r="G1782" s="16">
        <f>YEAR(Data!$E1782)</f>
        <v>2024</v>
      </c>
      <c r="H1782" s="15" t="s">
        <v>29</v>
      </c>
      <c r="I1782" s="15" t="str">
        <f t="shared" si="27"/>
        <v>Trường học</v>
      </c>
      <c r="J1782" s="15" t="s">
        <v>1285</v>
      </c>
      <c r="K1782" s="15" t="s">
        <v>1267</v>
      </c>
      <c r="L1782" s="32">
        <f>Data!$D1782/10^6</f>
        <v>105.945455</v>
      </c>
    </row>
    <row r="1783" spans="1:12" x14ac:dyDescent="0.25">
      <c r="A1783" s="29" t="s">
        <v>95</v>
      </c>
      <c r="B1783" s="15" t="s">
        <v>383</v>
      </c>
      <c r="C1783" s="15" t="s">
        <v>14</v>
      </c>
      <c r="D1783" s="16">
        <v>45087273</v>
      </c>
      <c r="E1783" s="17">
        <v>45505</v>
      </c>
      <c r="F1783" s="18">
        <f>MONTH(Data!$E1783)</f>
        <v>8</v>
      </c>
      <c r="G1783" s="16">
        <f>YEAR(Data!$E1783)</f>
        <v>2024</v>
      </c>
      <c r="H1783" s="15" t="s">
        <v>35</v>
      </c>
      <c r="I1783" s="15" t="str">
        <f t="shared" si="27"/>
        <v>Trường học</v>
      </c>
      <c r="J1783" s="15" t="s">
        <v>1284</v>
      </c>
      <c r="K1783" s="15" t="s">
        <v>1266</v>
      </c>
      <c r="L1783" s="32">
        <f>Data!$D1783/10^6</f>
        <v>45.087273000000003</v>
      </c>
    </row>
    <row r="1784" spans="1:12" x14ac:dyDescent="0.25">
      <c r="A1784" s="29" t="s">
        <v>128</v>
      </c>
      <c r="B1784" s="15" t="s">
        <v>459</v>
      </c>
      <c r="C1784" s="15" t="s">
        <v>10</v>
      </c>
      <c r="D1784" s="16">
        <v>43700000</v>
      </c>
      <c r="E1784" s="17">
        <v>45505</v>
      </c>
      <c r="F1784" s="18">
        <f>MONTH(Data!$E1784)</f>
        <v>8</v>
      </c>
      <c r="G1784" s="16">
        <f>YEAR(Data!$E1784)</f>
        <v>2024</v>
      </c>
      <c r="H1784" s="15" t="s">
        <v>42</v>
      </c>
      <c r="I1784" s="15" t="str">
        <f t="shared" si="27"/>
        <v>Trường học</v>
      </c>
      <c r="J1784" s="15" t="s">
        <v>1285</v>
      </c>
      <c r="K1784" s="15" t="s">
        <v>1262</v>
      </c>
      <c r="L1784" s="32">
        <f>Data!$D1784/10^6</f>
        <v>43.7</v>
      </c>
    </row>
    <row r="1785" spans="1:12" x14ac:dyDescent="0.25">
      <c r="A1785" s="29" t="s">
        <v>51</v>
      </c>
      <c r="B1785" s="15" t="s">
        <v>480</v>
      </c>
      <c r="C1785" s="15" t="s">
        <v>41</v>
      </c>
      <c r="D1785" s="16">
        <v>66360000</v>
      </c>
      <c r="E1785" s="17">
        <v>45505</v>
      </c>
      <c r="F1785" s="18">
        <f>MONTH(Data!$E1785)</f>
        <v>8</v>
      </c>
      <c r="G1785" s="16">
        <f>YEAR(Data!$E1785)</f>
        <v>2024</v>
      </c>
      <c r="H1785" s="15" t="s">
        <v>42</v>
      </c>
      <c r="I1785" s="15" t="str">
        <f t="shared" si="27"/>
        <v>Trường học</v>
      </c>
      <c r="J1785" s="15" t="s">
        <v>1284</v>
      </c>
      <c r="K1785" s="15" t="s">
        <v>1269</v>
      </c>
      <c r="L1785" s="32">
        <f>Data!$D1785/10^6</f>
        <v>66.36</v>
      </c>
    </row>
    <row r="1786" spans="1:12" x14ac:dyDescent="0.25">
      <c r="A1786" s="29" t="s">
        <v>75</v>
      </c>
      <c r="B1786" s="15" t="s">
        <v>478</v>
      </c>
      <c r="C1786" s="15" t="s">
        <v>149</v>
      </c>
      <c r="D1786" s="16">
        <v>15818182</v>
      </c>
      <c r="E1786" s="17">
        <v>45505</v>
      </c>
      <c r="F1786" s="18">
        <f>MONTH(Data!$E1786)</f>
        <v>8</v>
      </c>
      <c r="G1786" s="16">
        <f>YEAR(Data!$E1786)</f>
        <v>2024</v>
      </c>
      <c r="H1786" s="15" t="s">
        <v>15</v>
      </c>
      <c r="I1786" s="15" t="str">
        <f t="shared" si="27"/>
        <v>Trường học</v>
      </c>
      <c r="J1786" s="15" t="s">
        <v>1285</v>
      </c>
      <c r="K1786" s="15" t="s">
        <v>1262</v>
      </c>
      <c r="L1786" s="32">
        <f>Data!$D1786/10^6</f>
        <v>15.818182</v>
      </c>
    </row>
    <row r="1787" spans="1:12" x14ac:dyDescent="0.25">
      <c r="A1787" s="30" t="s">
        <v>45</v>
      </c>
      <c r="B1787" s="19" t="s">
        <v>335</v>
      </c>
      <c r="C1787" s="19" t="s">
        <v>149</v>
      </c>
      <c r="D1787" s="16">
        <v>68381818</v>
      </c>
      <c r="E1787" s="17">
        <v>45536</v>
      </c>
      <c r="F1787" s="18">
        <f>MONTH(Data!$E1787)</f>
        <v>9</v>
      </c>
      <c r="G1787" s="16">
        <f>YEAR(Data!$E1787)</f>
        <v>2024</v>
      </c>
      <c r="H1787" s="15" t="s">
        <v>29</v>
      </c>
      <c r="I1787" s="15" t="str">
        <f t="shared" si="27"/>
        <v>Bệnh viện</v>
      </c>
      <c r="J1787" s="15" t="s">
        <v>1284</v>
      </c>
      <c r="K1787" s="15" t="s">
        <v>1264</v>
      </c>
      <c r="L1787" s="32">
        <f>Data!$D1787/10^6</f>
        <v>68.381817999999996</v>
      </c>
    </row>
    <row r="1788" spans="1:12" x14ac:dyDescent="0.25">
      <c r="A1788" s="29" t="s">
        <v>51</v>
      </c>
      <c r="B1788" s="15" t="s">
        <v>1035</v>
      </c>
      <c r="C1788" s="15" t="s">
        <v>10</v>
      </c>
      <c r="D1788" s="16">
        <v>10895118</v>
      </c>
      <c r="E1788" s="17">
        <v>45536</v>
      </c>
      <c r="F1788" s="18">
        <f>MONTH(Data!$E1788)</f>
        <v>9</v>
      </c>
      <c r="G1788" s="16">
        <f>YEAR(Data!$E1788)</f>
        <v>2024</v>
      </c>
      <c r="H1788" s="15" t="s">
        <v>42</v>
      </c>
      <c r="I1788" s="15" t="str">
        <f t="shared" si="27"/>
        <v>Doanh nghiệp</v>
      </c>
      <c r="J1788" s="15" t="s">
        <v>1285</v>
      </c>
      <c r="K1788" s="15" t="s">
        <v>1262</v>
      </c>
      <c r="L1788" s="32">
        <f>Data!$D1788/10^6</f>
        <v>10.895118</v>
      </c>
    </row>
    <row r="1789" spans="1:12" x14ac:dyDescent="0.25">
      <c r="A1789" s="29" t="s">
        <v>30</v>
      </c>
      <c r="B1789" s="15" t="s">
        <v>1059</v>
      </c>
      <c r="C1789" s="15" t="s">
        <v>149</v>
      </c>
      <c r="D1789" s="16">
        <v>9701818</v>
      </c>
      <c r="E1789" s="17">
        <v>45536</v>
      </c>
      <c r="F1789" s="18">
        <f>MONTH(Data!$E1789)</f>
        <v>9</v>
      </c>
      <c r="G1789" s="16">
        <f>YEAR(Data!$E1789)</f>
        <v>2024</v>
      </c>
      <c r="H1789" s="15" t="s">
        <v>32</v>
      </c>
      <c r="I1789" s="15" t="str">
        <f t="shared" si="27"/>
        <v>Doanh nghiệp</v>
      </c>
      <c r="J1789" s="15" t="s">
        <v>1284</v>
      </c>
      <c r="K1789" s="15" t="s">
        <v>1265</v>
      </c>
      <c r="L1789" s="32">
        <f>Data!$D1789/10^6</f>
        <v>9.7018179999999994</v>
      </c>
    </row>
    <row r="1790" spans="1:12" x14ac:dyDescent="0.25">
      <c r="A1790" s="29" t="s">
        <v>98</v>
      </c>
      <c r="B1790" s="15" t="s">
        <v>1100</v>
      </c>
      <c r="C1790" s="15" t="s">
        <v>10</v>
      </c>
      <c r="D1790" s="16">
        <v>187063636</v>
      </c>
      <c r="E1790" s="17">
        <v>45536</v>
      </c>
      <c r="F1790" s="18">
        <f>MONTH(Data!$E1790)</f>
        <v>9</v>
      </c>
      <c r="G1790" s="16">
        <f>YEAR(Data!$E1790)</f>
        <v>2024</v>
      </c>
      <c r="H1790" s="15" t="s">
        <v>11</v>
      </c>
      <c r="I1790" s="15" t="str">
        <f t="shared" si="27"/>
        <v>Doanh nghiệp</v>
      </c>
      <c r="J1790" s="15" t="s">
        <v>1285</v>
      </c>
      <c r="K1790" s="15" t="s">
        <v>1267</v>
      </c>
      <c r="L1790" s="32">
        <f>Data!$D1790/10^6</f>
        <v>187.063636</v>
      </c>
    </row>
    <row r="1791" spans="1:12" x14ac:dyDescent="0.25">
      <c r="A1791" s="30" t="s">
        <v>30</v>
      </c>
      <c r="B1791" s="15" t="s">
        <v>1106</v>
      </c>
      <c r="C1791" s="19" t="s">
        <v>149</v>
      </c>
      <c r="D1791" s="16">
        <v>20816364</v>
      </c>
      <c r="E1791" s="17">
        <v>45536</v>
      </c>
      <c r="F1791" s="18">
        <f>MONTH(Data!$E1791)</f>
        <v>9</v>
      </c>
      <c r="G1791" s="16">
        <f>YEAR(Data!$E1791)</f>
        <v>2024</v>
      </c>
      <c r="H1791" s="15" t="s">
        <v>32</v>
      </c>
      <c r="I1791" s="15" t="str">
        <f t="shared" si="27"/>
        <v>Doanh nghiệp</v>
      </c>
      <c r="J1791" s="15" t="s">
        <v>1284</v>
      </c>
      <c r="K1791" s="15" t="s">
        <v>1264</v>
      </c>
      <c r="L1791" s="32">
        <f>Data!$D1791/10^6</f>
        <v>20.816364</v>
      </c>
    </row>
    <row r="1792" spans="1:12" x14ac:dyDescent="0.25">
      <c r="A1792" s="29" t="s">
        <v>107</v>
      </c>
      <c r="B1792" s="15" t="s">
        <v>1114</v>
      </c>
      <c r="C1792" s="15" t="s">
        <v>10</v>
      </c>
      <c r="D1792" s="16">
        <v>49304545</v>
      </c>
      <c r="E1792" s="17">
        <v>45536</v>
      </c>
      <c r="F1792" s="18">
        <f>MONTH(Data!$E1792)</f>
        <v>9</v>
      </c>
      <c r="G1792" s="16">
        <f>YEAR(Data!$E1792)</f>
        <v>2024</v>
      </c>
      <c r="H1792" s="15" t="s">
        <v>42</v>
      </c>
      <c r="I1792" s="15" t="str">
        <f t="shared" si="27"/>
        <v>Doanh nghiệp</v>
      </c>
      <c r="J1792" s="15" t="s">
        <v>1285</v>
      </c>
      <c r="K1792" s="15" t="s">
        <v>1262</v>
      </c>
      <c r="L1792" s="32">
        <f>Data!$D1792/10^6</f>
        <v>49.304544999999997</v>
      </c>
    </row>
    <row r="1793" spans="1:12" x14ac:dyDescent="0.25">
      <c r="A1793" s="30" t="s">
        <v>102</v>
      </c>
      <c r="B1793" s="15" t="s">
        <v>1026</v>
      </c>
      <c r="C1793" s="19" t="s">
        <v>149</v>
      </c>
      <c r="D1793" s="16">
        <v>5007299675</v>
      </c>
      <c r="E1793" s="17">
        <v>45536</v>
      </c>
      <c r="F1793" s="18">
        <f>MONTH(Data!$E1793)</f>
        <v>9</v>
      </c>
      <c r="G1793" s="16">
        <f>YEAR(Data!$E1793)</f>
        <v>2024</v>
      </c>
      <c r="H1793" s="15" t="s">
        <v>22</v>
      </c>
      <c r="I1793" s="15" t="str">
        <f t="shared" si="27"/>
        <v>Doanh nghiệp</v>
      </c>
      <c r="J1793" s="15" t="s">
        <v>1284</v>
      </c>
      <c r="K1793" s="15" t="s">
        <v>1277</v>
      </c>
      <c r="L1793" s="32">
        <f>Data!$D1793/10^6</f>
        <v>5007.2996750000002</v>
      </c>
    </row>
    <row r="1794" spans="1:12" x14ac:dyDescent="0.25">
      <c r="A1794" s="29" t="s">
        <v>36</v>
      </c>
      <c r="B1794" s="15" t="s">
        <v>1030</v>
      </c>
      <c r="C1794" s="15" t="s">
        <v>10</v>
      </c>
      <c r="D1794" s="16">
        <v>70460000</v>
      </c>
      <c r="E1794" s="17">
        <v>45536</v>
      </c>
      <c r="F1794" s="18">
        <f>MONTH(Data!$E1794)</f>
        <v>9</v>
      </c>
      <c r="G1794" s="16">
        <f>YEAR(Data!$E1794)</f>
        <v>2024</v>
      </c>
      <c r="H1794" s="15" t="s">
        <v>15</v>
      </c>
      <c r="I1794" s="15" t="str">
        <f t="shared" si="27"/>
        <v>Doanh nghiệp</v>
      </c>
      <c r="J1794" s="15" t="s">
        <v>1285</v>
      </c>
      <c r="K1794" s="15" t="s">
        <v>1263</v>
      </c>
      <c r="L1794" s="32">
        <f>Data!$D1794/10^6</f>
        <v>70.459999999999994</v>
      </c>
    </row>
    <row r="1795" spans="1:12" x14ac:dyDescent="0.25">
      <c r="A1795" s="29" t="s">
        <v>72</v>
      </c>
      <c r="B1795" s="15" t="s">
        <v>1050</v>
      </c>
      <c r="C1795" s="15" t="s">
        <v>10</v>
      </c>
      <c r="D1795" s="16">
        <v>165790909</v>
      </c>
      <c r="E1795" s="17">
        <v>45536</v>
      </c>
      <c r="F1795" s="18">
        <f>MONTH(Data!$E1795)</f>
        <v>9</v>
      </c>
      <c r="G1795" s="16">
        <f>YEAR(Data!$E1795)</f>
        <v>2024</v>
      </c>
      <c r="H1795" s="15" t="s">
        <v>22</v>
      </c>
      <c r="I1795" s="15" t="str">
        <f t="shared" ref="I1795:I1858" si="28">IF(ISNUMBER(SEARCH("Công ty",$B1795)),"Doanh nghiệp",IF(ISNUMBER(SEARCH("Doanh nghiệp",$B1795)),"Doanh nghiệp",IF(ISNUMBER(SEARCH("Tập đoàn",$B1795)),"Doanh nghiệp",
IF(ISNUMBER(SEARCH("Bệnh viện",$B1795)),"Bệnh viện",
IF(ISNUMBER(SEARCH("Ngân hàng",$B1795)),"Ngân hàng",IF(ISNUMBER(SEARCH("trường",$B1795)),"Trường học",IF(ISNUMBER(SEARCH("học viện",$B1795)),"Trường học",
IF(ISNUMBER(SEARCH("Bộ",$B1795)),"Sở ban ngành",IF(ISNUMBER(SEARCH("Đoàn",$B1795)),"Sở ban ngành",IF(ISNUMBER(SEARCH("Phòng",$B1795)),"Sở ban ngành",IF(ISNUMBER(SEARCH("UBND",$B1795)),"Sở ban ngành",IF(ISNUMBER(SEARCH("ủy ban",$B1795)),"Sở ban ngành",IF(ISNUMBER(SEARCH("công an",$B1795)),"Sở ban ngành",IF(ISNUMBER(SEARCH("sở",$B1795)),"Sở ban ngành",IF(ISNUMBER(SEARCH("thôn",$B1795)),"Sở ban ngành",IF(ISNUMBER(SEARCH("xã",$B1795)),"Sở ban ngành",IF(ISNUMBER(SEARCH("quân khu",$B1795)),"Sở ban ngành",IF(ISNUMBER(SEARCH("cục",$B1795)),"Sở ban ngành",IF(ISNUMBER(SEARCH("viện",$B1795)),"Sở ban ngành",IF(ISNUMBER(SEARCH("quỹ",$B1795)),"Sở ban ngành",IF(ISNUMBER(SEARCH("trung tâm",$B1795)),"Sở ban ngành",IF(ISNUMBER(SEARCH("quân chủng",$B1795)),"Sở ban ngành",IF(ISNUMBER(SEARCH("hội",$B1795)),"Sở ban ngành",
"Khác")))))))))))))))))))))))</f>
        <v>Doanh nghiệp</v>
      </c>
      <c r="J1795" s="15" t="s">
        <v>1284</v>
      </c>
      <c r="K1795" s="15" t="s">
        <v>1262</v>
      </c>
      <c r="L1795" s="32">
        <f>Data!$D1795/10^6</f>
        <v>165.790909</v>
      </c>
    </row>
    <row r="1796" spans="1:12" x14ac:dyDescent="0.25">
      <c r="A1796" s="30" t="s">
        <v>191</v>
      </c>
      <c r="B1796" s="15" t="s">
        <v>1062</v>
      </c>
      <c r="C1796" s="19" t="s">
        <v>149</v>
      </c>
      <c r="D1796" s="16">
        <v>27490909</v>
      </c>
      <c r="E1796" s="17">
        <v>45536</v>
      </c>
      <c r="F1796" s="18">
        <f>MONTH(Data!$E1796)</f>
        <v>9</v>
      </c>
      <c r="G1796" s="16">
        <f>YEAR(Data!$E1796)</f>
        <v>2024</v>
      </c>
      <c r="H1796" s="15" t="s">
        <v>35</v>
      </c>
      <c r="I1796" s="15" t="str">
        <f t="shared" si="28"/>
        <v>Doanh nghiệp</v>
      </c>
      <c r="J1796" s="15" t="s">
        <v>1285</v>
      </c>
      <c r="K1796" s="15" t="s">
        <v>1265</v>
      </c>
      <c r="L1796" s="32">
        <f>Data!$D1796/10^6</f>
        <v>27.490908999999998</v>
      </c>
    </row>
    <row r="1797" spans="1:12" x14ac:dyDescent="0.25">
      <c r="A1797" s="29" t="s">
        <v>111</v>
      </c>
      <c r="B1797" s="15" t="s">
        <v>1085</v>
      </c>
      <c r="C1797" s="15" t="s">
        <v>14</v>
      </c>
      <c r="D1797" s="16">
        <v>120778182</v>
      </c>
      <c r="E1797" s="17">
        <v>45536</v>
      </c>
      <c r="F1797" s="18">
        <f>MONTH(Data!$E1797)</f>
        <v>9</v>
      </c>
      <c r="G1797" s="16">
        <f>YEAR(Data!$E1797)</f>
        <v>2024</v>
      </c>
      <c r="H1797" s="15" t="s">
        <v>22</v>
      </c>
      <c r="I1797" s="15" t="str">
        <f t="shared" si="28"/>
        <v>Doanh nghiệp</v>
      </c>
      <c r="J1797" s="15" t="s">
        <v>1284</v>
      </c>
      <c r="K1797" s="15" t="s">
        <v>1264</v>
      </c>
      <c r="L1797" s="32">
        <f>Data!$D1797/10^6</f>
        <v>120.778182</v>
      </c>
    </row>
    <row r="1798" spans="1:12" x14ac:dyDescent="0.25">
      <c r="A1798" s="30" t="s">
        <v>191</v>
      </c>
      <c r="B1798" s="15" t="s">
        <v>1100</v>
      </c>
      <c r="C1798" s="19" t="s">
        <v>46</v>
      </c>
      <c r="D1798" s="16">
        <v>753737891</v>
      </c>
      <c r="E1798" s="17">
        <v>45536</v>
      </c>
      <c r="F1798" s="18">
        <f>MONTH(Data!$E1798)</f>
        <v>9</v>
      </c>
      <c r="G1798" s="16">
        <f>YEAR(Data!$E1798)</f>
        <v>2024</v>
      </c>
      <c r="H1798" s="15" t="s">
        <v>35</v>
      </c>
      <c r="I1798" s="15" t="str">
        <f t="shared" si="28"/>
        <v>Doanh nghiệp</v>
      </c>
      <c r="J1798" s="15" t="s">
        <v>1285</v>
      </c>
      <c r="K1798" s="15" t="s">
        <v>1265</v>
      </c>
      <c r="L1798" s="32">
        <f>Data!$D1798/10^6</f>
        <v>753.73789099999999</v>
      </c>
    </row>
    <row r="1799" spans="1:12" x14ac:dyDescent="0.25">
      <c r="A1799" s="29" t="s">
        <v>151</v>
      </c>
      <c r="B1799" s="15" t="s">
        <v>1102</v>
      </c>
      <c r="C1799" s="15" t="s">
        <v>14</v>
      </c>
      <c r="D1799" s="16">
        <v>52272727</v>
      </c>
      <c r="E1799" s="17">
        <v>45536</v>
      </c>
      <c r="F1799" s="18">
        <f>MONTH(Data!$E1799)</f>
        <v>9</v>
      </c>
      <c r="G1799" s="16">
        <f>YEAR(Data!$E1799)</f>
        <v>2024</v>
      </c>
      <c r="H1799" s="15" t="s">
        <v>15</v>
      </c>
      <c r="I1799" s="15" t="str">
        <f t="shared" si="28"/>
        <v>Doanh nghiệp</v>
      </c>
      <c r="J1799" s="15" t="s">
        <v>1284</v>
      </c>
      <c r="K1799" s="15" t="s">
        <v>1264</v>
      </c>
      <c r="L1799" s="32">
        <f>Data!$D1799/10^6</f>
        <v>52.272727000000003</v>
      </c>
    </row>
    <row r="1800" spans="1:12" x14ac:dyDescent="0.25">
      <c r="A1800" s="30" t="s">
        <v>151</v>
      </c>
      <c r="B1800" s="15" t="s">
        <v>1103</v>
      </c>
      <c r="C1800" s="19" t="s">
        <v>14</v>
      </c>
      <c r="D1800" s="16">
        <v>115000000</v>
      </c>
      <c r="E1800" s="17">
        <v>45536</v>
      </c>
      <c r="F1800" s="18">
        <f>MONTH(Data!$E1800)</f>
        <v>9</v>
      </c>
      <c r="G1800" s="16">
        <f>YEAR(Data!$E1800)</f>
        <v>2024</v>
      </c>
      <c r="H1800" s="15" t="s">
        <v>15</v>
      </c>
      <c r="I1800" s="15" t="str">
        <f t="shared" si="28"/>
        <v>Doanh nghiệp</v>
      </c>
      <c r="J1800" s="15" t="s">
        <v>1285</v>
      </c>
      <c r="K1800" s="15" t="s">
        <v>1264</v>
      </c>
      <c r="L1800" s="32">
        <f>Data!$D1800/10^6</f>
        <v>115</v>
      </c>
    </row>
    <row r="1801" spans="1:12" x14ac:dyDescent="0.25">
      <c r="A1801" s="29" t="s">
        <v>100</v>
      </c>
      <c r="B1801" s="15" t="s">
        <v>1108</v>
      </c>
      <c r="C1801" s="18" t="s">
        <v>46</v>
      </c>
      <c r="D1801" s="16">
        <v>1614996632</v>
      </c>
      <c r="E1801" s="17">
        <v>45536</v>
      </c>
      <c r="F1801" s="18">
        <f>MONTH(Data!$E1801)</f>
        <v>9</v>
      </c>
      <c r="G1801" s="16">
        <f>YEAR(Data!$E1801)</f>
        <v>2024</v>
      </c>
      <c r="H1801" s="15" t="s">
        <v>42</v>
      </c>
      <c r="I1801" s="15" t="str">
        <f t="shared" si="28"/>
        <v>Doanh nghiệp</v>
      </c>
      <c r="J1801" s="15" t="s">
        <v>1284</v>
      </c>
      <c r="K1801" s="15" t="s">
        <v>1265</v>
      </c>
      <c r="L1801" s="32">
        <f>Data!$D1801/10^6</f>
        <v>1614.9966320000001</v>
      </c>
    </row>
    <row r="1802" spans="1:12" x14ac:dyDescent="0.25">
      <c r="A1802" s="30" t="s">
        <v>160</v>
      </c>
      <c r="B1802" s="15" t="s">
        <v>1123</v>
      </c>
      <c r="C1802" s="19" t="s">
        <v>46</v>
      </c>
      <c r="D1802" s="16">
        <v>86504545</v>
      </c>
      <c r="E1802" s="17">
        <v>45536</v>
      </c>
      <c r="F1802" s="18">
        <f>MONTH(Data!$E1802)</f>
        <v>9</v>
      </c>
      <c r="G1802" s="16">
        <f>YEAR(Data!$E1802)</f>
        <v>2024</v>
      </c>
      <c r="H1802" s="15" t="s">
        <v>35</v>
      </c>
      <c r="I1802" s="15" t="str">
        <f t="shared" si="28"/>
        <v>Doanh nghiệp</v>
      </c>
      <c r="J1802" s="15" t="s">
        <v>1285</v>
      </c>
      <c r="K1802" s="15" t="s">
        <v>1265</v>
      </c>
      <c r="L1802" s="32">
        <f>Data!$D1802/10^6</f>
        <v>86.504544999999993</v>
      </c>
    </row>
    <row r="1803" spans="1:12" x14ac:dyDescent="0.25">
      <c r="A1803" s="29" t="s">
        <v>23</v>
      </c>
      <c r="B1803" s="15" t="s">
        <v>1036</v>
      </c>
      <c r="C1803" s="15" t="s">
        <v>46</v>
      </c>
      <c r="D1803" s="16">
        <v>36380000</v>
      </c>
      <c r="E1803" s="17">
        <v>45536</v>
      </c>
      <c r="F1803" s="18">
        <f>MONTH(Data!$E1803)</f>
        <v>9</v>
      </c>
      <c r="G1803" s="16">
        <f>YEAR(Data!$E1803)</f>
        <v>2024</v>
      </c>
      <c r="H1803" s="15" t="s">
        <v>25</v>
      </c>
      <c r="I1803" s="15" t="str">
        <f t="shared" si="28"/>
        <v>Doanh nghiệp</v>
      </c>
      <c r="J1803" s="15" t="s">
        <v>1284</v>
      </c>
      <c r="K1803" s="15" t="s">
        <v>1271</v>
      </c>
      <c r="L1803" s="32">
        <f>Data!$D1803/10^6</f>
        <v>36.380000000000003</v>
      </c>
    </row>
    <row r="1804" spans="1:12" x14ac:dyDescent="0.25">
      <c r="A1804" s="29" t="s">
        <v>107</v>
      </c>
      <c r="B1804" s="15" t="s">
        <v>1065</v>
      </c>
      <c r="C1804" s="15" t="s">
        <v>10</v>
      </c>
      <c r="D1804" s="16">
        <v>187414748</v>
      </c>
      <c r="E1804" s="17">
        <v>45536</v>
      </c>
      <c r="F1804" s="18">
        <f>MONTH(Data!$E1804)</f>
        <v>9</v>
      </c>
      <c r="G1804" s="16">
        <f>YEAR(Data!$E1804)</f>
        <v>2024</v>
      </c>
      <c r="H1804" s="15" t="s">
        <v>42</v>
      </c>
      <c r="I1804" s="15" t="str">
        <f t="shared" si="28"/>
        <v>Doanh nghiệp</v>
      </c>
      <c r="J1804" s="15" t="s">
        <v>1285</v>
      </c>
      <c r="K1804" s="15" t="s">
        <v>1263</v>
      </c>
      <c r="L1804" s="32">
        <f>Data!$D1804/10^6</f>
        <v>187.414748</v>
      </c>
    </row>
    <row r="1805" spans="1:12" x14ac:dyDescent="0.25">
      <c r="A1805" s="29" t="s">
        <v>85</v>
      </c>
      <c r="B1805" s="15" t="s">
        <v>1120</v>
      </c>
      <c r="C1805" s="15" t="s">
        <v>46</v>
      </c>
      <c r="D1805" s="16">
        <v>20863636</v>
      </c>
      <c r="E1805" s="17">
        <v>45536</v>
      </c>
      <c r="F1805" s="18">
        <f>MONTH(Data!$E1805)</f>
        <v>9</v>
      </c>
      <c r="G1805" s="16">
        <f>YEAR(Data!$E1805)</f>
        <v>2024</v>
      </c>
      <c r="H1805" s="15" t="s">
        <v>15</v>
      </c>
      <c r="I1805" s="15" t="str">
        <f t="shared" si="28"/>
        <v>Doanh nghiệp</v>
      </c>
      <c r="J1805" s="15" t="s">
        <v>1284</v>
      </c>
      <c r="K1805" s="15" t="s">
        <v>1265</v>
      </c>
      <c r="L1805" s="32">
        <f>Data!$D1805/10^6</f>
        <v>20.863636</v>
      </c>
    </row>
    <row r="1806" spans="1:12" x14ac:dyDescent="0.25">
      <c r="A1806" s="30" t="s">
        <v>85</v>
      </c>
      <c r="B1806" s="15" t="s">
        <v>1121</v>
      </c>
      <c r="C1806" s="19" t="s">
        <v>149</v>
      </c>
      <c r="D1806" s="16">
        <v>19636364</v>
      </c>
      <c r="E1806" s="17">
        <v>45536</v>
      </c>
      <c r="F1806" s="18">
        <f>MONTH(Data!$E1806)</f>
        <v>9</v>
      </c>
      <c r="G1806" s="16">
        <f>YEAR(Data!$E1806)</f>
        <v>2024</v>
      </c>
      <c r="H1806" s="15" t="s">
        <v>15</v>
      </c>
      <c r="I1806" s="15" t="str">
        <f t="shared" si="28"/>
        <v>Doanh nghiệp</v>
      </c>
      <c r="J1806" s="15" t="s">
        <v>1285</v>
      </c>
      <c r="K1806" s="15" t="s">
        <v>1265</v>
      </c>
      <c r="L1806" s="32">
        <f>Data!$D1806/10^6</f>
        <v>19.636364</v>
      </c>
    </row>
    <row r="1807" spans="1:12" x14ac:dyDescent="0.25">
      <c r="A1807" s="29" t="s">
        <v>50</v>
      </c>
      <c r="B1807" s="15" t="s">
        <v>1041</v>
      </c>
      <c r="C1807" s="15" t="s">
        <v>149</v>
      </c>
      <c r="D1807" s="16">
        <v>56869091</v>
      </c>
      <c r="E1807" s="17">
        <v>45536</v>
      </c>
      <c r="F1807" s="18">
        <f>MONTH(Data!$E1807)</f>
        <v>9</v>
      </c>
      <c r="G1807" s="16">
        <f>YEAR(Data!$E1807)</f>
        <v>2024</v>
      </c>
      <c r="H1807" s="15" t="s">
        <v>35</v>
      </c>
      <c r="I1807" s="15" t="str">
        <f t="shared" si="28"/>
        <v>Doanh nghiệp</v>
      </c>
      <c r="J1807" s="15" t="s">
        <v>1284</v>
      </c>
      <c r="K1807" s="15" t="s">
        <v>1263</v>
      </c>
      <c r="L1807" s="32">
        <f>Data!$D1807/10^6</f>
        <v>56.869090999999997</v>
      </c>
    </row>
    <row r="1808" spans="1:12" x14ac:dyDescent="0.25">
      <c r="A1808" s="29" t="s">
        <v>68</v>
      </c>
      <c r="B1808" s="15" t="s">
        <v>1055</v>
      </c>
      <c r="C1808" s="15" t="s">
        <v>10</v>
      </c>
      <c r="D1808" s="16">
        <v>25763000</v>
      </c>
      <c r="E1808" s="17">
        <v>45536</v>
      </c>
      <c r="F1808" s="18">
        <f>MONTH(Data!$E1808)</f>
        <v>9</v>
      </c>
      <c r="G1808" s="16">
        <f>YEAR(Data!$E1808)</f>
        <v>2024</v>
      </c>
      <c r="H1808" s="15" t="s">
        <v>22</v>
      </c>
      <c r="I1808" s="15" t="str">
        <f t="shared" si="28"/>
        <v>Doanh nghiệp</v>
      </c>
      <c r="J1808" s="15" t="s">
        <v>1285</v>
      </c>
      <c r="K1808" s="15" t="s">
        <v>1262</v>
      </c>
      <c r="L1808" s="32">
        <f>Data!$D1808/10^6</f>
        <v>25.763000000000002</v>
      </c>
    </row>
    <row r="1809" spans="1:12" x14ac:dyDescent="0.25">
      <c r="A1809" s="30" t="s">
        <v>51</v>
      </c>
      <c r="B1809" s="15" t="s">
        <v>1084</v>
      </c>
      <c r="C1809" s="19" t="s">
        <v>14</v>
      </c>
      <c r="D1809" s="16">
        <v>58534815</v>
      </c>
      <c r="E1809" s="17">
        <v>45536</v>
      </c>
      <c r="F1809" s="18">
        <f>MONTH(Data!$E1809)</f>
        <v>9</v>
      </c>
      <c r="G1809" s="16">
        <f>YEAR(Data!$E1809)</f>
        <v>2024</v>
      </c>
      <c r="H1809" s="15" t="s">
        <v>42</v>
      </c>
      <c r="I1809" s="15" t="str">
        <f t="shared" si="28"/>
        <v>Doanh nghiệp</v>
      </c>
      <c r="J1809" s="15" t="s">
        <v>1284</v>
      </c>
      <c r="K1809" s="15" t="s">
        <v>1266</v>
      </c>
      <c r="L1809" s="32">
        <f>Data!$D1809/10^6</f>
        <v>58.534815000000002</v>
      </c>
    </row>
    <row r="1810" spans="1:12" x14ac:dyDescent="0.25">
      <c r="A1810" s="29" t="s">
        <v>51</v>
      </c>
      <c r="B1810" s="15" t="s">
        <v>1081</v>
      </c>
      <c r="C1810" s="15" t="s">
        <v>10</v>
      </c>
      <c r="D1810" s="16">
        <v>29626545</v>
      </c>
      <c r="E1810" s="17">
        <v>45536</v>
      </c>
      <c r="F1810" s="18">
        <f>MONTH(Data!$E1810)</f>
        <v>9</v>
      </c>
      <c r="G1810" s="16">
        <f>YEAR(Data!$E1810)</f>
        <v>2024</v>
      </c>
      <c r="H1810" s="15" t="s">
        <v>42</v>
      </c>
      <c r="I1810" s="15" t="str">
        <f t="shared" si="28"/>
        <v>Doanh nghiệp</v>
      </c>
      <c r="J1810" s="15" t="s">
        <v>1285</v>
      </c>
      <c r="K1810" s="15" t="s">
        <v>1262</v>
      </c>
      <c r="L1810" s="32">
        <f>Data!$D1810/10^6</f>
        <v>29.626545</v>
      </c>
    </row>
    <row r="1811" spans="1:12" x14ac:dyDescent="0.25">
      <c r="A1811" s="29" t="s">
        <v>21</v>
      </c>
      <c r="B1811" s="15" t="s">
        <v>1037</v>
      </c>
      <c r="C1811" s="15" t="s">
        <v>46</v>
      </c>
      <c r="D1811" s="16">
        <v>565447636</v>
      </c>
      <c r="E1811" s="17">
        <v>45536</v>
      </c>
      <c r="F1811" s="18">
        <f>MONTH(Data!$E1811)</f>
        <v>9</v>
      </c>
      <c r="G1811" s="16">
        <f>YEAR(Data!$E1811)</f>
        <v>2024</v>
      </c>
      <c r="H1811" s="15" t="s">
        <v>22</v>
      </c>
      <c r="I1811" s="15" t="str">
        <f t="shared" si="28"/>
        <v>Doanh nghiệp</v>
      </c>
      <c r="J1811" s="15" t="s">
        <v>1284</v>
      </c>
      <c r="K1811" s="15" t="s">
        <v>1265</v>
      </c>
      <c r="L1811" s="32">
        <f>Data!$D1811/10^6</f>
        <v>565.44763599999999</v>
      </c>
    </row>
    <row r="1812" spans="1:12" x14ac:dyDescent="0.25">
      <c r="A1812" s="29" t="s">
        <v>51</v>
      </c>
      <c r="B1812" s="15" t="s">
        <v>1063</v>
      </c>
      <c r="C1812" s="18" t="s">
        <v>14</v>
      </c>
      <c r="D1812" s="16">
        <v>63454545</v>
      </c>
      <c r="E1812" s="17">
        <v>45536</v>
      </c>
      <c r="F1812" s="18">
        <f>MONTH(Data!$E1812)</f>
        <v>9</v>
      </c>
      <c r="G1812" s="16">
        <f>YEAR(Data!$E1812)</f>
        <v>2024</v>
      </c>
      <c r="H1812" s="15" t="s">
        <v>42</v>
      </c>
      <c r="I1812" s="15" t="str">
        <f t="shared" si="28"/>
        <v>Doanh nghiệp</v>
      </c>
      <c r="J1812" s="15" t="s">
        <v>1285</v>
      </c>
      <c r="K1812" s="15" t="s">
        <v>1264</v>
      </c>
      <c r="L1812" s="32">
        <f>Data!$D1812/10^6</f>
        <v>63.454545000000003</v>
      </c>
    </row>
    <row r="1813" spans="1:12" x14ac:dyDescent="0.25">
      <c r="A1813" s="29" t="s">
        <v>23</v>
      </c>
      <c r="B1813" s="15" t="s">
        <v>1117</v>
      </c>
      <c r="C1813" s="15" t="s">
        <v>46</v>
      </c>
      <c r="D1813" s="16">
        <v>79015455</v>
      </c>
      <c r="E1813" s="17">
        <v>45536</v>
      </c>
      <c r="F1813" s="18">
        <f>MONTH(Data!$E1813)</f>
        <v>9</v>
      </c>
      <c r="G1813" s="16">
        <f>YEAR(Data!$E1813)</f>
        <v>2024</v>
      </c>
      <c r="H1813" s="15" t="s">
        <v>25</v>
      </c>
      <c r="I1813" s="15" t="str">
        <f t="shared" si="28"/>
        <v>Doanh nghiệp</v>
      </c>
      <c r="J1813" s="15" t="s">
        <v>1284</v>
      </c>
      <c r="K1813" s="15" t="s">
        <v>1265</v>
      </c>
      <c r="L1813" s="32">
        <f>Data!$D1813/10^6</f>
        <v>79.015455000000003</v>
      </c>
    </row>
    <row r="1814" spans="1:12" x14ac:dyDescent="0.25">
      <c r="A1814" s="29" t="s">
        <v>102</v>
      </c>
      <c r="B1814" s="15" t="s">
        <v>1029</v>
      </c>
      <c r="C1814" s="15" t="s">
        <v>10</v>
      </c>
      <c r="D1814" s="16">
        <v>22564000</v>
      </c>
      <c r="E1814" s="17">
        <v>45536</v>
      </c>
      <c r="F1814" s="18">
        <f>MONTH(Data!$E1814)</f>
        <v>9</v>
      </c>
      <c r="G1814" s="16">
        <f>YEAR(Data!$E1814)</f>
        <v>2024</v>
      </c>
      <c r="H1814" s="15" t="s">
        <v>22</v>
      </c>
      <c r="I1814" s="15" t="str">
        <f t="shared" si="28"/>
        <v>Doanh nghiệp</v>
      </c>
      <c r="J1814" s="15" t="s">
        <v>1285</v>
      </c>
      <c r="K1814" s="15" t="s">
        <v>1263</v>
      </c>
      <c r="L1814" s="32">
        <f>Data!$D1814/10^6</f>
        <v>22.564</v>
      </c>
    </row>
    <row r="1815" spans="1:12" x14ac:dyDescent="0.25">
      <c r="A1815" s="29" t="s">
        <v>218</v>
      </c>
      <c r="B1815" s="15" t="s">
        <v>1071</v>
      </c>
      <c r="C1815" s="15" t="s">
        <v>10</v>
      </c>
      <c r="D1815" s="16">
        <v>80420000</v>
      </c>
      <c r="E1815" s="17">
        <v>45536</v>
      </c>
      <c r="F1815" s="18">
        <f>MONTH(Data!$E1815)</f>
        <v>9</v>
      </c>
      <c r="G1815" s="16">
        <f>YEAR(Data!$E1815)</f>
        <v>2024</v>
      </c>
      <c r="H1815" s="15" t="s">
        <v>15</v>
      </c>
      <c r="I1815" s="15" t="str">
        <f t="shared" si="28"/>
        <v>Doanh nghiệp</v>
      </c>
      <c r="J1815" s="15" t="s">
        <v>1284</v>
      </c>
      <c r="K1815" s="15" t="s">
        <v>1263</v>
      </c>
      <c r="L1815" s="32">
        <f>Data!$D1815/10^6</f>
        <v>80.42</v>
      </c>
    </row>
    <row r="1816" spans="1:12" x14ac:dyDescent="0.25">
      <c r="A1816" s="29" t="s">
        <v>62</v>
      </c>
      <c r="B1816" s="15" t="s">
        <v>1084</v>
      </c>
      <c r="C1816" s="15" t="s">
        <v>46</v>
      </c>
      <c r="D1816" s="16">
        <v>243291805</v>
      </c>
      <c r="E1816" s="17">
        <v>45536</v>
      </c>
      <c r="F1816" s="18">
        <f>MONTH(Data!$E1816)</f>
        <v>9</v>
      </c>
      <c r="G1816" s="16">
        <f>YEAR(Data!$E1816)</f>
        <v>2024</v>
      </c>
      <c r="H1816" s="15" t="s">
        <v>15</v>
      </c>
      <c r="I1816" s="15" t="str">
        <f t="shared" si="28"/>
        <v>Doanh nghiệp</v>
      </c>
      <c r="J1816" s="15" t="s">
        <v>1285</v>
      </c>
      <c r="K1816" s="15" t="s">
        <v>1265</v>
      </c>
      <c r="L1816" s="32">
        <f>Data!$D1816/10^6</f>
        <v>243.29180500000001</v>
      </c>
    </row>
    <row r="1817" spans="1:12" x14ac:dyDescent="0.25">
      <c r="A1817" s="29" t="s">
        <v>51</v>
      </c>
      <c r="B1817" s="15" t="s">
        <v>1087</v>
      </c>
      <c r="C1817" s="15" t="s">
        <v>149</v>
      </c>
      <c r="D1817" s="16">
        <v>6970909</v>
      </c>
      <c r="E1817" s="17">
        <v>45536</v>
      </c>
      <c r="F1817" s="18">
        <f>MONTH(Data!$E1817)</f>
        <v>9</v>
      </c>
      <c r="G1817" s="16">
        <f>YEAR(Data!$E1817)</f>
        <v>2024</v>
      </c>
      <c r="H1817" s="15" t="s">
        <v>42</v>
      </c>
      <c r="I1817" s="15" t="str">
        <f t="shared" si="28"/>
        <v>Doanh nghiệp</v>
      </c>
      <c r="J1817" s="15" t="s">
        <v>1284</v>
      </c>
      <c r="K1817" s="15" t="s">
        <v>1265</v>
      </c>
      <c r="L1817" s="32">
        <f>Data!$D1817/10^6</f>
        <v>6.9709089999999998</v>
      </c>
    </row>
    <row r="1818" spans="1:12" x14ac:dyDescent="0.25">
      <c r="A1818" s="29" t="s">
        <v>47</v>
      </c>
      <c r="B1818" s="15" t="s">
        <v>1102</v>
      </c>
      <c r="C1818" s="15" t="s">
        <v>10</v>
      </c>
      <c r="D1818" s="16">
        <v>108195818</v>
      </c>
      <c r="E1818" s="17">
        <v>45536</v>
      </c>
      <c r="F1818" s="18">
        <f>MONTH(Data!$E1818)</f>
        <v>9</v>
      </c>
      <c r="G1818" s="16">
        <f>YEAR(Data!$E1818)</f>
        <v>2024</v>
      </c>
      <c r="H1818" s="15" t="s">
        <v>29</v>
      </c>
      <c r="I1818" s="15" t="str">
        <f t="shared" si="28"/>
        <v>Doanh nghiệp</v>
      </c>
      <c r="J1818" s="15" t="s">
        <v>1285</v>
      </c>
      <c r="K1818" s="15" t="s">
        <v>1263</v>
      </c>
      <c r="L1818" s="32">
        <f>Data!$D1818/10^6</f>
        <v>108.195818</v>
      </c>
    </row>
    <row r="1819" spans="1:12" x14ac:dyDescent="0.25">
      <c r="A1819" s="30" t="s">
        <v>47</v>
      </c>
      <c r="B1819" s="15" t="s">
        <v>1103</v>
      </c>
      <c r="C1819" s="19" t="s">
        <v>41</v>
      </c>
      <c r="D1819" s="16">
        <v>649359000</v>
      </c>
      <c r="E1819" s="17">
        <v>45536</v>
      </c>
      <c r="F1819" s="18">
        <f>MONTH(Data!$E1819)</f>
        <v>9</v>
      </c>
      <c r="G1819" s="16">
        <f>YEAR(Data!$E1819)</f>
        <v>2024</v>
      </c>
      <c r="H1819" s="15" t="s">
        <v>29</v>
      </c>
      <c r="I1819" s="15" t="str">
        <f t="shared" si="28"/>
        <v>Doanh nghiệp</v>
      </c>
      <c r="J1819" s="15" t="s">
        <v>1284</v>
      </c>
      <c r="K1819" s="15" t="s">
        <v>1269</v>
      </c>
      <c r="L1819" s="32">
        <f>Data!$D1819/10^6</f>
        <v>649.35900000000004</v>
      </c>
    </row>
    <row r="1820" spans="1:12" x14ac:dyDescent="0.25">
      <c r="A1820" s="29" t="s">
        <v>128</v>
      </c>
      <c r="B1820" s="15" t="s">
        <v>1033</v>
      </c>
      <c r="C1820" s="15" t="s">
        <v>46</v>
      </c>
      <c r="D1820" s="16">
        <v>487777582</v>
      </c>
      <c r="E1820" s="17">
        <v>45536</v>
      </c>
      <c r="F1820" s="18">
        <f>MONTH(Data!$E1820)</f>
        <v>9</v>
      </c>
      <c r="G1820" s="16">
        <f>YEAR(Data!$E1820)</f>
        <v>2024</v>
      </c>
      <c r="H1820" s="15" t="s">
        <v>42</v>
      </c>
      <c r="I1820" s="15" t="str">
        <f t="shared" si="28"/>
        <v>Doanh nghiệp</v>
      </c>
      <c r="J1820" s="15" t="s">
        <v>1285</v>
      </c>
      <c r="K1820" s="15" t="s">
        <v>1265</v>
      </c>
      <c r="L1820" s="32">
        <f>Data!$D1820/10^6</f>
        <v>487.777582</v>
      </c>
    </row>
    <row r="1821" spans="1:12" x14ac:dyDescent="0.25">
      <c r="A1821" s="29" t="s">
        <v>21</v>
      </c>
      <c r="B1821" s="15" t="s">
        <v>1041</v>
      </c>
      <c r="C1821" s="18" t="s">
        <v>10</v>
      </c>
      <c r="D1821" s="16">
        <v>10971818</v>
      </c>
      <c r="E1821" s="17">
        <v>45536</v>
      </c>
      <c r="F1821" s="18">
        <f>MONTH(Data!$E1821)</f>
        <v>9</v>
      </c>
      <c r="G1821" s="16">
        <f>YEAR(Data!$E1821)</f>
        <v>2024</v>
      </c>
      <c r="H1821" s="15" t="s">
        <v>22</v>
      </c>
      <c r="I1821" s="15" t="str">
        <f t="shared" si="28"/>
        <v>Doanh nghiệp</v>
      </c>
      <c r="J1821" s="15" t="s">
        <v>1284</v>
      </c>
      <c r="K1821" s="15" t="s">
        <v>1262</v>
      </c>
      <c r="L1821" s="32">
        <f>Data!$D1821/10^6</f>
        <v>10.971818000000001</v>
      </c>
    </row>
    <row r="1822" spans="1:12" x14ac:dyDescent="0.25">
      <c r="A1822" s="29" t="s">
        <v>128</v>
      </c>
      <c r="B1822" s="15" t="s">
        <v>1076</v>
      </c>
      <c r="C1822" s="15" t="s">
        <v>10</v>
      </c>
      <c r="D1822" s="16">
        <v>31370000</v>
      </c>
      <c r="E1822" s="17">
        <v>45536</v>
      </c>
      <c r="F1822" s="18">
        <f>MONTH(Data!$E1822)</f>
        <v>9</v>
      </c>
      <c r="G1822" s="16">
        <f>YEAR(Data!$E1822)</f>
        <v>2024</v>
      </c>
      <c r="H1822" s="15" t="s">
        <v>42</v>
      </c>
      <c r="I1822" s="15" t="str">
        <f t="shared" si="28"/>
        <v>Doanh nghiệp</v>
      </c>
      <c r="J1822" s="15" t="s">
        <v>1285</v>
      </c>
      <c r="K1822" s="15" t="s">
        <v>1263</v>
      </c>
      <c r="L1822" s="32">
        <f>Data!$D1822/10^6</f>
        <v>31.37</v>
      </c>
    </row>
    <row r="1823" spans="1:12" x14ac:dyDescent="0.25">
      <c r="A1823" s="29" t="s">
        <v>30</v>
      </c>
      <c r="B1823" s="15" t="s">
        <v>1091</v>
      </c>
      <c r="C1823" s="15" t="s">
        <v>46</v>
      </c>
      <c r="D1823" s="16">
        <v>350578784</v>
      </c>
      <c r="E1823" s="17">
        <v>45536</v>
      </c>
      <c r="F1823" s="18">
        <f>MONTH(Data!$E1823)</f>
        <v>9</v>
      </c>
      <c r="G1823" s="16">
        <f>YEAR(Data!$E1823)</f>
        <v>2024</v>
      </c>
      <c r="H1823" s="15" t="s">
        <v>32</v>
      </c>
      <c r="I1823" s="15" t="str">
        <f t="shared" si="28"/>
        <v>Doanh nghiệp</v>
      </c>
      <c r="J1823" s="15" t="s">
        <v>1284</v>
      </c>
      <c r="K1823" s="15" t="s">
        <v>1265</v>
      </c>
      <c r="L1823" s="32">
        <f>Data!$D1823/10^6</f>
        <v>350.57878399999998</v>
      </c>
    </row>
    <row r="1824" spans="1:12" x14ac:dyDescent="0.25">
      <c r="A1824" s="29" t="s">
        <v>116</v>
      </c>
      <c r="B1824" s="15" t="s">
        <v>1094</v>
      </c>
      <c r="C1824" s="15" t="s">
        <v>46</v>
      </c>
      <c r="D1824" s="16">
        <v>268533378</v>
      </c>
      <c r="E1824" s="17">
        <v>45536</v>
      </c>
      <c r="F1824" s="18">
        <f>MONTH(Data!$E1824)</f>
        <v>9</v>
      </c>
      <c r="G1824" s="16">
        <f>YEAR(Data!$E1824)</f>
        <v>2024</v>
      </c>
      <c r="H1824" s="15" t="s">
        <v>15</v>
      </c>
      <c r="I1824" s="15" t="str">
        <f t="shared" si="28"/>
        <v>Doanh nghiệp</v>
      </c>
      <c r="J1824" s="15" t="s">
        <v>1285</v>
      </c>
      <c r="K1824" s="15" t="s">
        <v>1265</v>
      </c>
      <c r="L1824" s="32">
        <f>Data!$D1824/10^6</f>
        <v>268.53337800000003</v>
      </c>
    </row>
    <row r="1825" spans="1:12" x14ac:dyDescent="0.25">
      <c r="A1825" s="30" t="s">
        <v>191</v>
      </c>
      <c r="B1825" s="15" t="s">
        <v>1095</v>
      </c>
      <c r="C1825" s="19" t="s">
        <v>46</v>
      </c>
      <c r="D1825" s="16">
        <v>136252974</v>
      </c>
      <c r="E1825" s="17">
        <v>45536</v>
      </c>
      <c r="F1825" s="18">
        <f>MONTH(Data!$E1825)</f>
        <v>9</v>
      </c>
      <c r="G1825" s="16">
        <f>YEAR(Data!$E1825)</f>
        <v>2024</v>
      </c>
      <c r="H1825" s="15" t="s">
        <v>35</v>
      </c>
      <c r="I1825" s="15" t="str">
        <f t="shared" si="28"/>
        <v>Doanh nghiệp</v>
      </c>
      <c r="J1825" s="15" t="s">
        <v>1284</v>
      </c>
      <c r="K1825" s="15" t="s">
        <v>1265</v>
      </c>
      <c r="L1825" s="32">
        <f>Data!$D1825/10^6</f>
        <v>136.25297399999999</v>
      </c>
    </row>
    <row r="1826" spans="1:12" x14ac:dyDescent="0.25">
      <c r="A1826" s="29" t="s">
        <v>51</v>
      </c>
      <c r="B1826" s="15" t="s">
        <v>1108</v>
      </c>
      <c r="C1826" s="15" t="s">
        <v>10</v>
      </c>
      <c r="D1826" s="16">
        <v>39523182</v>
      </c>
      <c r="E1826" s="17">
        <v>45536</v>
      </c>
      <c r="F1826" s="18">
        <f>MONTH(Data!$E1826)</f>
        <v>9</v>
      </c>
      <c r="G1826" s="16">
        <f>YEAR(Data!$E1826)</f>
        <v>2024</v>
      </c>
      <c r="H1826" s="15" t="s">
        <v>42</v>
      </c>
      <c r="I1826" s="15" t="str">
        <f t="shared" si="28"/>
        <v>Doanh nghiệp</v>
      </c>
      <c r="J1826" s="15" t="s">
        <v>1285</v>
      </c>
      <c r="K1826" s="15" t="s">
        <v>1263</v>
      </c>
      <c r="L1826" s="32">
        <f>Data!$D1826/10^6</f>
        <v>39.523181999999998</v>
      </c>
    </row>
    <row r="1827" spans="1:12" x14ac:dyDescent="0.25">
      <c r="A1827" s="30" t="s">
        <v>75</v>
      </c>
      <c r="B1827" s="15" t="s">
        <v>1031</v>
      </c>
      <c r="C1827" s="19" t="s">
        <v>149</v>
      </c>
      <c r="D1827" s="16">
        <v>428727273</v>
      </c>
      <c r="E1827" s="17">
        <v>45536</v>
      </c>
      <c r="F1827" s="18">
        <f>MONTH(Data!$E1827)</f>
        <v>9</v>
      </c>
      <c r="G1827" s="16">
        <f>YEAR(Data!$E1827)</f>
        <v>2024</v>
      </c>
      <c r="H1827" s="15" t="s">
        <v>15</v>
      </c>
      <c r="I1827" s="15" t="str">
        <f t="shared" si="28"/>
        <v>Doanh nghiệp</v>
      </c>
      <c r="J1827" s="15" t="s">
        <v>1284</v>
      </c>
      <c r="K1827" s="15" t="s">
        <v>1265</v>
      </c>
      <c r="L1827" s="32">
        <f>Data!$D1827/10^6</f>
        <v>428.72727300000003</v>
      </c>
    </row>
    <row r="1828" spans="1:12" x14ac:dyDescent="0.25">
      <c r="A1828" s="30" t="s">
        <v>52</v>
      </c>
      <c r="B1828" s="15" t="s">
        <v>1113</v>
      </c>
      <c r="C1828" s="19" t="s">
        <v>10</v>
      </c>
      <c r="D1828" s="16">
        <v>144751818</v>
      </c>
      <c r="E1828" s="17">
        <v>45536</v>
      </c>
      <c r="F1828" s="18">
        <f>MONTH(Data!$E1828)</f>
        <v>9</v>
      </c>
      <c r="G1828" s="16">
        <f>YEAR(Data!$E1828)</f>
        <v>2024</v>
      </c>
      <c r="H1828" s="15" t="s">
        <v>35</v>
      </c>
      <c r="I1828" s="15" t="str">
        <f t="shared" si="28"/>
        <v>Doanh nghiệp</v>
      </c>
      <c r="J1828" s="15" t="s">
        <v>1285</v>
      </c>
      <c r="K1828" s="15" t="s">
        <v>1267</v>
      </c>
      <c r="L1828" s="32">
        <f>Data!$D1828/10^6</f>
        <v>144.75181799999999</v>
      </c>
    </row>
    <row r="1829" spans="1:12" x14ac:dyDescent="0.25">
      <c r="A1829" s="29" t="s">
        <v>78</v>
      </c>
      <c r="B1829" s="15" t="s">
        <v>1118</v>
      </c>
      <c r="C1829" s="15" t="s">
        <v>10</v>
      </c>
      <c r="D1829" s="16">
        <v>46800247</v>
      </c>
      <c r="E1829" s="17">
        <v>45536</v>
      </c>
      <c r="F1829" s="18">
        <f>MONTH(Data!$E1829)</f>
        <v>9</v>
      </c>
      <c r="G1829" s="16">
        <f>YEAR(Data!$E1829)</f>
        <v>2024</v>
      </c>
      <c r="H1829" s="15" t="s">
        <v>15</v>
      </c>
      <c r="I1829" s="15" t="str">
        <f t="shared" si="28"/>
        <v>Doanh nghiệp</v>
      </c>
      <c r="J1829" s="15" t="s">
        <v>1284</v>
      </c>
      <c r="K1829" s="15" t="s">
        <v>1263</v>
      </c>
      <c r="L1829" s="32">
        <f>Data!$D1829/10^6</f>
        <v>46.800246999999999</v>
      </c>
    </row>
    <row r="1830" spans="1:12" x14ac:dyDescent="0.25">
      <c r="A1830" s="30" t="s">
        <v>191</v>
      </c>
      <c r="B1830" s="15" t="s">
        <v>1028</v>
      </c>
      <c r="C1830" s="19" t="s">
        <v>10</v>
      </c>
      <c r="D1830" s="16">
        <v>613464340</v>
      </c>
      <c r="E1830" s="17">
        <v>45536</v>
      </c>
      <c r="F1830" s="18">
        <f>MONTH(Data!$E1830)</f>
        <v>9</v>
      </c>
      <c r="G1830" s="16">
        <f>YEAR(Data!$E1830)</f>
        <v>2024</v>
      </c>
      <c r="H1830" s="15" t="s">
        <v>35</v>
      </c>
      <c r="I1830" s="15" t="str">
        <f t="shared" si="28"/>
        <v>Doanh nghiệp</v>
      </c>
      <c r="J1830" s="15" t="s">
        <v>1285</v>
      </c>
      <c r="K1830" s="15" t="s">
        <v>1263</v>
      </c>
      <c r="L1830" s="32">
        <f>Data!$D1830/10^6</f>
        <v>613.46433999999999</v>
      </c>
    </row>
    <row r="1831" spans="1:12" x14ac:dyDescent="0.25">
      <c r="A1831" s="30" t="s">
        <v>119</v>
      </c>
      <c r="B1831" s="15" t="s">
        <v>1038</v>
      </c>
      <c r="C1831" s="19" t="s">
        <v>46</v>
      </c>
      <c r="D1831" s="16">
        <v>1052559782</v>
      </c>
      <c r="E1831" s="17">
        <v>45536</v>
      </c>
      <c r="F1831" s="18">
        <f>MONTH(Data!$E1831)</f>
        <v>9</v>
      </c>
      <c r="G1831" s="16">
        <f>YEAR(Data!$E1831)</f>
        <v>2024</v>
      </c>
      <c r="H1831" s="15" t="s">
        <v>35</v>
      </c>
      <c r="I1831" s="15" t="str">
        <f t="shared" si="28"/>
        <v>Doanh nghiệp</v>
      </c>
      <c r="J1831" s="15" t="s">
        <v>1284</v>
      </c>
      <c r="K1831" s="15" t="s">
        <v>1265</v>
      </c>
      <c r="L1831" s="32">
        <f>Data!$D1831/10^6</f>
        <v>1052.559782</v>
      </c>
    </row>
    <row r="1832" spans="1:12" x14ac:dyDescent="0.25">
      <c r="A1832" s="29" t="s">
        <v>21</v>
      </c>
      <c r="B1832" s="15" t="s">
        <v>1049</v>
      </c>
      <c r="C1832" s="15" t="s">
        <v>14</v>
      </c>
      <c r="D1832" s="16">
        <v>84900000</v>
      </c>
      <c r="E1832" s="17">
        <v>45536</v>
      </c>
      <c r="F1832" s="18">
        <f>MONTH(Data!$E1832)</f>
        <v>9</v>
      </c>
      <c r="G1832" s="16">
        <f>YEAR(Data!$E1832)</f>
        <v>2024</v>
      </c>
      <c r="H1832" s="15" t="s">
        <v>22</v>
      </c>
      <c r="I1832" s="15" t="str">
        <f t="shared" si="28"/>
        <v>Doanh nghiệp</v>
      </c>
      <c r="J1832" s="15" t="s">
        <v>1285</v>
      </c>
      <c r="K1832" s="15" t="s">
        <v>1264</v>
      </c>
      <c r="L1832" s="32">
        <f>Data!$D1832/10^6</f>
        <v>84.9</v>
      </c>
    </row>
    <row r="1833" spans="1:12" x14ac:dyDescent="0.25">
      <c r="A1833" s="29" t="s">
        <v>116</v>
      </c>
      <c r="B1833" s="15" t="s">
        <v>1069</v>
      </c>
      <c r="C1833" s="18" t="s">
        <v>10</v>
      </c>
      <c r="D1833" s="16">
        <v>37300000</v>
      </c>
      <c r="E1833" s="17">
        <v>45536</v>
      </c>
      <c r="F1833" s="18">
        <f>MONTH(Data!$E1833)</f>
        <v>9</v>
      </c>
      <c r="G1833" s="16">
        <f>YEAR(Data!$E1833)</f>
        <v>2024</v>
      </c>
      <c r="H1833" s="15" t="s">
        <v>15</v>
      </c>
      <c r="I1833" s="15" t="str">
        <f t="shared" si="28"/>
        <v>Doanh nghiệp</v>
      </c>
      <c r="J1833" s="15" t="s">
        <v>1284</v>
      </c>
      <c r="K1833" s="15" t="s">
        <v>1263</v>
      </c>
      <c r="L1833" s="32">
        <f>Data!$D1833/10^6</f>
        <v>37.299999999999997</v>
      </c>
    </row>
    <row r="1834" spans="1:12" x14ac:dyDescent="0.25">
      <c r="A1834" s="30" t="s">
        <v>85</v>
      </c>
      <c r="B1834" s="15" t="s">
        <v>1077</v>
      </c>
      <c r="C1834" s="19" t="s">
        <v>14</v>
      </c>
      <c r="D1834" s="16">
        <v>30160300</v>
      </c>
      <c r="E1834" s="17">
        <v>45536</v>
      </c>
      <c r="F1834" s="18">
        <f>MONTH(Data!$E1834)</f>
        <v>9</v>
      </c>
      <c r="G1834" s="16">
        <f>YEAR(Data!$E1834)</f>
        <v>2024</v>
      </c>
      <c r="H1834" s="15" t="s">
        <v>15</v>
      </c>
      <c r="I1834" s="15" t="str">
        <f t="shared" si="28"/>
        <v>Doanh nghiệp</v>
      </c>
      <c r="J1834" s="15" t="s">
        <v>1285</v>
      </c>
      <c r="K1834" s="15" t="s">
        <v>1273</v>
      </c>
      <c r="L1834" s="32">
        <f>Data!$D1834/10^6</f>
        <v>30.160299999999999</v>
      </c>
    </row>
    <row r="1835" spans="1:12" x14ac:dyDescent="0.25">
      <c r="A1835" s="30" t="s">
        <v>85</v>
      </c>
      <c r="B1835" s="15" t="s">
        <v>1078</v>
      </c>
      <c r="C1835" s="19" t="s">
        <v>10</v>
      </c>
      <c r="D1835" s="16">
        <v>28155000</v>
      </c>
      <c r="E1835" s="17">
        <v>45536</v>
      </c>
      <c r="F1835" s="18">
        <f>MONTH(Data!$E1835)</f>
        <v>9</v>
      </c>
      <c r="G1835" s="16">
        <f>YEAR(Data!$E1835)</f>
        <v>2024</v>
      </c>
      <c r="H1835" s="15" t="s">
        <v>15</v>
      </c>
      <c r="I1835" s="15" t="str">
        <f t="shared" si="28"/>
        <v>Doanh nghiệp</v>
      </c>
      <c r="J1835" s="15" t="s">
        <v>1284</v>
      </c>
      <c r="K1835" s="15" t="s">
        <v>1263</v>
      </c>
      <c r="L1835" s="32">
        <f>Data!$D1835/10^6</f>
        <v>28.155000000000001</v>
      </c>
    </row>
    <row r="1836" spans="1:12" x14ac:dyDescent="0.25">
      <c r="A1836" s="30" t="s">
        <v>85</v>
      </c>
      <c r="B1836" s="15" t="s">
        <v>1079</v>
      </c>
      <c r="C1836" s="19" t="s">
        <v>10</v>
      </c>
      <c r="D1836" s="16">
        <v>30160300</v>
      </c>
      <c r="E1836" s="17">
        <v>45536</v>
      </c>
      <c r="F1836" s="18">
        <f>MONTH(Data!$E1836)</f>
        <v>9</v>
      </c>
      <c r="G1836" s="16">
        <f>YEAR(Data!$E1836)</f>
        <v>2024</v>
      </c>
      <c r="H1836" s="15" t="s">
        <v>15</v>
      </c>
      <c r="I1836" s="15" t="str">
        <f t="shared" si="28"/>
        <v>Doanh nghiệp</v>
      </c>
      <c r="J1836" s="15" t="s">
        <v>1285</v>
      </c>
      <c r="K1836" s="15" t="s">
        <v>1263</v>
      </c>
      <c r="L1836" s="32">
        <f>Data!$D1836/10^6</f>
        <v>30.160299999999999</v>
      </c>
    </row>
    <row r="1837" spans="1:12" x14ac:dyDescent="0.25">
      <c r="A1837" s="30" t="s">
        <v>48</v>
      </c>
      <c r="B1837" s="15" t="s">
        <v>1119</v>
      </c>
      <c r="C1837" s="19" t="s">
        <v>10</v>
      </c>
      <c r="D1837" s="16">
        <v>31191636</v>
      </c>
      <c r="E1837" s="17">
        <v>45536</v>
      </c>
      <c r="F1837" s="18">
        <f>MONTH(Data!$E1837)</f>
        <v>9</v>
      </c>
      <c r="G1837" s="16">
        <f>YEAR(Data!$E1837)</f>
        <v>2024</v>
      </c>
      <c r="H1837" s="15" t="s">
        <v>25</v>
      </c>
      <c r="I1837" s="15" t="str">
        <f t="shared" si="28"/>
        <v>Doanh nghiệp</v>
      </c>
      <c r="J1837" s="15" t="s">
        <v>1284</v>
      </c>
      <c r="K1837" s="15" t="s">
        <v>1262</v>
      </c>
      <c r="L1837" s="32">
        <f>Data!$D1837/10^6</f>
        <v>31.191635999999999</v>
      </c>
    </row>
    <row r="1838" spans="1:12" x14ac:dyDescent="0.25">
      <c r="A1838" s="29" t="s">
        <v>50</v>
      </c>
      <c r="B1838" s="15" t="s">
        <v>1117</v>
      </c>
      <c r="C1838" s="15" t="s">
        <v>149</v>
      </c>
      <c r="D1838" s="16">
        <v>67618182</v>
      </c>
      <c r="E1838" s="17">
        <v>45536</v>
      </c>
      <c r="F1838" s="18">
        <f>MONTH(Data!$E1838)</f>
        <v>9</v>
      </c>
      <c r="G1838" s="16">
        <f>YEAR(Data!$E1838)</f>
        <v>2024</v>
      </c>
      <c r="H1838" s="15" t="s">
        <v>35</v>
      </c>
      <c r="I1838" s="15" t="str">
        <f t="shared" si="28"/>
        <v>Doanh nghiệp</v>
      </c>
      <c r="J1838" s="15" t="s">
        <v>1285</v>
      </c>
      <c r="K1838" s="15" t="s">
        <v>1264</v>
      </c>
      <c r="L1838" s="32">
        <f>Data!$D1838/10^6</f>
        <v>67.618182000000004</v>
      </c>
    </row>
    <row r="1839" spans="1:12" x14ac:dyDescent="0.25">
      <c r="A1839" s="29" t="s">
        <v>85</v>
      </c>
      <c r="B1839" s="15" t="s">
        <v>1110</v>
      </c>
      <c r="C1839" s="18" t="s">
        <v>10</v>
      </c>
      <c r="D1839" s="16">
        <v>134999998</v>
      </c>
      <c r="E1839" s="17">
        <v>45536</v>
      </c>
      <c r="F1839" s="18">
        <f>MONTH(Data!$E1839)</f>
        <v>9</v>
      </c>
      <c r="G1839" s="16">
        <f>YEAR(Data!$E1839)</f>
        <v>2024</v>
      </c>
      <c r="H1839" s="15" t="s">
        <v>15</v>
      </c>
      <c r="I1839" s="15" t="str">
        <f t="shared" si="28"/>
        <v>Doanh nghiệp</v>
      </c>
      <c r="J1839" s="15" t="s">
        <v>1284</v>
      </c>
      <c r="K1839" s="15" t="s">
        <v>1263</v>
      </c>
      <c r="L1839" s="32">
        <f>Data!$D1839/10^6</f>
        <v>134.99999800000001</v>
      </c>
    </row>
    <row r="1840" spans="1:12" x14ac:dyDescent="0.25">
      <c r="A1840" s="30" t="s">
        <v>85</v>
      </c>
      <c r="B1840" s="15" t="s">
        <v>1111</v>
      </c>
      <c r="C1840" s="19" t="s">
        <v>10</v>
      </c>
      <c r="D1840" s="16">
        <v>134999998</v>
      </c>
      <c r="E1840" s="17">
        <v>45536</v>
      </c>
      <c r="F1840" s="18">
        <f>MONTH(Data!$E1840)</f>
        <v>9</v>
      </c>
      <c r="G1840" s="16">
        <f>YEAR(Data!$E1840)</f>
        <v>2024</v>
      </c>
      <c r="H1840" s="15" t="s">
        <v>15</v>
      </c>
      <c r="I1840" s="15" t="str">
        <f t="shared" si="28"/>
        <v>Doanh nghiệp</v>
      </c>
      <c r="J1840" s="15" t="s">
        <v>1285</v>
      </c>
      <c r="K1840" s="15" t="s">
        <v>1263</v>
      </c>
      <c r="L1840" s="32">
        <f>Data!$D1840/10^6</f>
        <v>134.99999800000001</v>
      </c>
    </row>
    <row r="1841" spans="1:12" x14ac:dyDescent="0.25">
      <c r="A1841" s="29" t="s">
        <v>36</v>
      </c>
      <c r="B1841" s="15" t="s">
        <v>1125</v>
      </c>
      <c r="C1841" s="15" t="s">
        <v>10</v>
      </c>
      <c r="D1841" s="16">
        <v>12320000</v>
      </c>
      <c r="E1841" s="17">
        <v>45536</v>
      </c>
      <c r="F1841" s="18">
        <f>MONTH(Data!$E1841)</f>
        <v>9</v>
      </c>
      <c r="G1841" s="16">
        <f>YEAR(Data!$E1841)</f>
        <v>2024</v>
      </c>
      <c r="H1841" s="15" t="s">
        <v>15</v>
      </c>
      <c r="I1841" s="15" t="str">
        <f t="shared" si="28"/>
        <v>Doanh nghiệp</v>
      </c>
      <c r="J1841" s="15" t="s">
        <v>1284</v>
      </c>
      <c r="K1841" s="15" t="s">
        <v>1263</v>
      </c>
      <c r="L1841" s="32">
        <f>Data!$D1841/10^6</f>
        <v>12.32</v>
      </c>
    </row>
    <row r="1842" spans="1:12" x14ac:dyDescent="0.25">
      <c r="A1842" s="30" t="s">
        <v>160</v>
      </c>
      <c r="B1842" s="15" t="s">
        <v>1133</v>
      </c>
      <c r="C1842" s="19" t="s">
        <v>46</v>
      </c>
      <c r="D1842" s="16">
        <v>95714227</v>
      </c>
      <c r="E1842" s="17">
        <v>45536</v>
      </c>
      <c r="F1842" s="18">
        <f>MONTH(Data!$E1842)</f>
        <v>9</v>
      </c>
      <c r="G1842" s="16">
        <f>YEAR(Data!$E1842)</f>
        <v>2024</v>
      </c>
      <c r="H1842" s="15" t="s">
        <v>35</v>
      </c>
      <c r="I1842" s="15" t="str">
        <f t="shared" si="28"/>
        <v>Doanh nghiệp</v>
      </c>
      <c r="J1842" s="15" t="s">
        <v>1285</v>
      </c>
      <c r="K1842" s="15" t="s">
        <v>1265</v>
      </c>
      <c r="L1842" s="32">
        <f>Data!$D1842/10^6</f>
        <v>95.714226999999994</v>
      </c>
    </row>
    <row r="1843" spans="1:12" x14ac:dyDescent="0.25">
      <c r="A1843" s="30" t="s">
        <v>100</v>
      </c>
      <c r="B1843" s="15" t="s">
        <v>1131</v>
      </c>
      <c r="C1843" s="19" t="s">
        <v>14</v>
      </c>
      <c r="D1843" s="16">
        <v>45712260</v>
      </c>
      <c r="E1843" s="17">
        <v>45536</v>
      </c>
      <c r="F1843" s="18">
        <f>MONTH(Data!$E1843)</f>
        <v>9</v>
      </c>
      <c r="G1843" s="16">
        <f>YEAR(Data!$E1843)</f>
        <v>2024</v>
      </c>
      <c r="H1843" s="15" t="s">
        <v>42</v>
      </c>
      <c r="I1843" s="15" t="str">
        <f t="shared" si="28"/>
        <v>Doanh nghiệp</v>
      </c>
      <c r="J1843" s="15" t="s">
        <v>1284</v>
      </c>
      <c r="K1843" s="15" t="s">
        <v>1264</v>
      </c>
      <c r="L1843" s="32">
        <f>Data!$D1843/10^6</f>
        <v>45.712260000000001</v>
      </c>
    </row>
    <row r="1844" spans="1:12" x14ac:dyDescent="0.25">
      <c r="A1844" s="30" t="s">
        <v>128</v>
      </c>
      <c r="B1844" s="15" t="s">
        <v>1148</v>
      </c>
      <c r="C1844" s="19" t="s">
        <v>14</v>
      </c>
      <c r="D1844" s="16">
        <v>445454545</v>
      </c>
      <c r="E1844" s="17">
        <v>45536</v>
      </c>
      <c r="F1844" s="18">
        <f>MONTH(Data!$E1844)</f>
        <v>9</v>
      </c>
      <c r="G1844" s="16">
        <f>YEAR(Data!$E1844)</f>
        <v>2024</v>
      </c>
      <c r="H1844" s="15" t="s">
        <v>42</v>
      </c>
      <c r="I1844" s="15" t="str">
        <f t="shared" si="28"/>
        <v>Doanh nghiệp</v>
      </c>
      <c r="J1844" s="15" t="s">
        <v>1285</v>
      </c>
      <c r="K1844" s="15" t="s">
        <v>1274</v>
      </c>
      <c r="L1844" s="32">
        <f>Data!$D1844/10^6</f>
        <v>445.454545</v>
      </c>
    </row>
    <row r="1845" spans="1:12" x14ac:dyDescent="0.25">
      <c r="A1845" s="29" t="s">
        <v>55</v>
      </c>
      <c r="B1845" s="15" t="s">
        <v>1149</v>
      </c>
      <c r="C1845" s="15" t="s">
        <v>10</v>
      </c>
      <c r="D1845" s="16">
        <v>77272091</v>
      </c>
      <c r="E1845" s="17">
        <v>45536</v>
      </c>
      <c r="F1845" s="18">
        <f>MONTH(Data!$E1845)</f>
        <v>9</v>
      </c>
      <c r="G1845" s="16">
        <f>YEAR(Data!$E1845)</f>
        <v>2024</v>
      </c>
      <c r="H1845" s="15" t="s">
        <v>15</v>
      </c>
      <c r="I1845" s="15" t="str">
        <f t="shared" si="28"/>
        <v>Doanh nghiệp</v>
      </c>
      <c r="J1845" s="15" t="s">
        <v>1284</v>
      </c>
      <c r="K1845" s="15" t="s">
        <v>1263</v>
      </c>
      <c r="L1845" s="32">
        <f>Data!$D1845/10^6</f>
        <v>77.272091000000003</v>
      </c>
    </row>
    <row r="1846" spans="1:12" x14ac:dyDescent="0.25">
      <c r="A1846" s="29" t="s">
        <v>36</v>
      </c>
      <c r="B1846" s="15" t="s">
        <v>1139</v>
      </c>
      <c r="C1846" s="18" t="s">
        <v>14</v>
      </c>
      <c r="D1846" s="16">
        <v>94363636</v>
      </c>
      <c r="E1846" s="17">
        <v>45536</v>
      </c>
      <c r="F1846" s="18">
        <f>MONTH(Data!$E1846)</f>
        <v>9</v>
      </c>
      <c r="G1846" s="16">
        <f>YEAR(Data!$E1846)</f>
        <v>2024</v>
      </c>
      <c r="H1846" s="15" t="s">
        <v>15</v>
      </c>
      <c r="I1846" s="15" t="str">
        <f t="shared" si="28"/>
        <v>Doanh nghiệp</v>
      </c>
      <c r="J1846" s="15" t="s">
        <v>1285</v>
      </c>
      <c r="K1846" s="15" t="s">
        <v>1264</v>
      </c>
      <c r="L1846" s="32">
        <f>Data!$D1846/10^6</f>
        <v>94.363636</v>
      </c>
    </row>
    <row r="1847" spans="1:12" x14ac:dyDescent="0.25">
      <c r="A1847" s="29" t="s">
        <v>89</v>
      </c>
      <c r="B1847" s="15" t="s">
        <v>1131</v>
      </c>
      <c r="C1847" s="15" t="s">
        <v>10</v>
      </c>
      <c r="D1847" s="16">
        <v>13915000</v>
      </c>
      <c r="E1847" s="17">
        <v>45536</v>
      </c>
      <c r="F1847" s="18">
        <f>MONTH(Data!$E1847)</f>
        <v>9</v>
      </c>
      <c r="G1847" s="16">
        <f>YEAR(Data!$E1847)</f>
        <v>2024</v>
      </c>
      <c r="H1847" s="15" t="s">
        <v>11</v>
      </c>
      <c r="I1847" s="15" t="str">
        <f t="shared" si="28"/>
        <v>Doanh nghiệp</v>
      </c>
      <c r="J1847" s="15" t="s">
        <v>1284</v>
      </c>
      <c r="K1847" s="15" t="s">
        <v>1278</v>
      </c>
      <c r="L1847" s="32">
        <f>Data!$D1847/10^6</f>
        <v>13.914999999999999</v>
      </c>
    </row>
    <row r="1848" spans="1:12" x14ac:dyDescent="0.25">
      <c r="A1848" s="30" t="s">
        <v>89</v>
      </c>
      <c r="B1848" s="15" t="s">
        <v>1132</v>
      </c>
      <c r="C1848" s="19" t="s">
        <v>10</v>
      </c>
      <c r="D1848" s="16">
        <v>13915000</v>
      </c>
      <c r="E1848" s="17">
        <v>45536</v>
      </c>
      <c r="F1848" s="18">
        <f>MONTH(Data!$E1848)</f>
        <v>9</v>
      </c>
      <c r="G1848" s="16">
        <f>YEAR(Data!$E1848)</f>
        <v>2024</v>
      </c>
      <c r="H1848" s="15" t="s">
        <v>11</v>
      </c>
      <c r="I1848" s="15" t="str">
        <f t="shared" si="28"/>
        <v>Doanh nghiệp</v>
      </c>
      <c r="J1848" s="15" t="s">
        <v>1285</v>
      </c>
      <c r="K1848" s="15" t="s">
        <v>1278</v>
      </c>
      <c r="L1848" s="32">
        <f>Data!$D1848/10^6</f>
        <v>13.914999999999999</v>
      </c>
    </row>
    <row r="1849" spans="1:12" x14ac:dyDescent="0.25">
      <c r="A1849" s="29" t="s">
        <v>55</v>
      </c>
      <c r="B1849" s="15" t="s">
        <v>1147</v>
      </c>
      <c r="C1849" s="15" t="s">
        <v>10</v>
      </c>
      <c r="D1849" s="16">
        <v>155706055</v>
      </c>
      <c r="E1849" s="17">
        <v>45536</v>
      </c>
      <c r="F1849" s="18">
        <f>MONTH(Data!$E1849)</f>
        <v>9</v>
      </c>
      <c r="G1849" s="16">
        <f>YEAR(Data!$E1849)</f>
        <v>2024</v>
      </c>
      <c r="H1849" s="15" t="s">
        <v>15</v>
      </c>
      <c r="I1849" s="15" t="str">
        <f t="shared" si="28"/>
        <v>Doanh nghiệp</v>
      </c>
      <c r="J1849" s="15" t="s">
        <v>1284</v>
      </c>
      <c r="K1849" s="15" t="s">
        <v>1263</v>
      </c>
      <c r="L1849" s="32">
        <f>Data!$D1849/10^6</f>
        <v>155.70605499999999</v>
      </c>
    </row>
    <row r="1850" spans="1:12" x14ac:dyDescent="0.25">
      <c r="A1850" s="29" t="s">
        <v>55</v>
      </c>
      <c r="B1850" s="15" t="s">
        <v>1148</v>
      </c>
      <c r="C1850" s="15" t="s">
        <v>10</v>
      </c>
      <c r="D1850" s="16">
        <v>154810000</v>
      </c>
      <c r="E1850" s="17">
        <v>45536</v>
      </c>
      <c r="F1850" s="18">
        <f>MONTH(Data!$E1850)</f>
        <v>9</v>
      </c>
      <c r="G1850" s="16">
        <f>YEAR(Data!$E1850)</f>
        <v>2024</v>
      </c>
      <c r="H1850" s="15" t="s">
        <v>15</v>
      </c>
      <c r="I1850" s="15" t="str">
        <f t="shared" si="28"/>
        <v>Doanh nghiệp</v>
      </c>
      <c r="J1850" s="15" t="s">
        <v>1285</v>
      </c>
      <c r="K1850" s="15" t="s">
        <v>1262</v>
      </c>
      <c r="L1850" s="32">
        <f>Data!$D1850/10^6</f>
        <v>154.81</v>
      </c>
    </row>
    <row r="1851" spans="1:12" x14ac:dyDescent="0.25">
      <c r="A1851" s="30" t="s">
        <v>255</v>
      </c>
      <c r="B1851" s="15" t="s">
        <v>1166</v>
      </c>
      <c r="C1851" s="19" t="s">
        <v>10</v>
      </c>
      <c r="D1851" s="16">
        <v>80760218</v>
      </c>
      <c r="E1851" s="17">
        <v>45536</v>
      </c>
      <c r="F1851" s="18">
        <f>MONTH(Data!$E1851)</f>
        <v>9</v>
      </c>
      <c r="G1851" s="16">
        <f>YEAR(Data!$E1851)</f>
        <v>2024</v>
      </c>
      <c r="H1851" s="15" t="s">
        <v>11</v>
      </c>
      <c r="I1851" s="15" t="str">
        <f t="shared" si="28"/>
        <v>Doanh nghiệp</v>
      </c>
      <c r="J1851" s="15" t="s">
        <v>1284</v>
      </c>
      <c r="K1851" s="15" t="s">
        <v>1262</v>
      </c>
      <c r="L1851" s="32">
        <f>Data!$D1851/10^6</f>
        <v>80.760217999999995</v>
      </c>
    </row>
    <row r="1852" spans="1:12" x14ac:dyDescent="0.25">
      <c r="A1852" s="29" t="s">
        <v>151</v>
      </c>
      <c r="B1852" s="15" t="s">
        <v>1175</v>
      </c>
      <c r="C1852" s="15" t="s">
        <v>14</v>
      </c>
      <c r="D1852" s="16">
        <v>20181818</v>
      </c>
      <c r="E1852" s="17">
        <v>45536</v>
      </c>
      <c r="F1852" s="18">
        <f>MONTH(Data!$E1852)</f>
        <v>9</v>
      </c>
      <c r="G1852" s="16">
        <f>YEAR(Data!$E1852)</f>
        <v>2024</v>
      </c>
      <c r="H1852" s="15" t="s">
        <v>15</v>
      </c>
      <c r="I1852" s="15" t="str">
        <f t="shared" si="28"/>
        <v>Doanh nghiệp</v>
      </c>
      <c r="J1852" s="15" t="s">
        <v>1285</v>
      </c>
      <c r="K1852" s="15" t="s">
        <v>1264</v>
      </c>
      <c r="L1852" s="32">
        <f>Data!$D1852/10^6</f>
        <v>20.181818</v>
      </c>
    </row>
    <row r="1853" spans="1:12" x14ac:dyDescent="0.25">
      <c r="A1853" s="29" t="s">
        <v>95</v>
      </c>
      <c r="B1853" s="15" t="s">
        <v>1204</v>
      </c>
      <c r="C1853" s="18" t="s">
        <v>14</v>
      </c>
      <c r="D1853" s="16">
        <v>18190909</v>
      </c>
      <c r="E1853" s="17">
        <v>45536</v>
      </c>
      <c r="F1853" s="18">
        <f>MONTH(Data!$E1853)</f>
        <v>9</v>
      </c>
      <c r="G1853" s="16">
        <f>YEAR(Data!$E1853)</f>
        <v>2024</v>
      </c>
      <c r="H1853" s="15" t="s">
        <v>35</v>
      </c>
      <c r="I1853" s="15" t="str">
        <f t="shared" si="28"/>
        <v>Doanh nghiệp</v>
      </c>
      <c r="J1853" s="15" t="s">
        <v>1284</v>
      </c>
      <c r="K1853" s="15" t="s">
        <v>1264</v>
      </c>
      <c r="L1853" s="32">
        <f>Data!$D1853/10^6</f>
        <v>18.190909000000001</v>
      </c>
    </row>
    <row r="1854" spans="1:12" x14ac:dyDescent="0.25">
      <c r="A1854" s="29" t="s">
        <v>30</v>
      </c>
      <c r="B1854" s="15" t="s">
        <v>1224</v>
      </c>
      <c r="C1854" s="15" t="s">
        <v>149</v>
      </c>
      <c r="D1854" s="16">
        <v>19440000</v>
      </c>
      <c r="E1854" s="17">
        <v>45536</v>
      </c>
      <c r="F1854" s="18">
        <f>MONTH(Data!$E1854)</f>
        <v>9</v>
      </c>
      <c r="G1854" s="16">
        <f>YEAR(Data!$E1854)</f>
        <v>2024</v>
      </c>
      <c r="H1854" s="15" t="s">
        <v>32</v>
      </c>
      <c r="I1854" s="15" t="str">
        <f t="shared" si="28"/>
        <v>Doanh nghiệp</v>
      </c>
      <c r="J1854" s="15" t="s">
        <v>1285</v>
      </c>
      <c r="K1854" s="15" t="s">
        <v>1275</v>
      </c>
      <c r="L1854" s="32">
        <f>Data!$D1854/10^6</f>
        <v>19.440000000000001</v>
      </c>
    </row>
    <row r="1855" spans="1:12" x14ac:dyDescent="0.25">
      <c r="A1855" s="29" t="s">
        <v>30</v>
      </c>
      <c r="B1855" s="15" t="s">
        <v>1225</v>
      </c>
      <c r="C1855" s="15" t="s">
        <v>149</v>
      </c>
      <c r="D1855" s="16">
        <v>38118182</v>
      </c>
      <c r="E1855" s="17">
        <v>45536</v>
      </c>
      <c r="F1855" s="18">
        <f>MONTH(Data!$E1855)</f>
        <v>9</v>
      </c>
      <c r="G1855" s="16">
        <f>YEAR(Data!$E1855)</f>
        <v>2024</v>
      </c>
      <c r="H1855" s="15" t="s">
        <v>32</v>
      </c>
      <c r="I1855" s="15" t="str">
        <f t="shared" si="28"/>
        <v>Doanh nghiệp</v>
      </c>
      <c r="J1855" s="15" t="s">
        <v>1284</v>
      </c>
      <c r="K1855" s="15" t="s">
        <v>1264</v>
      </c>
      <c r="L1855" s="32">
        <f>Data!$D1855/10^6</f>
        <v>38.118181999999997</v>
      </c>
    </row>
    <row r="1856" spans="1:12" x14ac:dyDescent="0.25">
      <c r="A1856" s="30" t="s">
        <v>102</v>
      </c>
      <c r="B1856" s="15" t="s">
        <v>1243</v>
      </c>
      <c r="C1856" s="19" t="s">
        <v>14</v>
      </c>
      <c r="D1856" s="16">
        <v>229640000</v>
      </c>
      <c r="E1856" s="17">
        <v>45536</v>
      </c>
      <c r="F1856" s="18">
        <f>MONTH(Data!$E1856)</f>
        <v>9</v>
      </c>
      <c r="G1856" s="16">
        <f>YEAR(Data!$E1856)</f>
        <v>2024</v>
      </c>
      <c r="H1856" s="15" t="s">
        <v>22</v>
      </c>
      <c r="I1856" s="15" t="str">
        <f t="shared" si="28"/>
        <v>Doanh nghiệp</v>
      </c>
      <c r="J1856" s="15" t="s">
        <v>1285</v>
      </c>
      <c r="K1856" s="15" t="s">
        <v>1264</v>
      </c>
      <c r="L1856" s="32">
        <f>Data!$D1856/10^6</f>
        <v>229.64</v>
      </c>
    </row>
    <row r="1857" spans="1:12" x14ac:dyDescent="0.25">
      <c r="A1857" s="30" t="s">
        <v>116</v>
      </c>
      <c r="B1857" s="15" t="s">
        <v>1246</v>
      </c>
      <c r="C1857" s="19" t="s">
        <v>10</v>
      </c>
      <c r="D1857" s="16">
        <v>14850000</v>
      </c>
      <c r="E1857" s="17">
        <v>45536</v>
      </c>
      <c r="F1857" s="18">
        <f>MONTH(Data!$E1857)</f>
        <v>9</v>
      </c>
      <c r="G1857" s="16">
        <f>YEAR(Data!$E1857)</f>
        <v>2024</v>
      </c>
      <c r="H1857" s="15" t="s">
        <v>15</v>
      </c>
      <c r="I1857" s="15" t="str">
        <f t="shared" si="28"/>
        <v>Doanh nghiệp</v>
      </c>
      <c r="J1857" s="15" t="s">
        <v>1284</v>
      </c>
      <c r="K1857" s="15" t="s">
        <v>1263</v>
      </c>
      <c r="L1857" s="32">
        <f>Data!$D1857/10^6</f>
        <v>14.85</v>
      </c>
    </row>
    <row r="1858" spans="1:12" x14ac:dyDescent="0.25">
      <c r="A1858" s="30" t="s">
        <v>116</v>
      </c>
      <c r="B1858" s="15" t="s">
        <v>1247</v>
      </c>
      <c r="C1858" s="19" t="s">
        <v>10</v>
      </c>
      <c r="D1858" s="16">
        <v>49500000</v>
      </c>
      <c r="E1858" s="17">
        <v>45536</v>
      </c>
      <c r="F1858" s="18">
        <f>MONTH(Data!$E1858)</f>
        <v>9</v>
      </c>
      <c r="G1858" s="16">
        <f>YEAR(Data!$E1858)</f>
        <v>2024</v>
      </c>
      <c r="H1858" s="15" t="s">
        <v>15</v>
      </c>
      <c r="I1858" s="15" t="str">
        <f t="shared" si="28"/>
        <v>Doanh nghiệp</v>
      </c>
      <c r="J1858" s="15" t="s">
        <v>1285</v>
      </c>
      <c r="K1858" s="15" t="s">
        <v>1263</v>
      </c>
      <c r="L1858" s="32">
        <f>Data!$D1858/10^6</f>
        <v>49.5</v>
      </c>
    </row>
    <row r="1859" spans="1:12" x14ac:dyDescent="0.25">
      <c r="A1859" s="29" t="s">
        <v>33</v>
      </c>
      <c r="B1859" s="15" t="s">
        <v>1237</v>
      </c>
      <c r="C1859" s="18" t="s">
        <v>10</v>
      </c>
      <c r="D1859" s="16">
        <v>3243352000</v>
      </c>
      <c r="E1859" s="17">
        <v>45536</v>
      </c>
      <c r="F1859" s="18">
        <f>MONTH(Data!$E1859)</f>
        <v>9</v>
      </c>
      <c r="G1859" s="16">
        <f>YEAR(Data!$E1859)</f>
        <v>2024</v>
      </c>
      <c r="H1859" s="15" t="s">
        <v>35</v>
      </c>
      <c r="I1859" s="15" t="str">
        <f t="shared" ref="I1859:I1922" si="29">IF(ISNUMBER(SEARCH("Công ty",$B1859)),"Doanh nghiệp",IF(ISNUMBER(SEARCH("Doanh nghiệp",$B1859)),"Doanh nghiệp",IF(ISNUMBER(SEARCH("Tập đoàn",$B1859)),"Doanh nghiệp",
IF(ISNUMBER(SEARCH("Bệnh viện",$B1859)),"Bệnh viện",
IF(ISNUMBER(SEARCH("Ngân hàng",$B1859)),"Ngân hàng",IF(ISNUMBER(SEARCH("trường",$B1859)),"Trường học",IF(ISNUMBER(SEARCH("học viện",$B1859)),"Trường học",
IF(ISNUMBER(SEARCH("Bộ",$B1859)),"Sở ban ngành",IF(ISNUMBER(SEARCH("Đoàn",$B1859)),"Sở ban ngành",IF(ISNUMBER(SEARCH("Phòng",$B1859)),"Sở ban ngành",IF(ISNUMBER(SEARCH("UBND",$B1859)),"Sở ban ngành",IF(ISNUMBER(SEARCH("ủy ban",$B1859)),"Sở ban ngành",IF(ISNUMBER(SEARCH("công an",$B1859)),"Sở ban ngành",IF(ISNUMBER(SEARCH("sở",$B1859)),"Sở ban ngành",IF(ISNUMBER(SEARCH("thôn",$B1859)),"Sở ban ngành",IF(ISNUMBER(SEARCH("xã",$B1859)),"Sở ban ngành",IF(ISNUMBER(SEARCH("quân khu",$B1859)),"Sở ban ngành",IF(ISNUMBER(SEARCH("cục",$B1859)),"Sở ban ngành",IF(ISNUMBER(SEARCH("viện",$B1859)),"Sở ban ngành",IF(ISNUMBER(SEARCH("quỹ",$B1859)),"Sở ban ngành",IF(ISNUMBER(SEARCH("trung tâm",$B1859)),"Sở ban ngành",IF(ISNUMBER(SEARCH("quân chủng",$B1859)),"Sở ban ngành",IF(ISNUMBER(SEARCH("hội",$B1859)),"Sở ban ngành",
"Khác")))))))))))))))))))))))</f>
        <v>Doanh nghiệp</v>
      </c>
      <c r="J1859" s="15" t="s">
        <v>1284</v>
      </c>
      <c r="K1859" s="15" t="s">
        <v>1267</v>
      </c>
      <c r="L1859" s="32">
        <f>Data!$D1859/10^6</f>
        <v>3243.3519999999999</v>
      </c>
    </row>
    <row r="1860" spans="1:12" x14ac:dyDescent="0.25">
      <c r="A1860" s="29" t="s">
        <v>13</v>
      </c>
      <c r="B1860" s="15" t="s">
        <v>1243</v>
      </c>
      <c r="C1860" s="18" t="s">
        <v>10</v>
      </c>
      <c r="D1860" s="16">
        <v>74645455</v>
      </c>
      <c r="E1860" s="17">
        <v>45536</v>
      </c>
      <c r="F1860" s="18">
        <f>MONTH(Data!$E1860)</f>
        <v>9</v>
      </c>
      <c r="G1860" s="16">
        <f>YEAR(Data!$E1860)</f>
        <v>2024</v>
      </c>
      <c r="H1860" s="15" t="s">
        <v>15</v>
      </c>
      <c r="I1860" s="15" t="str">
        <f t="shared" si="29"/>
        <v>Doanh nghiệp</v>
      </c>
      <c r="J1860" s="15" t="s">
        <v>1285</v>
      </c>
      <c r="K1860" s="15" t="s">
        <v>1267</v>
      </c>
      <c r="L1860" s="32">
        <f>Data!$D1860/10^6</f>
        <v>74.645454999999998</v>
      </c>
    </row>
    <row r="1861" spans="1:12" x14ac:dyDescent="0.25">
      <c r="A1861" s="30" t="s">
        <v>98</v>
      </c>
      <c r="B1861" s="15" t="s">
        <v>1248</v>
      </c>
      <c r="C1861" s="19" t="s">
        <v>46</v>
      </c>
      <c r="D1861" s="16">
        <v>145620455</v>
      </c>
      <c r="E1861" s="17">
        <v>45536</v>
      </c>
      <c r="F1861" s="18">
        <f>MONTH(Data!$E1861)</f>
        <v>9</v>
      </c>
      <c r="G1861" s="16">
        <f>YEAR(Data!$E1861)</f>
        <v>2024</v>
      </c>
      <c r="H1861" s="15" t="s">
        <v>11</v>
      </c>
      <c r="I1861" s="15" t="str">
        <f t="shared" si="29"/>
        <v>Doanh nghiệp</v>
      </c>
      <c r="J1861" s="15" t="s">
        <v>1284</v>
      </c>
      <c r="K1861" s="15" t="s">
        <v>1265</v>
      </c>
      <c r="L1861" s="32">
        <f>Data!$D1861/10^6</f>
        <v>145.62045499999999</v>
      </c>
    </row>
    <row r="1862" spans="1:12" x14ac:dyDescent="0.25">
      <c r="A1862" s="29" t="s">
        <v>17</v>
      </c>
      <c r="B1862" s="15" t="s">
        <v>1249</v>
      </c>
      <c r="C1862" s="15" t="s">
        <v>14</v>
      </c>
      <c r="D1862" s="16">
        <v>7750000</v>
      </c>
      <c r="E1862" s="17">
        <v>45536</v>
      </c>
      <c r="F1862" s="18">
        <f>MONTH(Data!$E1862)</f>
        <v>9</v>
      </c>
      <c r="G1862" s="16">
        <f>YEAR(Data!$E1862)</f>
        <v>2024</v>
      </c>
      <c r="H1862" s="15" t="s">
        <v>11</v>
      </c>
      <c r="I1862" s="15" t="str">
        <f t="shared" si="29"/>
        <v>Doanh nghiệp</v>
      </c>
      <c r="J1862" s="15" t="s">
        <v>1285</v>
      </c>
      <c r="K1862" s="15" t="s">
        <v>1275</v>
      </c>
      <c r="L1862" s="32">
        <f>Data!$D1862/10^6</f>
        <v>7.75</v>
      </c>
    </row>
    <row r="1863" spans="1:12" x14ac:dyDescent="0.25">
      <c r="A1863" s="29" t="s">
        <v>87</v>
      </c>
      <c r="B1863" s="15" t="s">
        <v>1246</v>
      </c>
      <c r="C1863" s="15" t="s">
        <v>46</v>
      </c>
      <c r="D1863" s="16">
        <v>36363636</v>
      </c>
      <c r="E1863" s="17">
        <v>45536</v>
      </c>
      <c r="F1863" s="18">
        <f>MONTH(Data!$E1863)</f>
        <v>9</v>
      </c>
      <c r="G1863" s="16">
        <f>YEAR(Data!$E1863)</f>
        <v>2024</v>
      </c>
      <c r="H1863" s="15" t="s">
        <v>29</v>
      </c>
      <c r="I1863" s="15" t="str">
        <f t="shared" si="29"/>
        <v>Doanh nghiệp</v>
      </c>
      <c r="J1863" s="15" t="s">
        <v>1284</v>
      </c>
      <c r="K1863" s="15" t="s">
        <v>1271</v>
      </c>
      <c r="L1863" s="32">
        <f>Data!$D1863/10^6</f>
        <v>36.363636</v>
      </c>
    </row>
    <row r="1864" spans="1:12" x14ac:dyDescent="0.25">
      <c r="A1864" s="30" t="s">
        <v>8</v>
      </c>
      <c r="B1864" s="15" t="s">
        <v>1247</v>
      </c>
      <c r="C1864" s="19" t="s">
        <v>14</v>
      </c>
      <c r="D1864" s="16">
        <v>18000000</v>
      </c>
      <c r="E1864" s="17">
        <v>45536</v>
      </c>
      <c r="F1864" s="18">
        <f>MONTH(Data!$E1864)</f>
        <v>9</v>
      </c>
      <c r="G1864" s="16">
        <f>YEAR(Data!$E1864)</f>
        <v>2024</v>
      </c>
      <c r="H1864" s="15" t="s">
        <v>11</v>
      </c>
      <c r="I1864" s="15" t="str">
        <f t="shared" si="29"/>
        <v>Doanh nghiệp</v>
      </c>
      <c r="J1864" s="15" t="s">
        <v>1285</v>
      </c>
      <c r="K1864" s="15" t="s">
        <v>1277</v>
      </c>
      <c r="L1864" s="32">
        <f>Data!$D1864/10^6</f>
        <v>18</v>
      </c>
    </row>
    <row r="1865" spans="1:12" x14ac:dyDescent="0.25">
      <c r="A1865" s="30" t="s">
        <v>8</v>
      </c>
      <c r="B1865" s="15" t="s">
        <v>1248</v>
      </c>
      <c r="C1865" s="19" t="s">
        <v>14</v>
      </c>
      <c r="D1865" s="16">
        <v>16200000</v>
      </c>
      <c r="E1865" s="17">
        <v>45536</v>
      </c>
      <c r="F1865" s="18">
        <f>MONTH(Data!$E1865)</f>
        <v>9</v>
      </c>
      <c r="G1865" s="16">
        <f>YEAR(Data!$E1865)</f>
        <v>2024</v>
      </c>
      <c r="H1865" s="15" t="s">
        <v>11</v>
      </c>
      <c r="I1865" s="15" t="str">
        <f t="shared" si="29"/>
        <v>Doanh nghiệp</v>
      </c>
      <c r="J1865" s="15" t="s">
        <v>1284</v>
      </c>
      <c r="K1865" s="15" t="s">
        <v>1264</v>
      </c>
      <c r="L1865" s="32">
        <f>Data!$D1865/10^6</f>
        <v>16.2</v>
      </c>
    </row>
    <row r="1866" spans="1:12" x14ac:dyDescent="0.25">
      <c r="A1866" s="30" t="s">
        <v>8</v>
      </c>
      <c r="B1866" s="15" t="s">
        <v>1248</v>
      </c>
      <c r="C1866" s="19" t="s">
        <v>149</v>
      </c>
      <c r="D1866" s="16">
        <v>26396182</v>
      </c>
      <c r="E1866" s="17">
        <v>45536</v>
      </c>
      <c r="F1866" s="18">
        <f>MONTH(Data!$E1866)</f>
        <v>9</v>
      </c>
      <c r="G1866" s="16">
        <f>YEAR(Data!$E1866)</f>
        <v>2024</v>
      </c>
      <c r="H1866" s="15" t="s">
        <v>11</v>
      </c>
      <c r="I1866" s="15" t="str">
        <f t="shared" si="29"/>
        <v>Doanh nghiệp</v>
      </c>
      <c r="J1866" s="15" t="s">
        <v>1285</v>
      </c>
      <c r="K1866" s="15" t="s">
        <v>1264</v>
      </c>
      <c r="L1866" s="32">
        <f>Data!$D1866/10^6</f>
        <v>26.396182</v>
      </c>
    </row>
    <row r="1867" spans="1:12" x14ac:dyDescent="0.25">
      <c r="A1867" s="30" t="s">
        <v>8</v>
      </c>
      <c r="B1867" s="15" t="s">
        <v>1249</v>
      </c>
      <c r="C1867" s="19" t="s">
        <v>14</v>
      </c>
      <c r="D1867" s="16">
        <v>13100000</v>
      </c>
      <c r="E1867" s="17">
        <v>45536</v>
      </c>
      <c r="F1867" s="18">
        <f>MONTH(Data!$E1867)</f>
        <v>9</v>
      </c>
      <c r="G1867" s="16">
        <f>YEAR(Data!$E1867)</f>
        <v>2024</v>
      </c>
      <c r="H1867" s="15" t="s">
        <v>11</v>
      </c>
      <c r="I1867" s="15" t="str">
        <f t="shared" si="29"/>
        <v>Doanh nghiệp</v>
      </c>
      <c r="J1867" s="15" t="s">
        <v>1284</v>
      </c>
      <c r="K1867" s="15" t="s">
        <v>1264</v>
      </c>
      <c r="L1867" s="32">
        <f>Data!$D1867/10^6</f>
        <v>13.1</v>
      </c>
    </row>
    <row r="1868" spans="1:12" x14ac:dyDescent="0.25">
      <c r="A1868" s="30" t="s">
        <v>8</v>
      </c>
      <c r="B1868" s="15" t="s">
        <v>1246</v>
      </c>
      <c r="C1868" s="19" t="s">
        <v>14</v>
      </c>
      <c r="D1868" s="16">
        <v>12800000</v>
      </c>
      <c r="E1868" s="17">
        <v>45536</v>
      </c>
      <c r="F1868" s="18">
        <f>MONTH(Data!$E1868)</f>
        <v>9</v>
      </c>
      <c r="G1868" s="16">
        <f>YEAR(Data!$E1868)</f>
        <v>2024</v>
      </c>
      <c r="H1868" s="15" t="s">
        <v>11</v>
      </c>
      <c r="I1868" s="15" t="str">
        <f t="shared" si="29"/>
        <v>Doanh nghiệp</v>
      </c>
      <c r="J1868" s="15" t="s">
        <v>1285</v>
      </c>
      <c r="K1868" s="15" t="s">
        <v>1277</v>
      </c>
      <c r="L1868" s="32">
        <f>Data!$D1868/10^6</f>
        <v>12.8</v>
      </c>
    </row>
    <row r="1869" spans="1:12" x14ac:dyDescent="0.25">
      <c r="A1869" s="30" t="s">
        <v>8</v>
      </c>
      <c r="B1869" s="15" t="s">
        <v>1247</v>
      </c>
      <c r="C1869" s="19" t="s">
        <v>14</v>
      </c>
      <c r="D1869" s="16">
        <v>12000000</v>
      </c>
      <c r="E1869" s="17">
        <v>45536</v>
      </c>
      <c r="F1869" s="18">
        <f>MONTH(Data!$E1869)</f>
        <v>9</v>
      </c>
      <c r="G1869" s="16">
        <f>YEAR(Data!$E1869)</f>
        <v>2024</v>
      </c>
      <c r="H1869" s="15" t="s">
        <v>11</v>
      </c>
      <c r="I1869" s="15" t="str">
        <f t="shared" si="29"/>
        <v>Doanh nghiệp</v>
      </c>
      <c r="J1869" s="15" t="s">
        <v>1284</v>
      </c>
      <c r="K1869" s="15" t="s">
        <v>1272</v>
      </c>
      <c r="L1869" s="32">
        <f>Data!$D1869/10^6</f>
        <v>12</v>
      </c>
    </row>
    <row r="1870" spans="1:12" x14ac:dyDescent="0.25">
      <c r="A1870" s="30" t="s">
        <v>8</v>
      </c>
      <c r="B1870" s="15" t="s">
        <v>1248</v>
      </c>
      <c r="C1870" s="19" t="s">
        <v>14</v>
      </c>
      <c r="D1870" s="16">
        <v>14300000</v>
      </c>
      <c r="E1870" s="17">
        <v>45536</v>
      </c>
      <c r="F1870" s="18">
        <f>MONTH(Data!$E1870)</f>
        <v>9</v>
      </c>
      <c r="G1870" s="16">
        <f>YEAR(Data!$E1870)</f>
        <v>2024</v>
      </c>
      <c r="H1870" s="15" t="s">
        <v>11</v>
      </c>
      <c r="I1870" s="15" t="str">
        <f t="shared" si="29"/>
        <v>Doanh nghiệp</v>
      </c>
      <c r="J1870" s="15" t="s">
        <v>1285</v>
      </c>
      <c r="K1870" s="15" t="s">
        <v>1264</v>
      </c>
      <c r="L1870" s="32">
        <f>Data!$D1870/10^6</f>
        <v>14.3</v>
      </c>
    </row>
    <row r="1871" spans="1:12" x14ac:dyDescent="0.25">
      <c r="A1871" s="30" t="s">
        <v>8</v>
      </c>
      <c r="B1871" s="15" t="s">
        <v>1249</v>
      </c>
      <c r="C1871" s="19" t="s">
        <v>149</v>
      </c>
      <c r="D1871" s="16">
        <v>18000000</v>
      </c>
      <c r="E1871" s="17">
        <v>45536</v>
      </c>
      <c r="F1871" s="18">
        <f>MONTH(Data!$E1871)</f>
        <v>9</v>
      </c>
      <c r="G1871" s="16">
        <f>YEAR(Data!$E1871)</f>
        <v>2024</v>
      </c>
      <c r="H1871" s="15" t="s">
        <v>11</v>
      </c>
      <c r="I1871" s="15" t="str">
        <f t="shared" si="29"/>
        <v>Doanh nghiệp</v>
      </c>
      <c r="J1871" s="15" t="s">
        <v>1284</v>
      </c>
      <c r="K1871" s="15" t="s">
        <v>1264</v>
      </c>
      <c r="L1871" s="32">
        <f>Data!$D1871/10^6</f>
        <v>18</v>
      </c>
    </row>
    <row r="1872" spans="1:12" x14ac:dyDescent="0.25">
      <c r="A1872" s="29" t="s">
        <v>87</v>
      </c>
      <c r="B1872" s="15" t="s">
        <v>1102</v>
      </c>
      <c r="C1872" s="15" t="s">
        <v>46</v>
      </c>
      <c r="D1872" s="16">
        <v>8334545</v>
      </c>
      <c r="E1872" s="17">
        <v>45536</v>
      </c>
      <c r="F1872" s="18">
        <f>MONTH(Data!$E1872)</f>
        <v>9</v>
      </c>
      <c r="G1872" s="16">
        <f>YEAR(Data!$E1872)</f>
        <v>2024</v>
      </c>
      <c r="H1872" s="15" t="s">
        <v>29</v>
      </c>
      <c r="I1872" s="15" t="str">
        <f t="shared" si="29"/>
        <v>Doanh nghiệp</v>
      </c>
      <c r="J1872" s="15" t="s">
        <v>1285</v>
      </c>
      <c r="K1872" s="15" t="s">
        <v>1271</v>
      </c>
      <c r="L1872" s="32">
        <f>Data!$D1872/10^6</f>
        <v>8.3345450000000003</v>
      </c>
    </row>
    <row r="1873" spans="1:12" x14ac:dyDescent="0.25">
      <c r="A1873" s="29" t="s">
        <v>87</v>
      </c>
      <c r="B1873" s="15" t="s">
        <v>1103</v>
      </c>
      <c r="C1873" s="15" t="s">
        <v>46</v>
      </c>
      <c r="D1873" s="16">
        <v>217636364</v>
      </c>
      <c r="E1873" s="17">
        <v>45536</v>
      </c>
      <c r="F1873" s="18">
        <f>MONTH(Data!$E1873)</f>
        <v>9</v>
      </c>
      <c r="G1873" s="16">
        <f>YEAR(Data!$E1873)</f>
        <v>2024</v>
      </c>
      <c r="H1873" s="15" t="s">
        <v>29</v>
      </c>
      <c r="I1873" s="15" t="str">
        <f t="shared" si="29"/>
        <v>Doanh nghiệp</v>
      </c>
      <c r="J1873" s="15" t="s">
        <v>1284</v>
      </c>
      <c r="K1873" s="15" t="s">
        <v>1271</v>
      </c>
      <c r="L1873" s="32">
        <f>Data!$D1873/10^6</f>
        <v>217.63636399999999</v>
      </c>
    </row>
    <row r="1874" spans="1:12" x14ac:dyDescent="0.25">
      <c r="A1874" s="29" t="s">
        <v>87</v>
      </c>
      <c r="B1874" s="15" t="s">
        <v>1104</v>
      </c>
      <c r="C1874" s="15" t="s">
        <v>46</v>
      </c>
      <c r="D1874" s="16">
        <v>6818182</v>
      </c>
      <c r="E1874" s="17">
        <v>45536</v>
      </c>
      <c r="F1874" s="18">
        <f>MONTH(Data!$E1874)</f>
        <v>9</v>
      </c>
      <c r="G1874" s="16">
        <f>YEAR(Data!$E1874)</f>
        <v>2024</v>
      </c>
      <c r="H1874" s="15" t="s">
        <v>29</v>
      </c>
      <c r="I1874" s="15" t="str">
        <f t="shared" si="29"/>
        <v>Doanh nghiệp</v>
      </c>
      <c r="J1874" s="15" t="s">
        <v>1285</v>
      </c>
      <c r="K1874" s="15" t="s">
        <v>1271</v>
      </c>
      <c r="L1874" s="32">
        <f>Data!$D1874/10^6</f>
        <v>6.8181820000000002</v>
      </c>
    </row>
    <row r="1875" spans="1:12" x14ac:dyDescent="0.25">
      <c r="A1875" s="29" t="s">
        <v>87</v>
      </c>
      <c r="B1875" s="15" t="s">
        <v>1105</v>
      </c>
      <c r="C1875" s="15" t="s">
        <v>46</v>
      </c>
      <c r="D1875" s="16">
        <v>18145455</v>
      </c>
      <c r="E1875" s="17">
        <v>45536</v>
      </c>
      <c r="F1875" s="18">
        <f>MONTH(Data!$E1875)</f>
        <v>9</v>
      </c>
      <c r="G1875" s="16">
        <f>YEAR(Data!$E1875)</f>
        <v>2024</v>
      </c>
      <c r="H1875" s="15" t="s">
        <v>29</v>
      </c>
      <c r="I1875" s="15" t="str">
        <f t="shared" si="29"/>
        <v>Doanh nghiệp</v>
      </c>
      <c r="J1875" s="15" t="s">
        <v>1284</v>
      </c>
      <c r="K1875" s="15" t="s">
        <v>1271</v>
      </c>
      <c r="L1875" s="32">
        <f>Data!$D1875/10^6</f>
        <v>18.145454999999998</v>
      </c>
    </row>
    <row r="1876" spans="1:12" x14ac:dyDescent="0.25">
      <c r="A1876" s="29" t="s">
        <v>87</v>
      </c>
      <c r="B1876" s="15" t="s">
        <v>1106</v>
      </c>
      <c r="C1876" s="15" t="s">
        <v>46</v>
      </c>
      <c r="D1876" s="16">
        <v>99800000</v>
      </c>
      <c r="E1876" s="17">
        <v>45536</v>
      </c>
      <c r="F1876" s="18">
        <f>MONTH(Data!$E1876)</f>
        <v>9</v>
      </c>
      <c r="G1876" s="16">
        <f>YEAR(Data!$E1876)</f>
        <v>2024</v>
      </c>
      <c r="H1876" s="15" t="s">
        <v>29</v>
      </c>
      <c r="I1876" s="15" t="str">
        <f t="shared" si="29"/>
        <v>Doanh nghiệp</v>
      </c>
      <c r="J1876" s="15" t="s">
        <v>1285</v>
      </c>
      <c r="K1876" s="15" t="s">
        <v>1271</v>
      </c>
      <c r="L1876" s="32">
        <f>Data!$D1876/10^6</f>
        <v>99.8</v>
      </c>
    </row>
    <row r="1877" spans="1:12" x14ac:dyDescent="0.25">
      <c r="A1877" s="29" t="s">
        <v>87</v>
      </c>
      <c r="B1877" s="15" t="s">
        <v>1107</v>
      </c>
      <c r="C1877" s="15" t="s">
        <v>46</v>
      </c>
      <c r="D1877" s="16">
        <v>54436364</v>
      </c>
      <c r="E1877" s="17">
        <v>45536</v>
      </c>
      <c r="F1877" s="18">
        <f>MONTH(Data!$E1877)</f>
        <v>9</v>
      </c>
      <c r="G1877" s="16">
        <f>YEAR(Data!$E1877)</f>
        <v>2024</v>
      </c>
      <c r="H1877" s="15" t="s">
        <v>29</v>
      </c>
      <c r="I1877" s="15" t="str">
        <f t="shared" si="29"/>
        <v>Doanh nghiệp</v>
      </c>
      <c r="J1877" s="15" t="s">
        <v>1284</v>
      </c>
      <c r="K1877" s="15" t="s">
        <v>1271</v>
      </c>
      <c r="L1877" s="32">
        <f>Data!$D1877/10^6</f>
        <v>54.436363999999998</v>
      </c>
    </row>
    <row r="1878" spans="1:12" x14ac:dyDescent="0.25">
      <c r="A1878" s="29" t="s">
        <v>255</v>
      </c>
      <c r="B1878" s="15" t="s">
        <v>532</v>
      </c>
      <c r="C1878" s="15" t="s">
        <v>10</v>
      </c>
      <c r="D1878" s="16">
        <v>36363636</v>
      </c>
      <c r="E1878" s="17">
        <v>45536</v>
      </c>
      <c r="F1878" s="18">
        <f>MONTH(Data!$E1878)</f>
        <v>9</v>
      </c>
      <c r="G1878" s="16">
        <f>YEAR(Data!$E1878)</f>
        <v>2024</v>
      </c>
      <c r="H1878" s="15" t="s">
        <v>11</v>
      </c>
      <c r="I1878" s="15" t="str">
        <f t="shared" si="29"/>
        <v>Sở ban ngành</v>
      </c>
      <c r="J1878" s="15" t="s">
        <v>1285</v>
      </c>
      <c r="K1878" s="15" t="s">
        <v>1263</v>
      </c>
      <c r="L1878" s="32">
        <f>Data!$D1878/10^6</f>
        <v>36.363636</v>
      </c>
    </row>
    <row r="1879" spans="1:12" x14ac:dyDescent="0.25">
      <c r="A1879" s="30" t="s">
        <v>255</v>
      </c>
      <c r="B1879" s="19" t="s">
        <v>532</v>
      </c>
      <c r="C1879" s="19" t="s">
        <v>10</v>
      </c>
      <c r="D1879" s="16">
        <v>36363636</v>
      </c>
      <c r="E1879" s="17">
        <v>45536</v>
      </c>
      <c r="F1879" s="18">
        <f>MONTH(Data!$E1879)</f>
        <v>9</v>
      </c>
      <c r="G1879" s="16">
        <f>YEAR(Data!$E1879)</f>
        <v>2024</v>
      </c>
      <c r="H1879" s="15" t="s">
        <v>11</v>
      </c>
      <c r="I1879" s="15" t="str">
        <f t="shared" si="29"/>
        <v>Sở ban ngành</v>
      </c>
      <c r="J1879" s="15" t="s">
        <v>1284</v>
      </c>
      <c r="K1879" s="15" t="s">
        <v>1263</v>
      </c>
      <c r="L1879" s="32">
        <f>Data!$D1879/10^6</f>
        <v>36.363636</v>
      </c>
    </row>
    <row r="1880" spans="1:12" x14ac:dyDescent="0.25">
      <c r="A1880" s="29" t="s">
        <v>17</v>
      </c>
      <c r="B1880" s="15" t="s">
        <v>360</v>
      </c>
      <c r="C1880" s="18" t="s">
        <v>10</v>
      </c>
      <c r="D1880" s="16">
        <v>41100000</v>
      </c>
      <c r="E1880" s="17">
        <v>45536</v>
      </c>
      <c r="F1880" s="18">
        <f>MONTH(Data!$E1880)</f>
        <v>9</v>
      </c>
      <c r="G1880" s="16">
        <f>YEAR(Data!$E1880)</f>
        <v>2024</v>
      </c>
      <c r="H1880" s="15" t="s">
        <v>11</v>
      </c>
      <c r="I1880" s="15" t="str">
        <f t="shared" si="29"/>
        <v>Sở ban ngành</v>
      </c>
      <c r="J1880" s="15" t="s">
        <v>1285</v>
      </c>
      <c r="K1880" s="15" t="s">
        <v>1263</v>
      </c>
      <c r="L1880" s="32">
        <f>Data!$D1880/10^6</f>
        <v>41.1</v>
      </c>
    </row>
    <row r="1881" spans="1:12" x14ac:dyDescent="0.25">
      <c r="A1881" s="29" t="s">
        <v>17</v>
      </c>
      <c r="B1881" s="15" t="s">
        <v>360</v>
      </c>
      <c r="C1881" s="15" t="s">
        <v>10</v>
      </c>
      <c r="D1881" s="16">
        <v>90800000</v>
      </c>
      <c r="E1881" s="17">
        <v>45536</v>
      </c>
      <c r="F1881" s="18">
        <f>MONTH(Data!$E1881)</f>
        <v>9</v>
      </c>
      <c r="G1881" s="16">
        <f>YEAR(Data!$E1881)</f>
        <v>2024</v>
      </c>
      <c r="H1881" s="15" t="s">
        <v>11</v>
      </c>
      <c r="I1881" s="15" t="str">
        <f t="shared" si="29"/>
        <v>Sở ban ngành</v>
      </c>
      <c r="J1881" s="15" t="s">
        <v>1284</v>
      </c>
      <c r="K1881" s="15" t="s">
        <v>1263</v>
      </c>
      <c r="L1881" s="32">
        <f>Data!$D1881/10^6</f>
        <v>90.8</v>
      </c>
    </row>
    <row r="1882" spans="1:12" x14ac:dyDescent="0.25">
      <c r="A1882" s="30" t="s">
        <v>8</v>
      </c>
      <c r="B1882" s="19" t="s">
        <v>537</v>
      </c>
      <c r="C1882" s="19" t="s">
        <v>149</v>
      </c>
      <c r="D1882" s="16">
        <v>58753636</v>
      </c>
      <c r="E1882" s="17">
        <v>45536</v>
      </c>
      <c r="F1882" s="18">
        <f>MONTH(Data!$E1882)</f>
        <v>9</v>
      </c>
      <c r="G1882" s="16">
        <f>YEAR(Data!$E1882)</f>
        <v>2024</v>
      </c>
      <c r="H1882" s="15" t="s">
        <v>11</v>
      </c>
      <c r="I1882" s="15" t="str">
        <f t="shared" si="29"/>
        <v>Sở ban ngành</v>
      </c>
      <c r="J1882" s="15" t="s">
        <v>1285</v>
      </c>
      <c r="K1882" s="15" t="s">
        <v>1272</v>
      </c>
      <c r="L1882" s="32">
        <f>Data!$D1882/10^6</f>
        <v>58.753636</v>
      </c>
    </row>
    <row r="1883" spans="1:12" x14ac:dyDescent="0.25">
      <c r="A1883" s="29" t="s">
        <v>89</v>
      </c>
      <c r="B1883" s="15" t="s">
        <v>1034</v>
      </c>
      <c r="C1883" s="15" t="s">
        <v>46</v>
      </c>
      <c r="D1883" s="16">
        <v>36256364</v>
      </c>
      <c r="E1883" s="17">
        <v>45536</v>
      </c>
      <c r="F1883" s="18">
        <f>MONTH(Data!$E1883)</f>
        <v>9</v>
      </c>
      <c r="G1883" s="16">
        <f>YEAR(Data!$E1883)</f>
        <v>2024</v>
      </c>
      <c r="H1883" s="15" t="s">
        <v>11</v>
      </c>
      <c r="I1883" s="15" t="str">
        <f t="shared" si="29"/>
        <v>Doanh nghiệp</v>
      </c>
      <c r="J1883" s="15" t="s">
        <v>1284</v>
      </c>
      <c r="K1883" s="15" t="s">
        <v>1271</v>
      </c>
      <c r="L1883" s="32">
        <f>Data!$D1883/10^6</f>
        <v>36.256363999999998</v>
      </c>
    </row>
    <row r="1884" spans="1:12" x14ac:dyDescent="0.25">
      <c r="A1884" s="29" t="s">
        <v>89</v>
      </c>
      <c r="B1884" s="15" t="s">
        <v>1040</v>
      </c>
      <c r="C1884" s="15" t="s">
        <v>46</v>
      </c>
      <c r="D1884" s="16">
        <v>36256364</v>
      </c>
      <c r="E1884" s="17">
        <v>45536</v>
      </c>
      <c r="F1884" s="18">
        <f>MONTH(Data!$E1884)</f>
        <v>9</v>
      </c>
      <c r="G1884" s="16">
        <f>YEAR(Data!$E1884)</f>
        <v>2024</v>
      </c>
      <c r="H1884" s="15" t="s">
        <v>11</v>
      </c>
      <c r="I1884" s="15" t="str">
        <f t="shared" si="29"/>
        <v>Doanh nghiệp</v>
      </c>
      <c r="J1884" s="15" t="s">
        <v>1285</v>
      </c>
      <c r="K1884" s="15" t="s">
        <v>1271</v>
      </c>
      <c r="L1884" s="32">
        <f>Data!$D1884/10^6</f>
        <v>36.256363999999998</v>
      </c>
    </row>
    <row r="1885" spans="1:12" x14ac:dyDescent="0.25">
      <c r="A1885" s="29" t="s">
        <v>89</v>
      </c>
      <c r="B1885" s="15" t="s">
        <v>1041</v>
      </c>
      <c r="C1885" s="15" t="s">
        <v>46</v>
      </c>
      <c r="D1885" s="16">
        <v>36256364</v>
      </c>
      <c r="E1885" s="17">
        <v>45536</v>
      </c>
      <c r="F1885" s="18">
        <f>MONTH(Data!$E1885)</f>
        <v>9</v>
      </c>
      <c r="G1885" s="16">
        <f>YEAR(Data!$E1885)</f>
        <v>2024</v>
      </c>
      <c r="H1885" s="15" t="s">
        <v>11</v>
      </c>
      <c r="I1885" s="15" t="str">
        <f t="shared" si="29"/>
        <v>Doanh nghiệp</v>
      </c>
      <c r="J1885" s="15" t="s">
        <v>1284</v>
      </c>
      <c r="K1885" s="15" t="s">
        <v>1271</v>
      </c>
      <c r="L1885" s="32">
        <f>Data!$D1885/10^6</f>
        <v>36.256363999999998</v>
      </c>
    </row>
    <row r="1886" spans="1:12" x14ac:dyDescent="0.25">
      <c r="A1886" s="29" t="s">
        <v>89</v>
      </c>
      <c r="B1886" s="15" t="s">
        <v>1043</v>
      </c>
      <c r="C1886" s="15" t="s">
        <v>46</v>
      </c>
      <c r="D1886" s="16">
        <v>36281818</v>
      </c>
      <c r="E1886" s="17">
        <v>45536</v>
      </c>
      <c r="F1886" s="18">
        <f>MONTH(Data!$E1886)</f>
        <v>9</v>
      </c>
      <c r="G1886" s="16">
        <f>YEAR(Data!$E1886)</f>
        <v>2024</v>
      </c>
      <c r="H1886" s="15" t="s">
        <v>11</v>
      </c>
      <c r="I1886" s="15" t="str">
        <f t="shared" si="29"/>
        <v>Doanh nghiệp</v>
      </c>
      <c r="J1886" s="15" t="s">
        <v>1285</v>
      </c>
      <c r="K1886" s="15" t="s">
        <v>1271</v>
      </c>
      <c r="L1886" s="32">
        <f>Data!$D1886/10^6</f>
        <v>36.281818000000001</v>
      </c>
    </row>
    <row r="1887" spans="1:12" x14ac:dyDescent="0.25">
      <c r="A1887" s="29" t="s">
        <v>89</v>
      </c>
      <c r="B1887" s="15" t="s">
        <v>1044</v>
      </c>
      <c r="C1887" s="15" t="s">
        <v>46</v>
      </c>
      <c r="D1887" s="16">
        <v>36281818</v>
      </c>
      <c r="E1887" s="17">
        <v>45536</v>
      </c>
      <c r="F1887" s="18">
        <f>MONTH(Data!$E1887)</f>
        <v>9</v>
      </c>
      <c r="G1887" s="16">
        <f>YEAR(Data!$E1887)</f>
        <v>2024</v>
      </c>
      <c r="H1887" s="15" t="s">
        <v>11</v>
      </c>
      <c r="I1887" s="15" t="str">
        <f t="shared" si="29"/>
        <v>Doanh nghiệp</v>
      </c>
      <c r="J1887" s="15" t="s">
        <v>1284</v>
      </c>
      <c r="K1887" s="15" t="s">
        <v>1271</v>
      </c>
      <c r="L1887" s="32">
        <f>Data!$D1887/10^6</f>
        <v>36.281818000000001</v>
      </c>
    </row>
    <row r="1888" spans="1:12" x14ac:dyDescent="0.25">
      <c r="A1888" s="29" t="s">
        <v>87</v>
      </c>
      <c r="B1888" s="15" t="s">
        <v>1123</v>
      </c>
      <c r="C1888" s="15" t="s">
        <v>46</v>
      </c>
      <c r="D1888" s="16">
        <v>36363636</v>
      </c>
      <c r="E1888" s="17">
        <v>45536</v>
      </c>
      <c r="F1888" s="18">
        <f>MONTH(Data!$E1888)</f>
        <v>9</v>
      </c>
      <c r="G1888" s="16">
        <f>YEAR(Data!$E1888)</f>
        <v>2024</v>
      </c>
      <c r="H1888" s="15" t="s">
        <v>29</v>
      </c>
      <c r="I1888" s="15" t="str">
        <f t="shared" si="29"/>
        <v>Doanh nghiệp</v>
      </c>
      <c r="J1888" s="15" t="s">
        <v>1285</v>
      </c>
      <c r="K1888" s="15" t="s">
        <v>1271</v>
      </c>
      <c r="L1888" s="32">
        <f>Data!$D1888/10^6</f>
        <v>36.363636</v>
      </c>
    </row>
    <row r="1889" spans="1:12" x14ac:dyDescent="0.25">
      <c r="A1889" s="29" t="s">
        <v>87</v>
      </c>
      <c r="B1889" s="15" t="s">
        <v>1124</v>
      </c>
      <c r="C1889" s="15" t="s">
        <v>46</v>
      </c>
      <c r="D1889" s="16">
        <v>36363636</v>
      </c>
      <c r="E1889" s="17">
        <v>45536</v>
      </c>
      <c r="F1889" s="18">
        <f>MONTH(Data!$E1889)</f>
        <v>9</v>
      </c>
      <c r="G1889" s="16">
        <f>YEAR(Data!$E1889)</f>
        <v>2024</v>
      </c>
      <c r="H1889" s="15" t="s">
        <v>29</v>
      </c>
      <c r="I1889" s="15" t="str">
        <f t="shared" si="29"/>
        <v>Doanh nghiệp</v>
      </c>
      <c r="J1889" s="15" t="s">
        <v>1284</v>
      </c>
      <c r="K1889" s="15" t="s">
        <v>1271</v>
      </c>
      <c r="L1889" s="32">
        <f>Data!$D1889/10^6</f>
        <v>36.363636</v>
      </c>
    </row>
    <row r="1890" spans="1:12" x14ac:dyDescent="0.25">
      <c r="A1890" s="30" t="s">
        <v>89</v>
      </c>
      <c r="B1890" s="19" t="s">
        <v>489</v>
      </c>
      <c r="C1890" s="19" t="s">
        <v>46</v>
      </c>
      <c r="D1890" s="16">
        <v>87159091</v>
      </c>
      <c r="E1890" s="17">
        <v>45536</v>
      </c>
      <c r="F1890" s="18">
        <f>MONTH(Data!$E1890)</f>
        <v>9</v>
      </c>
      <c r="G1890" s="16">
        <f>YEAR(Data!$E1890)</f>
        <v>2024</v>
      </c>
      <c r="H1890" s="15" t="s">
        <v>11</v>
      </c>
      <c r="I1890" s="15" t="str">
        <f t="shared" si="29"/>
        <v>Sở ban ngành</v>
      </c>
      <c r="J1890" s="15" t="s">
        <v>1285</v>
      </c>
      <c r="K1890" s="15" t="s">
        <v>1271</v>
      </c>
      <c r="L1890" s="32">
        <f>Data!$D1890/10^6</f>
        <v>87.159091000000004</v>
      </c>
    </row>
    <row r="1891" spans="1:12" x14ac:dyDescent="0.25">
      <c r="A1891" s="30" t="s">
        <v>65</v>
      </c>
      <c r="B1891" s="15" t="s">
        <v>1045</v>
      </c>
      <c r="C1891" s="19" t="s">
        <v>10</v>
      </c>
      <c r="D1891" s="16">
        <v>145454545</v>
      </c>
      <c r="E1891" s="17">
        <v>45536</v>
      </c>
      <c r="F1891" s="18">
        <f>MONTH(Data!$E1891)</f>
        <v>9</v>
      </c>
      <c r="G1891" s="16">
        <f>YEAR(Data!$E1891)</f>
        <v>2024</v>
      </c>
      <c r="H1891" s="15" t="s">
        <v>25</v>
      </c>
      <c r="I1891" s="15" t="str">
        <f t="shared" si="29"/>
        <v>Doanh nghiệp</v>
      </c>
      <c r="J1891" s="15" t="s">
        <v>1284</v>
      </c>
      <c r="K1891" s="15" t="s">
        <v>1267</v>
      </c>
      <c r="L1891" s="32">
        <f>Data!$D1891/10^6</f>
        <v>145.454545</v>
      </c>
    </row>
    <row r="1892" spans="1:12" x14ac:dyDescent="0.25">
      <c r="A1892" s="29" t="s">
        <v>87</v>
      </c>
      <c r="B1892" s="15" t="s">
        <v>1045</v>
      </c>
      <c r="C1892" s="15" t="s">
        <v>46</v>
      </c>
      <c r="D1892" s="16">
        <v>36363636</v>
      </c>
      <c r="E1892" s="17">
        <v>45536</v>
      </c>
      <c r="F1892" s="18">
        <f>MONTH(Data!$E1892)</f>
        <v>9</v>
      </c>
      <c r="G1892" s="16">
        <f>YEAR(Data!$E1892)</f>
        <v>2024</v>
      </c>
      <c r="H1892" s="15" t="s">
        <v>29</v>
      </c>
      <c r="I1892" s="15" t="str">
        <f t="shared" si="29"/>
        <v>Doanh nghiệp</v>
      </c>
      <c r="J1892" s="15" t="s">
        <v>1285</v>
      </c>
      <c r="K1892" s="15" t="s">
        <v>1271</v>
      </c>
      <c r="L1892" s="32">
        <f>Data!$D1892/10^6</f>
        <v>36.363636</v>
      </c>
    </row>
    <row r="1893" spans="1:12" x14ac:dyDescent="0.25">
      <c r="A1893" s="30" t="s">
        <v>130</v>
      </c>
      <c r="B1893" s="19" t="s">
        <v>535</v>
      </c>
      <c r="C1893" s="19" t="s">
        <v>10</v>
      </c>
      <c r="D1893" s="16">
        <v>1020500000</v>
      </c>
      <c r="E1893" s="17">
        <v>45536</v>
      </c>
      <c r="F1893" s="18">
        <f>MONTH(Data!$E1893)</f>
        <v>9</v>
      </c>
      <c r="G1893" s="16">
        <f>YEAR(Data!$E1893)</f>
        <v>2024</v>
      </c>
      <c r="H1893" s="15" t="s">
        <v>22</v>
      </c>
      <c r="I1893" s="15" t="str">
        <f t="shared" si="29"/>
        <v>Sở ban ngành</v>
      </c>
      <c r="J1893" s="15" t="s">
        <v>1284</v>
      </c>
      <c r="K1893" s="15" t="s">
        <v>1278</v>
      </c>
      <c r="L1893" s="32">
        <f>Data!$D1893/10^6</f>
        <v>1020.5</v>
      </c>
    </row>
    <row r="1894" spans="1:12" x14ac:dyDescent="0.25">
      <c r="A1894" s="30" t="s">
        <v>37</v>
      </c>
      <c r="B1894" s="19" t="s">
        <v>208</v>
      </c>
      <c r="C1894" s="19" t="s">
        <v>10</v>
      </c>
      <c r="D1894" s="16">
        <v>927657273</v>
      </c>
      <c r="E1894" s="17">
        <v>45536</v>
      </c>
      <c r="F1894" s="18">
        <f>MONTH(Data!$E1894)</f>
        <v>9</v>
      </c>
      <c r="G1894" s="16">
        <f>YEAR(Data!$E1894)</f>
        <v>2024</v>
      </c>
      <c r="H1894" s="15" t="s">
        <v>11</v>
      </c>
      <c r="I1894" s="15" t="str">
        <f t="shared" si="29"/>
        <v>Sở ban ngành</v>
      </c>
      <c r="J1894" s="15" t="s">
        <v>1285</v>
      </c>
      <c r="K1894" s="15" t="s">
        <v>1276</v>
      </c>
      <c r="L1894" s="32">
        <f>Data!$D1894/10^6</f>
        <v>927.65727300000003</v>
      </c>
    </row>
    <row r="1895" spans="1:12" x14ac:dyDescent="0.25">
      <c r="A1895" s="29" t="s">
        <v>92</v>
      </c>
      <c r="B1895" s="15" t="s">
        <v>520</v>
      </c>
      <c r="C1895" s="15" t="s">
        <v>10</v>
      </c>
      <c r="D1895" s="16">
        <v>635737273</v>
      </c>
      <c r="E1895" s="17">
        <v>45536</v>
      </c>
      <c r="F1895" s="18">
        <f>MONTH(Data!$E1895)</f>
        <v>9</v>
      </c>
      <c r="G1895" s="16">
        <f>YEAR(Data!$E1895)</f>
        <v>2024</v>
      </c>
      <c r="H1895" s="15" t="s">
        <v>29</v>
      </c>
      <c r="I1895" s="15" t="str">
        <f t="shared" si="29"/>
        <v>Sở ban ngành</v>
      </c>
      <c r="J1895" s="15" t="s">
        <v>1284</v>
      </c>
      <c r="K1895" s="15" t="s">
        <v>1278</v>
      </c>
      <c r="L1895" s="32">
        <f>Data!$D1895/10^6</f>
        <v>635.73727299999996</v>
      </c>
    </row>
    <row r="1896" spans="1:12" x14ac:dyDescent="0.25">
      <c r="A1896" s="29" t="s">
        <v>72</v>
      </c>
      <c r="B1896" s="15" t="s">
        <v>508</v>
      </c>
      <c r="C1896" s="18" t="s">
        <v>10</v>
      </c>
      <c r="D1896" s="16">
        <v>27136364</v>
      </c>
      <c r="E1896" s="17">
        <v>45536</v>
      </c>
      <c r="F1896" s="18">
        <f>MONTH(Data!$E1896)</f>
        <v>9</v>
      </c>
      <c r="G1896" s="16">
        <f>YEAR(Data!$E1896)</f>
        <v>2024</v>
      </c>
      <c r="H1896" s="15" t="s">
        <v>22</v>
      </c>
      <c r="I1896" s="15" t="str">
        <f t="shared" si="29"/>
        <v>Sở ban ngành</v>
      </c>
      <c r="J1896" s="15" t="s">
        <v>1285</v>
      </c>
      <c r="K1896" s="15" t="s">
        <v>1278</v>
      </c>
      <c r="L1896" s="32">
        <f>Data!$D1896/10^6</f>
        <v>27.136364</v>
      </c>
    </row>
    <row r="1897" spans="1:12" x14ac:dyDescent="0.25">
      <c r="A1897" s="29" t="s">
        <v>23</v>
      </c>
      <c r="B1897" s="15" t="s">
        <v>509</v>
      </c>
      <c r="C1897" s="18" t="s">
        <v>46</v>
      </c>
      <c r="D1897" s="16">
        <v>12600000</v>
      </c>
      <c r="E1897" s="17">
        <v>45536</v>
      </c>
      <c r="F1897" s="18">
        <f>MONTH(Data!$E1897)</f>
        <v>9</v>
      </c>
      <c r="G1897" s="16">
        <f>YEAR(Data!$E1897)</f>
        <v>2024</v>
      </c>
      <c r="H1897" s="15" t="s">
        <v>25</v>
      </c>
      <c r="I1897" s="15" t="str">
        <f t="shared" si="29"/>
        <v>Sở ban ngành</v>
      </c>
      <c r="J1897" s="15" t="s">
        <v>1284</v>
      </c>
      <c r="K1897" s="15" t="s">
        <v>1271</v>
      </c>
      <c r="L1897" s="32">
        <f>Data!$D1897/10^6</f>
        <v>12.6</v>
      </c>
    </row>
    <row r="1898" spans="1:12" x14ac:dyDescent="0.25">
      <c r="A1898" s="30" t="s">
        <v>71</v>
      </c>
      <c r="B1898" s="19" t="s">
        <v>541</v>
      </c>
      <c r="C1898" s="19" t="s">
        <v>14</v>
      </c>
      <c r="D1898" s="16">
        <v>411271723</v>
      </c>
      <c r="E1898" s="17">
        <v>45536</v>
      </c>
      <c r="F1898" s="18">
        <f>MONTH(Data!$E1898)</f>
        <v>9</v>
      </c>
      <c r="G1898" s="16">
        <f>YEAR(Data!$E1898)</f>
        <v>2024</v>
      </c>
      <c r="H1898" s="15" t="s">
        <v>11</v>
      </c>
      <c r="I1898" s="15" t="str">
        <f t="shared" si="29"/>
        <v>Sở ban ngành</v>
      </c>
      <c r="J1898" s="15" t="s">
        <v>1285</v>
      </c>
      <c r="K1898" s="15" t="s">
        <v>1264</v>
      </c>
      <c r="L1898" s="32">
        <f>Data!$D1898/10^6</f>
        <v>411.27172300000001</v>
      </c>
    </row>
    <row r="1899" spans="1:12" x14ac:dyDescent="0.25">
      <c r="A1899" s="29" t="s">
        <v>127</v>
      </c>
      <c r="B1899" s="15" t="s">
        <v>531</v>
      </c>
      <c r="C1899" s="15" t="s">
        <v>149</v>
      </c>
      <c r="D1899" s="16">
        <v>27272727</v>
      </c>
      <c r="E1899" s="17">
        <v>45536</v>
      </c>
      <c r="F1899" s="18">
        <f>MONTH(Data!$E1899)</f>
        <v>9</v>
      </c>
      <c r="G1899" s="16">
        <f>YEAR(Data!$E1899)</f>
        <v>2024</v>
      </c>
      <c r="H1899" s="15" t="s">
        <v>32</v>
      </c>
      <c r="I1899" s="15" t="str">
        <f t="shared" si="29"/>
        <v>Sở ban ngành</v>
      </c>
      <c r="J1899" s="15" t="s">
        <v>1284</v>
      </c>
      <c r="K1899" s="15" t="s">
        <v>1266</v>
      </c>
      <c r="L1899" s="32">
        <f>Data!$D1899/10^6</f>
        <v>27.272727</v>
      </c>
    </row>
    <row r="1900" spans="1:12" x14ac:dyDescent="0.25">
      <c r="A1900" s="30" t="s">
        <v>146</v>
      </c>
      <c r="B1900" s="19" t="s">
        <v>546</v>
      </c>
      <c r="C1900" s="19" t="s">
        <v>41</v>
      </c>
      <c r="D1900" s="16">
        <v>74900000</v>
      </c>
      <c r="E1900" s="17">
        <v>45536</v>
      </c>
      <c r="F1900" s="18">
        <f>MONTH(Data!$E1900)</f>
        <v>9</v>
      </c>
      <c r="G1900" s="16">
        <f>YEAR(Data!$E1900)</f>
        <v>2024</v>
      </c>
      <c r="H1900" s="15" t="s">
        <v>32</v>
      </c>
      <c r="I1900" s="15" t="str">
        <f t="shared" si="29"/>
        <v>Sở ban ngành</v>
      </c>
      <c r="J1900" s="15" t="s">
        <v>1285</v>
      </c>
      <c r="K1900" s="15" t="s">
        <v>1280</v>
      </c>
      <c r="L1900" s="32">
        <f>Data!$D1900/10^6</f>
        <v>74.900000000000006</v>
      </c>
    </row>
    <row r="1901" spans="1:12" x14ac:dyDescent="0.25">
      <c r="A1901" s="29" t="s">
        <v>74</v>
      </c>
      <c r="B1901" s="15" t="s">
        <v>289</v>
      </c>
      <c r="C1901" s="15" t="s">
        <v>14</v>
      </c>
      <c r="D1901" s="16">
        <v>24103636</v>
      </c>
      <c r="E1901" s="17">
        <v>45536</v>
      </c>
      <c r="F1901" s="18">
        <f>MONTH(Data!$E1901)</f>
        <v>9</v>
      </c>
      <c r="G1901" s="16">
        <f>YEAR(Data!$E1901)</f>
        <v>2024</v>
      </c>
      <c r="H1901" s="15" t="s">
        <v>11</v>
      </c>
      <c r="I1901" s="15" t="str">
        <f t="shared" si="29"/>
        <v>Sở ban ngành</v>
      </c>
      <c r="J1901" s="15" t="s">
        <v>1284</v>
      </c>
      <c r="K1901" s="15" t="s">
        <v>1264</v>
      </c>
      <c r="L1901" s="32">
        <f>Data!$D1901/10^6</f>
        <v>24.103636000000002</v>
      </c>
    </row>
    <row r="1902" spans="1:12" x14ac:dyDescent="0.25">
      <c r="A1902" s="30" t="s">
        <v>47</v>
      </c>
      <c r="B1902" s="19" t="s">
        <v>539</v>
      </c>
      <c r="C1902" s="19" t="s">
        <v>46</v>
      </c>
      <c r="D1902" s="16">
        <v>69476727</v>
      </c>
      <c r="E1902" s="17">
        <v>45536</v>
      </c>
      <c r="F1902" s="18">
        <f>MONTH(Data!$E1902)</f>
        <v>9</v>
      </c>
      <c r="G1902" s="16">
        <f>YEAR(Data!$E1902)</f>
        <v>2024</v>
      </c>
      <c r="H1902" s="15" t="s">
        <v>29</v>
      </c>
      <c r="I1902" s="15" t="str">
        <f t="shared" si="29"/>
        <v>Sở ban ngành</v>
      </c>
      <c r="J1902" s="15" t="s">
        <v>1285</v>
      </c>
      <c r="K1902" s="15" t="s">
        <v>1271</v>
      </c>
      <c r="L1902" s="32">
        <f>Data!$D1902/10^6</f>
        <v>69.476726999999997</v>
      </c>
    </row>
    <row r="1903" spans="1:12" x14ac:dyDescent="0.25">
      <c r="A1903" s="30" t="s">
        <v>130</v>
      </c>
      <c r="B1903" s="19" t="s">
        <v>540</v>
      </c>
      <c r="C1903" s="19" t="s">
        <v>14</v>
      </c>
      <c r="D1903" s="16">
        <v>88461818</v>
      </c>
      <c r="E1903" s="17">
        <v>45536</v>
      </c>
      <c r="F1903" s="18">
        <f>MONTH(Data!$E1903)</f>
        <v>9</v>
      </c>
      <c r="G1903" s="16">
        <f>YEAR(Data!$E1903)</f>
        <v>2024</v>
      </c>
      <c r="H1903" s="15" t="s">
        <v>22</v>
      </c>
      <c r="I1903" s="15" t="str">
        <f t="shared" si="29"/>
        <v>Sở ban ngành</v>
      </c>
      <c r="J1903" s="15" t="s">
        <v>1284</v>
      </c>
      <c r="K1903" s="15" t="s">
        <v>1277</v>
      </c>
      <c r="L1903" s="32">
        <f>Data!$D1903/10^6</f>
        <v>88.461817999999994</v>
      </c>
    </row>
    <row r="1904" spans="1:12" x14ac:dyDescent="0.25">
      <c r="A1904" s="29" t="s">
        <v>109</v>
      </c>
      <c r="B1904" s="15" t="s">
        <v>530</v>
      </c>
      <c r="C1904" s="15" t="s">
        <v>149</v>
      </c>
      <c r="D1904" s="16">
        <v>645376305</v>
      </c>
      <c r="E1904" s="17">
        <v>45536</v>
      </c>
      <c r="F1904" s="18">
        <f>MONTH(Data!$E1904)</f>
        <v>9</v>
      </c>
      <c r="G1904" s="16">
        <f>YEAR(Data!$E1904)</f>
        <v>2024</v>
      </c>
      <c r="H1904" s="15" t="s">
        <v>22</v>
      </c>
      <c r="I1904" s="15" t="str">
        <f t="shared" si="29"/>
        <v>Sở ban ngành</v>
      </c>
      <c r="J1904" s="15" t="s">
        <v>1285</v>
      </c>
      <c r="K1904" s="15" t="s">
        <v>1266</v>
      </c>
      <c r="L1904" s="32">
        <f>Data!$D1904/10^6</f>
        <v>645.376305</v>
      </c>
    </row>
    <row r="1905" spans="1:12" x14ac:dyDescent="0.25">
      <c r="A1905" s="29" t="s">
        <v>8</v>
      </c>
      <c r="B1905" s="15" t="s">
        <v>510</v>
      </c>
      <c r="C1905" s="18" t="s">
        <v>10</v>
      </c>
      <c r="D1905" s="16">
        <v>15635909</v>
      </c>
      <c r="E1905" s="17">
        <v>45536</v>
      </c>
      <c r="F1905" s="18">
        <f>MONTH(Data!$E1905)</f>
        <v>9</v>
      </c>
      <c r="G1905" s="16">
        <f>YEAR(Data!$E1905)</f>
        <v>2024</v>
      </c>
      <c r="H1905" s="15" t="s">
        <v>11</v>
      </c>
      <c r="I1905" s="15" t="str">
        <f t="shared" si="29"/>
        <v>Sở ban ngành</v>
      </c>
      <c r="J1905" s="15" t="s">
        <v>1284</v>
      </c>
      <c r="K1905" s="15" t="s">
        <v>1263</v>
      </c>
      <c r="L1905" s="32">
        <f>Data!$D1905/10^6</f>
        <v>15.635909</v>
      </c>
    </row>
    <row r="1906" spans="1:12" x14ac:dyDescent="0.25">
      <c r="A1906" s="29" t="s">
        <v>109</v>
      </c>
      <c r="B1906" s="15" t="s">
        <v>506</v>
      </c>
      <c r="C1906" s="18" t="s">
        <v>46</v>
      </c>
      <c r="D1906" s="16">
        <v>38763636</v>
      </c>
      <c r="E1906" s="17">
        <v>45536</v>
      </c>
      <c r="F1906" s="18">
        <f>MONTH(Data!$E1906)</f>
        <v>9</v>
      </c>
      <c r="G1906" s="16">
        <f>YEAR(Data!$E1906)</f>
        <v>2024</v>
      </c>
      <c r="H1906" s="15" t="s">
        <v>22</v>
      </c>
      <c r="I1906" s="15" t="str">
        <f t="shared" si="29"/>
        <v>Sở ban ngành</v>
      </c>
      <c r="J1906" s="15" t="s">
        <v>1285</v>
      </c>
      <c r="K1906" s="15" t="s">
        <v>1271</v>
      </c>
      <c r="L1906" s="32">
        <f>Data!$D1906/10^6</f>
        <v>38.763635999999998</v>
      </c>
    </row>
    <row r="1907" spans="1:12" x14ac:dyDescent="0.25">
      <c r="A1907" s="29" t="s">
        <v>17</v>
      </c>
      <c r="B1907" s="15" t="s">
        <v>518</v>
      </c>
      <c r="C1907" s="15" t="s">
        <v>10</v>
      </c>
      <c r="D1907" s="16">
        <v>21900000</v>
      </c>
      <c r="E1907" s="17">
        <v>45536</v>
      </c>
      <c r="F1907" s="18">
        <f>MONTH(Data!$E1907)</f>
        <v>9</v>
      </c>
      <c r="G1907" s="16">
        <f>YEAR(Data!$E1907)</f>
        <v>2024</v>
      </c>
      <c r="H1907" s="15" t="s">
        <v>11</v>
      </c>
      <c r="I1907" s="15" t="str">
        <f t="shared" si="29"/>
        <v>Sở ban ngành</v>
      </c>
      <c r="J1907" s="15" t="s">
        <v>1284</v>
      </c>
      <c r="K1907" s="15" t="s">
        <v>1267</v>
      </c>
      <c r="L1907" s="32">
        <f>Data!$D1907/10^6</f>
        <v>21.9</v>
      </c>
    </row>
    <row r="1908" spans="1:12" x14ac:dyDescent="0.25">
      <c r="A1908" s="29" t="s">
        <v>100</v>
      </c>
      <c r="B1908" s="15" t="s">
        <v>525</v>
      </c>
      <c r="C1908" s="15" t="s">
        <v>10</v>
      </c>
      <c r="D1908" s="16">
        <v>23263636</v>
      </c>
      <c r="E1908" s="17">
        <v>45536</v>
      </c>
      <c r="F1908" s="18">
        <f>MONTH(Data!$E1908)</f>
        <v>9</v>
      </c>
      <c r="G1908" s="16">
        <f>YEAR(Data!$E1908)</f>
        <v>2024</v>
      </c>
      <c r="H1908" s="15" t="s">
        <v>42</v>
      </c>
      <c r="I1908" s="15" t="str">
        <f t="shared" si="29"/>
        <v>Sở ban ngành</v>
      </c>
      <c r="J1908" s="15" t="s">
        <v>1285</v>
      </c>
      <c r="K1908" s="15" t="s">
        <v>1262</v>
      </c>
      <c r="L1908" s="32">
        <f>Data!$D1908/10^6</f>
        <v>23.263636000000002</v>
      </c>
    </row>
    <row r="1909" spans="1:12" x14ac:dyDescent="0.25">
      <c r="A1909" s="30" t="s">
        <v>13</v>
      </c>
      <c r="B1909" s="19" t="s">
        <v>463</v>
      </c>
      <c r="C1909" s="19" t="s">
        <v>10</v>
      </c>
      <c r="D1909" s="16">
        <v>40047545</v>
      </c>
      <c r="E1909" s="17">
        <v>45536</v>
      </c>
      <c r="F1909" s="18">
        <f>MONTH(Data!$E1909)</f>
        <v>9</v>
      </c>
      <c r="G1909" s="16">
        <f>YEAR(Data!$E1909)</f>
        <v>2024</v>
      </c>
      <c r="H1909" s="15" t="s">
        <v>15</v>
      </c>
      <c r="I1909" s="15" t="str">
        <f t="shared" si="29"/>
        <v>Sở ban ngành</v>
      </c>
      <c r="J1909" s="15" t="s">
        <v>1284</v>
      </c>
      <c r="K1909" s="15" t="s">
        <v>1263</v>
      </c>
      <c r="L1909" s="32">
        <f>Data!$D1909/10^6</f>
        <v>40.047545</v>
      </c>
    </row>
    <row r="1910" spans="1:12" x14ac:dyDescent="0.25">
      <c r="A1910" s="30" t="s">
        <v>74</v>
      </c>
      <c r="B1910" s="19" t="s">
        <v>534</v>
      </c>
      <c r="C1910" s="19" t="s">
        <v>10</v>
      </c>
      <c r="D1910" s="16">
        <v>24083000</v>
      </c>
      <c r="E1910" s="17">
        <v>45536</v>
      </c>
      <c r="F1910" s="18">
        <f>MONTH(Data!$E1910)</f>
        <v>9</v>
      </c>
      <c r="G1910" s="16">
        <f>YEAR(Data!$E1910)</f>
        <v>2024</v>
      </c>
      <c r="H1910" s="15" t="s">
        <v>11</v>
      </c>
      <c r="I1910" s="15" t="str">
        <f t="shared" si="29"/>
        <v>Sở ban ngành</v>
      </c>
      <c r="J1910" s="15" t="s">
        <v>1285</v>
      </c>
      <c r="K1910" s="15" t="s">
        <v>1262</v>
      </c>
      <c r="L1910" s="32">
        <f>Data!$D1910/10^6</f>
        <v>24.082999999999998</v>
      </c>
    </row>
    <row r="1911" spans="1:12" x14ac:dyDescent="0.25">
      <c r="A1911" s="30" t="s">
        <v>37</v>
      </c>
      <c r="B1911" s="19" t="s">
        <v>281</v>
      </c>
      <c r="C1911" s="19" t="s">
        <v>46</v>
      </c>
      <c r="D1911" s="16">
        <v>36237455</v>
      </c>
      <c r="E1911" s="17">
        <v>45536</v>
      </c>
      <c r="F1911" s="18">
        <f>MONTH(Data!$E1911)</f>
        <v>9</v>
      </c>
      <c r="G1911" s="16">
        <f>YEAR(Data!$E1911)</f>
        <v>2024</v>
      </c>
      <c r="H1911" s="15" t="s">
        <v>11</v>
      </c>
      <c r="I1911" s="15" t="str">
        <f t="shared" si="29"/>
        <v>Sở ban ngành</v>
      </c>
      <c r="J1911" s="15" t="s">
        <v>1284</v>
      </c>
      <c r="K1911" s="15" t="s">
        <v>1271</v>
      </c>
      <c r="L1911" s="32">
        <f>Data!$D1911/10^6</f>
        <v>36.237454999999997</v>
      </c>
    </row>
    <row r="1912" spans="1:12" x14ac:dyDescent="0.25">
      <c r="A1912" s="29" t="s">
        <v>74</v>
      </c>
      <c r="B1912" s="15" t="s">
        <v>523</v>
      </c>
      <c r="C1912" s="15" t="s">
        <v>10</v>
      </c>
      <c r="D1912" s="16">
        <v>41711189</v>
      </c>
      <c r="E1912" s="17">
        <v>45536</v>
      </c>
      <c r="F1912" s="18">
        <f>MONTH(Data!$E1912)</f>
        <v>9</v>
      </c>
      <c r="G1912" s="16">
        <f>YEAR(Data!$E1912)</f>
        <v>2024</v>
      </c>
      <c r="H1912" s="15" t="s">
        <v>11</v>
      </c>
      <c r="I1912" s="15" t="str">
        <f t="shared" si="29"/>
        <v>Sở ban ngành</v>
      </c>
      <c r="J1912" s="15" t="s">
        <v>1285</v>
      </c>
      <c r="K1912" s="15" t="s">
        <v>1263</v>
      </c>
      <c r="L1912" s="32">
        <f>Data!$D1912/10^6</f>
        <v>41.711188999999997</v>
      </c>
    </row>
    <row r="1913" spans="1:12" x14ac:dyDescent="0.25">
      <c r="A1913" s="29" t="s">
        <v>74</v>
      </c>
      <c r="B1913" s="15" t="s">
        <v>523</v>
      </c>
      <c r="C1913" s="15" t="s">
        <v>10</v>
      </c>
      <c r="D1913" s="16">
        <v>66808614</v>
      </c>
      <c r="E1913" s="17">
        <v>45536</v>
      </c>
      <c r="F1913" s="18">
        <f>MONTH(Data!$E1913)</f>
        <v>9</v>
      </c>
      <c r="G1913" s="16">
        <f>YEAR(Data!$E1913)</f>
        <v>2024</v>
      </c>
      <c r="H1913" s="15" t="s">
        <v>11</v>
      </c>
      <c r="I1913" s="15" t="str">
        <f t="shared" si="29"/>
        <v>Sở ban ngành</v>
      </c>
      <c r="J1913" s="15" t="s">
        <v>1284</v>
      </c>
      <c r="K1913" s="15" t="s">
        <v>1263</v>
      </c>
      <c r="L1913" s="32">
        <f>Data!$D1913/10^6</f>
        <v>66.808614000000006</v>
      </c>
    </row>
    <row r="1914" spans="1:12" x14ac:dyDescent="0.25">
      <c r="A1914" s="30" t="s">
        <v>74</v>
      </c>
      <c r="B1914" s="19" t="s">
        <v>538</v>
      </c>
      <c r="C1914" s="19" t="s">
        <v>46</v>
      </c>
      <c r="D1914" s="16">
        <v>641312727</v>
      </c>
      <c r="E1914" s="17">
        <v>45536</v>
      </c>
      <c r="F1914" s="18">
        <f>MONTH(Data!$E1914)</f>
        <v>9</v>
      </c>
      <c r="G1914" s="16">
        <f>YEAR(Data!$E1914)</f>
        <v>2024</v>
      </c>
      <c r="H1914" s="15" t="s">
        <v>11</v>
      </c>
      <c r="I1914" s="15" t="str">
        <f t="shared" si="29"/>
        <v>Sở ban ngành</v>
      </c>
      <c r="J1914" s="15" t="s">
        <v>1285</v>
      </c>
      <c r="K1914" s="15" t="s">
        <v>1271</v>
      </c>
      <c r="L1914" s="32">
        <f>Data!$D1914/10^6</f>
        <v>641.312727</v>
      </c>
    </row>
    <row r="1915" spans="1:12" x14ac:dyDescent="0.25">
      <c r="A1915" s="30" t="s">
        <v>111</v>
      </c>
      <c r="B1915" s="19" t="s">
        <v>545</v>
      </c>
      <c r="C1915" s="19" t="s">
        <v>14</v>
      </c>
      <c r="D1915" s="16">
        <v>81775636</v>
      </c>
      <c r="E1915" s="17">
        <v>45536</v>
      </c>
      <c r="F1915" s="18">
        <f>MONTH(Data!$E1915)</f>
        <v>9</v>
      </c>
      <c r="G1915" s="16">
        <f>YEAR(Data!$E1915)</f>
        <v>2024</v>
      </c>
      <c r="H1915" s="15" t="s">
        <v>22</v>
      </c>
      <c r="I1915" s="15" t="str">
        <f t="shared" si="29"/>
        <v>Sở ban ngành</v>
      </c>
      <c r="J1915" s="15" t="s">
        <v>1284</v>
      </c>
      <c r="K1915" s="15" t="s">
        <v>1272</v>
      </c>
      <c r="L1915" s="32">
        <f>Data!$D1915/10^6</f>
        <v>81.775636000000006</v>
      </c>
    </row>
    <row r="1916" spans="1:12" x14ac:dyDescent="0.25">
      <c r="A1916" s="30" t="s">
        <v>74</v>
      </c>
      <c r="B1916" s="19" t="s">
        <v>533</v>
      </c>
      <c r="C1916" s="19" t="s">
        <v>10</v>
      </c>
      <c r="D1916" s="16">
        <v>19692624</v>
      </c>
      <c r="E1916" s="17">
        <v>45536</v>
      </c>
      <c r="F1916" s="18">
        <f>MONTH(Data!$E1916)</f>
        <v>9</v>
      </c>
      <c r="G1916" s="16">
        <f>YEAR(Data!$E1916)</f>
        <v>2024</v>
      </c>
      <c r="H1916" s="15" t="s">
        <v>11</v>
      </c>
      <c r="I1916" s="15" t="str">
        <f t="shared" si="29"/>
        <v>Sở ban ngành</v>
      </c>
      <c r="J1916" s="15" t="s">
        <v>1285</v>
      </c>
      <c r="K1916" s="15" t="s">
        <v>1263</v>
      </c>
      <c r="L1916" s="32">
        <f>Data!$D1916/10^6</f>
        <v>19.692623999999999</v>
      </c>
    </row>
    <row r="1917" spans="1:12" x14ac:dyDescent="0.25">
      <c r="A1917" s="30" t="s">
        <v>59</v>
      </c>
      <c r="B1917" s="19" t="s">
        <v>543</v>
      </c>
      <c r="C1917" s="19" t="s">
        <v>46</v>
      </c>
      <c r="D1917" s="16">
        <v>18181818</v>
      </c>
      <c r="E1917" s="17">
        <v>45536</v>
      </c>
      <c r="F1917" s="18">
        <f>MONTH(Data!$E1917)</f>
        <v>9</v>
      </c>
      <c r="G1917" s="16">
        <f>YEAR(Data!$E1917)</f>
        <v>2024</v>
      </c>
      <c r="H1917" s="15" t="s">
        <v>22</v>
      </c>
      <c r="I1917" s="15" t="str">
        <f t="shared" si="29"/>
        <v>Sở ban ngành</v>
      </c>
      <c r="J1917" s="15" t="s">
        <v>1284</v>
      </c>
      <c r="K1917" s="15" t="s">
        <v>1271</v>
      </c>
      <c r="L1917" s="32">
        <f>Data!$D1917/10^6</f>
        <v>18.181818</v>
      </c>
    </row>
    <row r="1918" spans="1:12" x14ac:dyDescent="0.25">
      <c r="A1918" s="29" t="s">
        <v>127</v>
      </c>
      <c r="B1918" s="15" t="s">
        <v>250</v>
      </c>
      <c r="C1918" s="18" t="s">
        <v>10</v>
      </c>
      <c r="D1918" s="16">
        <v>169090909</v>
      </c>
      <c r="E1918" s="17">
        <v>45536</v>
      </c>
      <c r="F1918" s="18">
        <f>MONTH(Data!$E1918)</f>
        <v>9</v>
      </c>
      <c r="G1918" s="16">
        <f>YEAR(Data!$E1918)</f>
        <v>2024</v>
      </c>
      <c r="H1918" s="15" t="s">
        <v>32</v>
      </c>
      <c r="I1918" s="15" t="str">
        <f t="shared" si="29"/>
        <v>Sở ban ngành</v>
      </c>
      <c r="J1918" s="15" t="s">
        <v>1285</v>
      </c>
      <c r="K1918" s="15" t="s">
        <v>1263</v>
      </c>
      <c r="L1918" s="32">
        <f>Data!$D1918/10^6</f>
        <v>169.09090900000001</v>
      </c>
    </row>
    <row r="1919" spans="1:12" x14ac:dyDescent="0.25">
      <c r="A1919" s="29" t="s">
        <v>17</v>
      </c>
      <c r="B1919" s="15" t="s">
        <v>521</v>
      </c>
      <c r="C1919" s="15" t="s">
        <v>10</v>
      </c>
      <c r="D1919" s="16">
        <v>122781818</v>
      </c>
      <c r="E1919" s="17">
        <v>45536</v>
      </c>
      <c r="F1919" s="18">
        <f>MONTH(Data!$E1919)</f>
        <v>9</v>
      </c>
      <c r="G1919" s="16">
        <f>YEAR(Data!$E1919)</f>
        <v>2024</v>
      </c>
      <c r="H1919" s="15" t="s">
        <v>11</v>
      </c>
      <c r="I1919" s="15" t="str">
        <f t="shared" si="29"/>
        <v>Sở ban ngành</v>
      </c>
      <c r="J1919" s="15" t="s">
        <v>1284</v>
      </c>
      <c r="K1919" s="15" t="s">
        <v>1263</v>
      </c>
      <c r="L1919" s="32">
        <f>Data!$D1919/10^6</f>
        <v>122.781818</v>
      </c>
    </row>
    <row r="1920" spans="1:12" x14ac:dyDescent="0.25">
      <c r="A1920" s="29" t="s">
        <v>116</v>
      </c>
      <c r="B1920" s="15" t="s">
        <v>507</v>
      </c>
      <c r="C1920" s="18" t="s">
        <v>149</v>
      </c>
      <c r="D1920" s="16">
        <v>22500000</v>
      </c>
      <c r="E1920" s="17">
        <v>45536</v>
      </c>
      <c r="F1920" s="18">
        <f>MONTH(Data!$E1920)</f>
        <v>9</v>
      </c>
      <c r="G1920" s="16">
        <f>YEAR(Data!$E1920)</f>
        <v>2024</v>
      </c>
      <c r="H1920" s="15" t="s">
        <v>15</v>
      </c>
      <c r="I1920" s="15" t="str">
        <f t="shared" si="29"/>
        <v>Sở ban ngành</v>
      </c>
      <c r="J1920" s="15" t="s">
        <v>1285</v>
      </c>
      <c r="K1920" s="15" t="s">
        <v>1263</v>
      </c>
      <c r="L1920" s="32">
        <f>Data!$D1920/10^6</f>
        <v>22.5</v>
      </c>
    </row>
    <row r="1921" spans="1:12" x14ac:dyDescent="0.25">
      <c r="A1921" s="29" t="s">
        <v>218</v>
      </c>
      <c r="B1921" s="15" t="s">
        <v>513</v>
      </c>
      <c r="C1921" s="15" t="s">
        <v>14</v>
      </c>
      <c r="D1921" s="16">
        <v>356504132</v>
      </c>
      <c r="E1921" s="17">
        <v>45536</v>
      </c>
      <c r="F1921" s="18">
        <f>MONTH(Data!$E1921)</f>
        <v>9</v>
      </c>
      <c r="G1921" s="16">
        <f>YEAR(Data!$E1921)</f>
        <v>2024</v>
      </c>
      <c r="H1921" s="15" t="s">
        <v>15</v>
      </c>
      <c r="I1921" s="15" t="str">
        <f t="shared" si="29"/>
        <v>Sở ban ngành</v>
      </c>
      <c r="J1921" s="15" t="s">
        <v>1284</v>
      </c>
      <c r="K1921" s="15" t="s">
        <v>1264</v>
      </c>
      <c r="L1921" s="32">
        <f>Data!$D1921/10^6</f>
        <v>356.50413200000003</v>
      </c>
    </row>
    <row r="1922" spans="1:12" x14ac:dyDescent="0.25">
      <c r="A1922" s="29" t="s">
        <v>218</v>
      </c>
      <c r="B1922" s="15" t="s">
        <v>522</v>
      </c>
      <c r="C1922" s="15" t="s">
        <v>14</v>
      </c>
      <c r="D1922" s="16">
        <v>270772727</v>
      </c>
      <c r="E1922" s="17">
        <v>45536</v>
      </c>
      <c r="F1922" s="18">
        <f>MONTH(Data!$E1922)</f>
        <v>9</v>
      </c>
      <c r="G1922" s="16">
        <f>YEAR(Data!$E1922)</f>
        <v>2024</v>
      </c>
      <c r="H1922" s="15" t="s">
        <v>15</v>
      </c>
      <c r="I1922" s="15" t="str">
        <f t="shared" si="29"/>
        <v>Trường học</v>
      </c>
      <c r="J1922" s="15" t="s">
        <v>1285</v>
      </c>
      <c r="K1922" s="15" t="s">
        <v>1275</v>
      </c>
      <c r="L1922" s="32">
        <f>Data!$D1922/10^6</f>
        <v>270.77272699999997</v>
      </c>
    </row>
    <row r="1923" spans="1:12" x14ac:dyDescent="0.25">
      <c r="A1923" s="29" t="s">
        <v>39</v>
      </c>
      <c r="B1923" s="15" t="s">
        <v>511</v>
      </c>
      <c r="C1923" s="18" t="s">
        <v>14</v>
      </c>
      <c r="D1923" s="16">
        <v>3381818182</v>
      </c>
      <c r="E1923" s="17">
        <v>45536</v>
      </c>
      <c r="F1923" s="18">
        <f>MONTH(Data!$E1923)</f>
        <v>9</v>
      </c>
      <c r="G1923" s="16">
        <f>YEAR(Data!$E1923)</f>
        <v>2024</v>
      </c>
      <c r="H1923" s="15" t="s">
        <v>42</v>
      </c>
      <c r="I1923" s="15" t="str">
        <f t="shared" ref="I1923:I1986" si="30">IF(ISNUMBER(SEARCH("Công ty",$B1923)),"Doanh nghiệp",IF(ISNUMBER(SEARCH("Doanh nghiệp",$B1923)),"Doanh nghiệp",IF(ISNUMBER(SEARCH("Tập đoàn",$B1923)),"Doanh nghiệp",
IF(ISNUMBER(SEARCH("Bệnh viện",$B1923)),"Bệnh viện",
IF(ISNUMBER(SEARCH("Ngân hàng",$B1923)),"Ngân hàng",IF(ISNUMBER(SEARCH("trường",$B1923)),"Trường học",IF(ISNUMBER(SEARCH("học viện",$B1923)),"Trường học",
IF(ISNUMBER(SEARCH("Bộ",$B1923)),"Sở ban ngành",IF(ISNUMBER(SEARCH("Đoàn",$B1923)),"Sở ban ngành",IF(ISNUMBER(SEARCH("Phòng",$B1923)),"Sở ban ngành",IF(ISNUMBER(SEARCH("UBND",$B1923)),"Sở ban ngành",IF(ISNUMBER(SEARCH("ủy ban",$B1923)),"Sở ban ngành",IF(ISNUMBER(SEARCH("công an",$B1923)),"Sở ban ngành",IF(ISNUMBER(SEARCH("sở",$B1923)),"Sở ban ngành",IF(ISNUMBER(SEARCH("thôn",$B1923)),"Sở ban ngành",IF(ISNUMBER(SEARCH("xã",$B1923)),"Sở ban ngành",IF(ISNUMBER(SEARCH("quân khu",$B1923)),"Sở ban ngành",IF(ISNUMBER(SEARCH("cục",$B1923)),"Sở ban ngành",IF(ISNUMBER(SEARCH("viện",$B1923)),"Sở ban ngành",IF(ISNUMBER(SEARCH("quỹ",$B1923)),"Sở ban ngành",IF(ISNUMBER(SEARCH("trung tâm",$B1923)),"Sở ban ngành",IF(ISNUMBER(SEARCH("quân chủng",$B1923)),"Sở ban ngành",IF(ISNUMBER(SEARCH("hội",$B1923)),"Sở ban ngành",
"Khác")))))))))))))))))))))))</f>
        <v>Trường học</v>
      </c>
      <c r="J1923" s="15" t="s">
        <v>1284</v>
      </c>
      <c r="K1923" s="15" t="s">
        <v>1264</v>
      </c>
      <c r="L1923" s="32">
        <f>Data!$D1923/10^6</f>
        <v>3381.818182</v>
      </c>
    </row>
    <row r="1924" spans="1:12" x14ac:dyDescent="0.25">
      <c r="A1924" s="29" t="s">
        <v>30</v>
      </c>
      <c r="B1924" s="15" t="s">
        <v>502</v>
      </c>
      <c r="C1924" s="18" t="s">
        <v>10</v>
      </c>
      <c r="D1924" s="16">
        <v>16832013</v>
      </c>
      <c r="E1924" s="17">
        <v>45536</v>
      </c>
      <c r="F1924" s="18">
        <f>MONTH(Data!$E1924)</f>
        <v>9</v>
      </c>
      <c r="G1924" s="16">
        <f>YEAR(Data!$E1924)</f>
        <v>2024</v>
      </c>
      <c r="H1924" s="15" t="s">
        <v>32</v>
      </c>
      <c r="I1924" s="15" t="str">
        <f t="shared" si="30"/>
        <v>Trường học</v>
      </c>
      <c r="J1924" s="15" t="s">
        <v>1285</v>
      </c>
      <c r="K1924" s="15" t="s">
        <v>1263</v>
      </c>
      <c r="L1924" s="32">
        <f>Data!$D1924/10^6</f>
        <v>16.832013</v>
      </c>
    </row>
    <row r="1925" spans="1:12" x14ac:dyDescent="0.25">
      <c r="A1925" s="29" t="s">
        <v>36</v>
      </c>
      <c r="B1925" s="15" t="s">
        <v>519</v>
      </c>
      <c r="C1925" s="15" t="s">
        <v>10</v>
      </c>
      <c r="D1925" s="16">
        <v>22272727</v>
      </c>
      <c r="E1925" s="17">
        <v>45536</v>
      </c>
      <c r="F1925" s="18">
        <f>MONTH(Data!$E1925)</f>
        <v>9</v>
      </c>
      <c r="G1925" s="16">
        <f>YEAR(Data!$E1925)</f>
        <v>2024</v>
      </c>
      <c r="H1925" s="15" t="s">
        <v>15</v>
      </c>
      <c r="I1925" s="15" t="str">
        <f t="shared" si="30"/>
        <v>Trường học</v>
      </c>
      <c r="J1925" s="15" t="s">
        <v>1284</v>
      </c>
      <c r="K1925" s="15" t="s">
        <v>1263</v>
      </c>
      <c r="L1925" s="32">
        <f>Data!$D1925/10^6</f>
        <v>22.272727</v>
      </c>
    </row>
    <row r="1926" spans="1:12" x14ac:dyDescent="0.25">
      <c r="A1926" s="29" t="s">
        <v>30</v>
      </c>
      <c r="B1926" s="15" t="s">
        <v>515</v>
      </c>
      <c r="C1926" s="15" t="s">
        <v>10</v>
      </c>
      <c r="D1926" s="16">
        <v>10409091</v>
      </c>
      <c r="E1926" s="17">
        <v>45536</v>
      </c>
      <c r="F1926" s="18">
        <f>MONTH(Data!$E1926)</f>
        <v>9</v>
      </c>
      <c r="G1926" s="16">
        <f>YEAR(Data!$E1926)</f>
        <v>2024</v>
      </c>
      <c r="H1926" s="15" t="s">
        <v>32</v>
      </c>
      <c r="I1926" s="15" t="str">
        <f t="shared" si="30"/>
        <v>Trường học</v>
      </c>
      <c r="J1926" s="15" t="s">
        <v>1285</v>
      </c>
      <c r="K1926" s="15" t="s">
        <v>1262</v>
      </c>
      <c r="L1926" s="32">
        <f>Data!$D1926/10^6</f>
        <v>10.409091</v>
      </c>
    </row>
    <row r="1927" spans="1:12" x14ac:dyDescent="0.25">
      <c r="A1927" s="30" t="s">
        <v>13</v>
      </c>
      <c r="B1927" s="19" t="s">
        <v>544</v>
      </c>
      <c r="C1927" s="19" t="s">
        <v>149</v>
      </c>
      <c r="D1927" s="16">
        <v>6127273</v>
      </c>
      <c r="E1927" s="17">
        <v>45536</v>
      </c>
      <c r="F1927" s="18">
        <f>MONTH(Data!$E1927)</f>
        <v>9</v>
      </c>
      <c r="G1927" s="16">
        <f>YEAR(Data!$E1927)</f>
        <v>2024</v>
      </c>
      <c r="H1927" s="15" t="s">
        <v>15</v>
      </c>
      <c r="I1927" s="15" t="str">
        <f t="shared" si="30"/>
        <v>Trường học</v>
      </c>
      <c r="J1927" s="15" t="s">
        <v>1284</v>
      </c>
      <c r="K1927" s="15" t="s">
        <v>1262</v>
      </c>
      <c r="L1927" s="32">
        <f>Data!$D1927/10^6</f>
        <v>6.1272729999999997</v>
      </c>
    </row>
    <row r="1928" spans="1:12" x14ac:dyDescent="0.25">
      <c r="A1928" s="29" t="s">
        <v>47</v>
      </c>
      <c r="B1928" s="15" t="s">
        <v>529</v>
      </c>
      <c r="C1928" s="15" t="s">
        <v>10</v>
      </c>
      <c r="D1928" s="16">
        <v>8941818</v>
      </c>
      <c r="E1928" s="17">
        <v>45536</v>
      </c>
      <c r="F1928" s="18">
        <f>MONTH(Data!$E1928)</f>
        <v>9</v>
      </c>
      <c r="G1928" s="16">
        <f>YEAR(Data!$E1928)</f>
        <v>2024</v>
      </c>
      <c r="H1928" s="15" t="s">
        <v>29</v>
      </c>
      <c r="I1928" s="15" t="str">
        <f t="shared" si="30"/>
        <v>Trường học</v>
      </c>
      <c r="J1928" s="15" t="s">
        <v>1285</v>
      </c>
      <c r="K1928" s="15" t="s">
        <v>1263</v>
      </c>
      <c r="L1928" s="32">
        <f>Data!$D1928/10^6</f>
        <v>8.9418179999999996</v>
      </c>
    </row>
    <row r="1929" spans="1:12" x14ac:dyDescent="0.25">
      <c r="A1929" s="29" t="s">
        <v>92</v>
      </c>
      <c r="B1929" s="15" t="s">
        <v>512</v>
      </c>
      <c r="C1929" s="15" t="s">
        <v>10</v>
      </c>
      <c r="D1929" s="16">
        <v>45159091</v>
      </c>
      <c r="E1929" s="17">
        <v>45536</v>
      </c>
      <c r="F1929" s="18">
        <f>MONTH(Data!$E1929)</f>
        <v>9</v>
      </c>
      <c r="G1929" s="16">
        <f>YEAR(Data!$E1929)</f>
        <v>2024</v>
      </c>
      <c r="H1929" s="15" t="s">
        <v>29</v>
      </c>
      <c r="I1929" s="15" t="str">
        <f t="shared" si="30"/>
        <v>Trường học</v>
      </c>
      <c r="J1929" s="15" t="s">
        <v>1284</v>
      </c>
      <c r="K1929" s="15" t="s">
        <v>1262</v>
      </c>
      <c r="L1929" s="32">
        <f>Data!$D1929/10^6</f>
        <v>45.159090999999997</v>
      </c>
    </row>
    <row r="1930" spans="1:12" x14ac:dyDescent="0.25">
      <c r="A1930" s="29" t="s">
        <v>13</v>
      </c>
      <c r="B1930" s="15" t="s">
        <v>505</v>
      </c>
      <c r="C1930" s="15" t="s">
        <v>149</v>
      </c>
      <c r="D1930" s="16">
        <v>5563182</v>
      </c>
      <c r="E1930" s="17">
        <v>45536</v>
      </c>
      <c r="F1930" s="18">
        <f>MONTH(Data!$E1930)</f>
        <v>9</v>
      </c>
      <c r="G1930" s="16">
        <f>YEAR(Data!$E1930)</f>
        <v>2024</v>
      </c>
      <c r="H1930" s="15" t="s">
        <v>15</v>
      </c>
      <c r="I1930" s="15" t="str">
        <f t="shared" si="30"/>
        <v>Trường học</v>
      </c>
      <c r="J1930" s="15" t="s">
        <v>1285</v>
      </c>
      <c r="K1930" s="15" t="s">
        <v>1262</v>
      </c>
      <c r="L1930" s="32">
        <f>Data!$D1930/10^6</f>
        <v>5.5631820000000003</v>
      </c>
    </row>
    <row r="1931" spans="1:12" x14ac:dyDescent="0.25">
      <c r="A1931" s="29" t="s">
        <v>89</v>
      </c>
      <c r="B1931" s="15" t="s">
        <v>526</v>
      </c>
      <c r="C1931" s="15" t="s">
        <v>46</v>
      </c>
      <c r="D1931" s="16">
        <v>4936364</v>
      </c>
      <c r="E1931" s="17">
        <v>45536</v>
      </c>
      <c r="F1931" s="18">
        <f>MONTH(Data!$E1931)</f>
        <v>9</v>
      </c>
      <c r="G1931" s="16">
        <f>YEAR(Data!$E1931)</f>
        <v>2024</v>
      </c>
      <c r="H1931" s="15" t="s">
        <v>11</v>
      </c>
      <c r="I1931" s="15" t="str">
        <f t="shared" si="30"/>
        <v>Trường học</v>
      </c>
      <c r="J1931" s="15" t="s">
        <v>1284</v>
      </c>
      <c r="K1931" s="15" t="s">
        <v>1271</v>
      </c>
      <c r="L1931" s="32">
        <f>Data!$D1931/10^6</f>
        <v>4.9363640000000002</v>
      </c>
    </row>
    <row r="1932" spans="1:12" x14ac:dyDescent="0.25">
      <c r="A1932" s="29" t="s">
        <v>89</v>
      </c>
      <c r="B1932" s="15" t="s">
        <v>526</v>
      </c>
      <c r="C1932" s="15" t="s">
        <v>46</v>
      </c>
      <c r="D1932" s="16">
        <v>4936364</v>
      </c>
      <c r="E1932" s="17">
        <v>45536</v>
      </c>
      <c r="F1932" s="18">
        <f>MONTH(Data!$E1932)</f>
        <v>9</v>
      </c>
      <c r="G1932" s="16">
        <f>YEAR(Data!$E1932)</f>
        <v>2024</v>
      </c>
      <c r="H1932" s="15" t="s">
        <v>11</v>
      </c>
      <c r="I1932" s="15" t="str">
        <f t="shared" si="30"/>
        <v>Trường học</v>
      </c>
      <c r="J1932" s="15" t="s">
        <v>1285</v>
      </c>
      <c r="K1932" s="15" t="s">
        <v>1271</v>
      </c>
      <c r="L1932" s="32">
        <f>Data!$D1932/10^6</f>
        <v>4.9363640000000002</v>
      </c>
    </row>
    <row r="1933" spans="1:12" x14ac:dyDescent="0.25">
      <c r="A1933" s="29" t="s">
        <v>102</v>
      </c>
      <c r="B1933" s="15" t="s">
        <v>527</v>
      </c>
      <c r="C1933" s="15" t="s">
        <v>10</v>
      </c>
      <c r="D1933" s="16">
        <v>23050909</v>
      </c>
      <c r="E1933" s="17">
        <v>45536</v>
      </c>
      <c r="F1933" s="18">
        <f>MONTH(Data!$E1933)</f>
        <v>9</v>
      </c>
      <c r="G1933" s="16">
        <f>YEAR(Data!$E1933)</f>
        <v>2024</v>
      </c>
      <c r="H1933" s="15" t="s">
        <v>22</v>
      </c>
      <c r="I1933" s="15" t="str">
        <f t="shared" si="30"/>
        <v>Trường học</v>
      </c>
      <c r="J1933" s="15" t="s">
        <v>1284</v>
      </c>
      <c r="K1933" s="15" t="s">
        <v>1263</v>
      </c>
      <c r="L1933" s="32">
        <f>Data!$D1933/10^6</f>
        <v>23.050909000000001</v>
      </c>
    </row>
    <row r="1934" spans="1:12" x14ac:dyDescent="0.25">
      <c r="A1934" s="29" t="s">
        <v>30</v>
      </c>
      <c r="B1934" s="15" t="s">
        <v>517</v>
      </c>
      <c r="C1934" s="15" t="s">
        <v>41</v>
      </c>
      <c r="D1934" s="16">
        <v>45272727</v>
      </c>
      <c r="E1934" s="17">
        <v>45536</v>
      </c>
      <c r="F1934" s="18">
        <f>MONTH(Data!$E1934)</f>
        <v>9</v>
      </c>
      <c r="G1934" s="16">
        <f>YEAR(Data!$E1934)</f>
        <v>2024</v>
      </c>
      <c r="H1934" s="15" t="s">
        <v>32</v>
      </c>
      <c r="I1934" s="15" t="str">
        <f t="shared" si="30"/>
        <v>Trường học</v>
      </c>
      <c r="J1934" s="15" t="s">
        <v>1285</v>
      </c>
      <c r="K1934" s="15" t="s">
        <v>1269</v>
      </c>
      <c r="L1934" s="32">
        <f>Data!$D1934/10^6</f>
        <v>45.272727000000003</v>
      </c>
    </row>
    <row r="1935" spans="1:12" x14ac:dyDescent="0.25">
      <c r="A1935" s="29" t="s">
        <v>30</v>
      </c>
      <c r="B1935" s="15" t="s">
        <v>503</v>
      </c>
      <c r="C1935" s="18" t="s">
        <v>149</v>
      </c>
      <c r="D1935" s="16">
        <v>19104545</v>
      </c>
      <c r="E1935" s="17">
        <v>45536</v>
      </c>
      <c r="F1935" s="18">
        <f>MONTH(Data!$E1935)</f>
        <v>9</v>
      </c>
      <c r="G1935" s="16">
        <f>YEAR(Data!$E1935)</f>
        <v>2024</v>
      </c>
      <c r="H1935" s="15" t="s">
        <v>32</v>
      </c>
      <c r="I1935" s="15" t="str">
        <f t="shared" si="30"/>
        <v>Trường học</v>
      </c>
      <c r="J1935" s="15" t="s">
        <v>1284</v>
      </c>
      <c r="K1935" s="15" t="s">
        <v>1262</v>
      </c>
      <c r="L1935" s="32">
        <f>Data!$D1935/10^6</f>
        <v>19.104545000000002</v>
      </c>
    </row>
    <row r="1936" spans="1:12" x14ac:dyDescent="0.25">
      <c r="A1936" s="29" t="s">
        <v>36</v>
      </c>
      <c r="B1936" s="15" t="s">
        <v>504</v>
      </c>
      <c r="C1936" s="18" t="s">
        <v>10</v>
      </c>
      <c r="D1936" s="16">
        <v>155309091</v>
      </c>
      <c r="E1936" s="17">
        <v>45536</v>
      </c>
      <c r="F1936" s="18">
        <f>MONTH(Data!$E1936)</f>
        <v>9</v>
      </c>
      <c r="G1936" s="16">
        <f>YEAR(Data!$E1936)</f>
        <v>2024</v>
      </c>
      <c r="H1936" s="15" t="s">
        <v>15</v>
      </c>
      <c r="I1936" s="15" t="str">
        <f t="shared" si="30"/>
        <v>Trường học</v>
      </c>
      <c r="J1936" s="15" t="s">
        <v>1285</v>
      </c>
      <c r="K1936" s="15" t="s">
        <v>1263</v>
      </c>
      <c r="L1936" s="32">
        <f>Data!$D1936/10^6</f>
        <v>155.309091</v>
      </c>
    </row>
    <row r="1937" spans="1:12" x14ac:dyDescent="0.25">
      <c r="A1937" s="29" t="s">
        <v>30</v>
      </c>
      <c r="B1937" s="15" t="s">
        <v>514</v>
      </c>
      <c r="C1937" s="15" t="s">
        <v>41</v>
      </c>
      <c r="D1937" s="16">
        <v>29727273</v>
      </c>
      <c r="E1937" s="17">
        <v>45536</v>
      </c>
      <c r="F1937" s="18">
        <f>MONTH(Data!$E1937)</f>
        <v>9</v>
      </c>
      <c r="G1937" s="16">
        <f>YEAR(Data!$E1937)</f>
        <v>2024</v>
      </c>
      <c r="H1937" s="15" t="s">
        <v>32</v>
      </c>
      <c r="I1937" s="15" t="str">
        <f t="shared" si="30"/>
        <v>Trường học</v>
      </c>
      <c r="J1937" s="15" t="s">
        <v>1284</v>
      </c>
      <c r="K1937" s="15" t="s">
        <v>1269</v>
      </c>
      <c r="L1937" s="32">
        <f>Data!$D1937/10^6</f>
        <v>29.727273</v>
      </c>
    </row>
    <row r="1938" spans="1:12" x14ac:dyDescent="0.25">
      <c r="A1938" s="29" t="s">
        <v>30</v>
      </c>
      <c r="B1938" s="15" t="s">
        <v>516</v>
      </c>
      <c r="C1938" s="15" t="s">
        <v>10</v>
      </c>
      <c r="D1938" s="16">
        <v>13629091</v>
      </c>
      <c r="E1938" s="17">
        <v>45536</v>
      </c>
      <c r="F1938" s="18">
        <f>MONTH(Data!$E1938)</f>
        <v>9</v>
      </c>
      <c r="G1938" s="16">
        <f>YEAR(Data!$E1938)</f>
        <v>2024</v>
      </c>
      <c r="H1938" s="15" t="s">
        <v>32</v>
      </c>
      <c r="I1938" s="15" t="str">
        <f t="shared" si="30"/>
        <v>Trường học</v>
      </c>
      <c r="J1938" s="15" t="s">
        <v>1285</v>
      </c>
      <c r="K1938" s="15" t="s">
        <v>1262</v>
      </c>
      <c r="L1938" s="32">
        <f>Data!$D1938/10^6</f>
        <v>13.629091000000001</v>
      </c>
    </row>
    <row r="1939" spans="1:12" x14ac:dyDescent="0.25">
      <c r="A1939" s="30" t="s">
        <v>59</v>
      </c>
      <c r="B1939" s="19" t="s">
        <v>542</v>
      </c>
      <c r="C1939" s="19" t="s">
        <v>10</v>
      </c>
      <c r="D1939" s="16">
        <v>30101005</v>
      </c>
      <c r="E1939" s="17">
        <v>45536</v>
      </c>
      <c r="F1939" s="18">
        <f>MONTH(Data!$E1939)</f>
        <v>9</v>
      </c>
      <c r="G1939" s="16">
        <f>YEAR(Data!$E1939)</f>
        <v>2024</v>
      </c>
      <c r="H1939" s="15" t="s">
        <v>22</v>
      </c>
      <c r="I1939" s="15" t="str">
        <f t="shared" si="30"/>
        <v>Trường học</v>
      </c>
      <c r="J1939" s="15" t="s">
        <v>1284</v>
      </c>
      <c r="K1939" s="15" t="s">
        <v>1262</v>
      </c>
      <c r="L1939" s="32">
        <f>Data!$D1939/10^6</f>
        <v>30.101005000000001</v>
      </c>
    </row>
    <row r="1940" spans="1:12" x14ac:dyDescent="0.25">
      <c r="A1940" s="29" t="s">
        <v>21</v>
      </c>
      <c r="B1940" s="15" t="s">
        <v>528</v>
      </c>
      <c r="C1940" s="15" t="s">
        <v>14</v>
      </c>
      <c r="D1940" s="16">
        <v>27172727</v>
      </c>
      <c r="E1940" s="17">
        <v>45536</v>
      </c>
      <c r="F1940" s="18">
        <f>MONTH(Data!$E1940)</f>
        <v>9</v>
      </c>
      <c r="G1940" s="16">
        <f>YEAR(Data!$E1940)</f>
        <v>2024</v>
      </c>
      <c r="H1940" s="15" t="s">
        <v>22</v>
      </c>
      <c r="I1940" s="15" t="str">
        <f t="shared" si="30"/>
        <v>Trường học</v>
      </c>
      <c r="J1940" s="15" t="s">
        <v>1285</v>
      </c>
      <c r="K1940" s="15" t="s">
        <v>1264</v>
      </c>
      <c r="L1940" s="32">
        <f>Data!$D1940/10^6</f>
        <v>27.172726999999998</v>
      </c>
    </row>
    <row r="1941" spans="1:12" x14ac:dyDescent="0.25">
      <c r="A1941" s="29" t="s">
        <v>13</v>
      </c>
      <c r="B1941" s="15" t="s">
        <v>524</v>
      </c>
      <c r="C1941" s="15" t="s">
        <v>149</v>
      </c>
      <c r="D1941" s="16">
        <v>11625455</v>
      </c>
      <c r="E1941" s="17">
        <v>45536</v>
      </c>
      <c r="F1941" s="18">
        <f>MONTH(Data!$E1941)</f>
        <v>9</v>
      </c>
      <c r="G1941" s="16">
        <f>YEAR(Data!$E1941)</f>
        <v>2024</v>
      </c>
      <c r="H1941" s="15" t="s">
        <v>15</v>
      </c>
      <c r="I1941" s="15" t="str">
        <f t="shared" si="30"/>
        <v>Trường học</v>
      </c>
      <c r="J1941" s="15" t="s">
        <v>1284</v>
      </c>
      <c r="K1941" s="15" t="s">
        <v>1262</v>
      </c>
      <c r="L1941" s="32">
        <f>Data!$D1941/10^6</f>
        <v>11.625455000000001</v>
      </c>
    </row>
    <row r="1942" spans="1:12" x14ac:dyDescent="0.25">
      <c r="A1942" s="30" t="s">
        <v>74</v>
      </c>
      <c r="B1942" s="19" t="s">
        <v>536</v>
      </c>
      <c r="C1942" s="19" t="s">
        <v>10</v>
      </c>
      <c r="D1942" s="16">
        <v>83636364</v>
      </c>
      <c r="E1942" s="17">
        <v>45536</v>
      </c>
      <c r="F1942" s="18">
        <f>MONTH(Data!$E1942)</f>
        <v>9</v>
      </c>
      <c r="G1942" s="16">
        <f>YEAR(Data!$E1942)</f>
        <v>2024</v>
      </c>
      <c r="H1942" s="15" t="s">
        <v>11</v>
      </c>
      <c r="I1942" s="15" t="str">
        <f t="shared" si="30"/>
        <v>Trường học</v>
      </c>
      <c r="J1942" s="15" t="s">
        <v>1285</v>
      </c>
      <c r="K1942" s="15" t="s">
        <v>1267</v>
      </c>
      <c r="L1942" s="32">
        <f>Data!$D1942/10^6</f>
        <v>83.636364</v>
      </c>
    </row>
    <row r="1943" spans="1:12" x14ac:dyDescent="0.25">
      <c r="A1943" s="30" t="s">
        <v>98</v>
      </c>
      <c r="B1943" s="19" t="s">
        <v>588</v>
      </c>
      <c r="C1943" s="19" t="s">
        <v>149</v>
      </c>
      <c r="D1943" s="16">
        <v>33106909</v>
      </c>
      <c r="E1943" s="17">
        <v>45566</v>
      </c>
      <c r="F1943" s="18">
        <f>MONTH(Data!$E1943)</f>
        <v>10</v>
      </c>
      <c r="G1943" s="16">
        <f>YEAR(Data!$E1943)</f>
        <v>2024</v>
      </c>
      <c r="H1943" s="15" t="s">
        <v>11</v>
      </c>
      <c r="I1943" s="15" t="str">
        <f t="shared" si="30"/>
        <v>Bệnh viện</v>
      </c>
      <c r="J1943" s="15" t="s">
        <v>1284</v>
      </c>
      <c r="K1943" s="15" t="s">
        <v>1277</v>
      </c>
      <c r="L1943" s="32">
        <f>Data!$D1943/10^6</f>
        <v>33.106909000000002</v>
      </c>
    </row>
    <row r="1944" spans="1:12" x14ac:dyDescent="0.25">
      <c r="A1944" s="30" t="s">
        <v>45</v>
      </c>
      <c r="B1944" s="19" t="s">
        <v>335</v>
      </c>
      <c r="C1944" s="19" t="s">
        <v>149</v>
      </c>
      <c r="D1944" s="16">
        <v>77304545</v>
      </c>
      <c r="E1944" s="17">
        <v>45566</v>
      </c>
      <c r="F1944" s="18">
        <f>MONTH(Data!$E1944)</f>
        <v>10</v>
      </c>
      <c r="G1944" s="16">
        <f>YEAR(Data!$E1944)</f>
        <v>2024</v>
      </c>
      <c r="H1944" s="15" t="s">
        <v>29</v>
      </c>
      <c r="I1944" s="15" t="str">
        <f t="shared" si="30"/>
        <v>Bệnh viện</v>
      </c>
      <c r="J1944" s="15" t="s">
        <v>1285</v>
      </c>
      <c r="K1944" s="15" t="s">
        <v>1264</v>
      </c>
      <c r="L1944" s="32">
        <f>Data!$D1944/10^6</f>
        <v>77.304545000000005</v>
      </c>
    </row>
    <row r="1945" spans="1:12" x14ac:dyDescent="0.25">
      <c r="A1945" s="30" t="s">
        <v>30</v>
      </c>
      <c r="B1945" s="19" t="s">
        <v>598</v>
      </c>
      <c r="C1945" s="19" t="s">
        <v>149</v>
      </c>
      <c r="D1945" s="16">
        <v>41145455</v>
      </c>
      <c r="E1945" s="17">
        <v>45566</v>
      </c>
      <c r="F1945" s="18">
        <f>MONTH(Data!$E1945)</f>
        <v>10</v>
      </c>
      <c r="G1945" s="16">
        <f>YEAR(Data!$E1945)</f>
        <v>2024</v>
      </c>
      <c r="H1945" s="15" t="s">
        <v>32</v>
      </c>
      <c r="I1945" s="15" t="str">
        <f t="shared" si="30"/>
        <v>Bệnh viện</v>
      </c>
      <c r="J1945" s="15" t="s">
        <v>1284</v>
      </c>
      <c r="K1945" s="15" t="s">
        <v>1264</v>
      </c>
      <c r="L1945" s="32">
        <f>Data!$D1945/10^6</f>
        <v>41.145454999999998</v>
      </c>
    </row>
    <row r="1946" spans="1:12" x14ac:dyDescent="0.25">
      <c r="A1946" s="30" t="s">
        <v>47</v>
      </c>
      <c r="B1946" s="19" t="s">
        <v>580</v>
      </c>
      <c r="C1946" s="19" t="s">
        <v>14</v>
      </c>
      <c r="D1946" s="16">
        <v>90632727</v>
      </c>
      <c r="E1946" s="17">
        <v>45566</v>
      </c>
      <c r="F1946" s="18">
        <f>MONTH(Data!$E1946)</f>
        <v>10</v>
      </c>
      <c r="G1946" s="16">
        <f>YEAR(Data!$E1946)</f>
        <v>2024</v>
      </c>
      <c r="H1946" s="15" t="s">
        <v>29</v>
      </c>
      <c r="I1946" s="15" t="str">
        <f t="shared" si="30"/>
        <v>Bệnh viện</v>
      </c>
      <c r="J1946" s="15" t="s">
        <v>1285</v>
      </c>
      <c r="K1946" s="15" t="s">
        <v>1264</v>
      </c>
      <c r="L1946" s="32">
        <f>Data!$D1946/10^6</f>
        <v>90.632727000000003</v>
      </c>
    </row>
    <row r="1947" spans="1:12" x14ac:dyDescent="0.25">
      <c r="A1947" s="30" t="s">
        <v>74</v>
      </c>
      <c r="B1947" s="15" t="s">
        <v>1025</v>
      </c>
      <c r="C1947" s="19" t="s">
        <v>10</v>
      </c>
      <c r="D1947" s="16">
        <v>454500000</v>
      </c>
      <c r="E1947" s="17">
        <v>45566</v>
      </c>
      <c r="F1947" s="18">
        <f>MONTH(Data!$E1947)</f>
        <v>10</v>
      </c>
      <c r="G1947" s="16">
        <f>YEAR(Data!$E1947)</f>
        <v>2024</v>
      </c>
      <c r="H1947" s="15" t="s">
        <v>11</v>
      </c>
      <c r="I1947" s="15" t="str">
        <f t="shared" si="30"/>
        <v>Doanh nghiệp</v>
      </c>
      <c r="J1947" s="15" t="s">
        <v>1284</v>
      </c>
      <c r="K1947" s="15" t="s">
        <v>1267</v>
      </c>
      <c r="L1947" s="32">
        <f>Data!$D1947/10^6</f>
        <v>454.5</v>
      </c>
    </row>
    <row r="1948" spans="1:12" x14ac:dyDescent="0.25">
      <c r="A1948" s="30" t="s">
        <v>87</v>
      </c>
      <c r="B1948" s="15" t="s">
        <v>1025</v>
      </c>
      <c r="C1948" s="19" t="s">
        <v>46</v>
      </c>
      <c r="D1948" s="16">
        <v>36363636</v>
      </c>
      <c r="E1948" s="17">
        <v>45566</v>
      </c>
      <c r="F1948" s="18">
        <f>MONTH(Data!$E1948)</f>
        <v>10</v>
      </c>
      <c r="G1948" s="16">
        <f>YEAR(Data!$E1948)</f>
        <v>2024</v>
      </c>
      <c r="H1948" s="15" t="s">
        <v>29</v>
      </c>
      <c r="I1948" s="15" t="str">
        <f t="shared" si="30"/>
        <v>Doanh nghiệp</v>
      </c>
      <c r="J1948" s="15" t="s">
        <v>1285</v>
      </c>
      <c r="K1948" s="15" t="s">
        <v>1271</v>
      </c>
      <c r="L1948" s="32">
        <f>Data!$D1948/10^6</f>
        <v>36.363636</v>
      </c>
    </row>
    <row r="1949" spans="1:12" x14ac:dyDescent="0.25">
      <c r="A1949" s="30" t="s">
        <v>30</v>
      </c>
      <c r="B1949" s="15" t="s">
        <v>1029</v>
      </c>
      <c r="C1949" s="19" t="s">
        <v>149</v>
      </c>
      <c r="D1949" s="16">
        <v>17424545</v>
      </c>
      <c r="E1949" s="17">
        <v>45566</v>
      </c>
      <c r="F1949" s="18">
        <f>MONTH(Data!$E1949)</f>
        <v>10</v>
      </c>
      <c r="G1949" s="16">
        <f>YEAR(Data!$E1949)</f>
        <v>2024</v>
      </c>
      <c r="H1949" s="15" t="s">
        <v>32</v>
      </c>
      <c r="I1949" s="15" t="str">
        <f t="shared" si="30"/>
        <v>Doanh nghiệp</v>
      </c>
      <c r="J1949" s="15" t="s">
        <v>1284</v>
      </c>
      <c r="K1949" s="15" t="s">
        <v>1264</v>
      </c>
      <c r="L1949" s="32">
        <f>Data!$D1949/10^6</f>
        <v>17.424544999999998</v>
      </c>
    </row>
    <row r="1950" spans="1:12" x14ac:dyDescent="0.25">
      <c r="A1950" s="30" t="s">
        <v>51</v>
      </c>
      <c r="B1950" s="15" t="s">
        <v>1036</v>
      </c>
      <c r="C1950" s="15" t="s">
        <v>10</v>
      </c>
      <c r="D1950" s="16">
        <v>4923191</v>
      </c>
      <c r="E1950" s="17">
        <v>45566</v>
      </c>
      <c r="F1950" s="18">
        <f>MONTH(Data!$E1950)</f>
        <v>10</v>
      </c>
      <c r="G1950" s="16">
        <f>YEAR(Data!$E1950)</f>
        <v>2024</v>
      </c>
      <c r="H1950" s="15" t="s">
        <v>42</v>
      </c>
      <c r="I1950" s="15" t="str">
        <f t="shared" si="30"/>
        <v>Doanh nghiệp</v>
      </c>
      <c r="J1950" s="15" t="s">
        <v>1285</v>
      </c>
      <c r="K1950" s="15" t="s">
        <v>1262</v>
      </c>
      <c r="L1950" s="32">
        <f>Data!$D1950/10^6</f>
        <v>4.9231910000000001</v>
      </c>
    </row>
    <row r="1951" spans="1:12" x14ac:dyDescent="0.25">
      <c r="A1951" s="30" t="s">
        <v>51</v>
      </c>
      <c r="B1951" s="15" t="s">
        <v>1037</v>
      </c>
      <c r="C1951" s="15" t="s">
        <v>10</v>
      </c>
      <c r="D1951" s="16">
        <v>5386598</v>
      </c>
      <c r="E1951" s="17">
        <v>45566</v>
      </c>
      <c r="F1951" s="18">
        <f>MONTH(Data!$E1951)</f>
        <v>10</v>
      </c>
      <c r="G1951" s="16">
        <f>YEAR(Data!$E1951)</f>
        <v>2024</v>
      </c>
      <c r="H1951" s="15" t="s">
        <v>42</v>
      </c>
      <c r="I1951" s="15" t="str">
        <f t="shared" si="30"/>
        <v>Doanh nghiệp</v>
      </c>
      <c r="J1951" s="15" t="s">
        <v>1284</v>
      </c>
      <c r="K1951" s="15" t="s">
        <v>1262</v>
      </c>
      <c r="L1951" s="32">
        <f>Data!$D1951/10^6</f>
        <v>5.3865980000000002</v>
      </c>
    </row>
    <row r="1952" spans="1:12" x14ac:dyDescent="0.25">
      <c r="A1952" s="30" t="s">
        <v>39</v>
      </c>
      <c r="B1952" s="15" t="s">
        <v>1053</v>
      </c>
      <c r="C1952" s="19" t="s">
        <v>46</v>
      </c>
      <c r="D1952" s="16">
        <v>2837000208</v>
      </c>
      <c r="E1952" s="17">
        <v>45566</v>
      </c>
      <c r="F1952" s="18">
        <f>MONTH(Data!$E1952)</f>
        <v>10</v>
      </c>
      <c r="G1952" s="16">
        <f>YEAR(Data!$E1952)</f>
        <v>2024</v>
      </c>
      <c r="H1952" s="15" t="s">
        <v>42</v>
      </c>
      <c r="I1952" s="15" t="str">
        <f t="shared" si="30"/>
        <v>Doanh nghiệp</v>
      </c>
      <c r="J1952" s="15" t="s">
        <v>1285</v>
      </c>
      <c r="K1952" s="15" t="s">
        <v>1265</v>
      </c>
      <c r="L1952" s="32">
        <f>Data!$D1952/10^6</f>
        <v>2837.0002079999999</v>
      </c>
    </row>
    <row r="1953" spans="1:12" x14ac:dyDescent="0.25">
      <c r="A1953" s="30" t="s">
        <v>52</v>
      </c>
      <c r="B1953" s="15" t="s">
        <v>1068</v>
      </c>
      <c r="C1953" s="19" t="s">
        <v>10</v>
      </c>
      <c r="D1953" s="16">
        <v>174390000</v>
      </c>
      <c r="E1953" s="17">
        <v>45566</v>
      </c>
      <c r="F1953" s="18">
        <f>MONTH(Data!$E1953)</f>
        <v>10</v>
      </c>
      <c r="G1953" s="16">
        <f>YEAR(Data!$E1953)</f>
        <v>2024</v>
      </c>
      <c r="H1953" s="15" t="s">
        <v>35</v>
      </c>
      <c r="I1953" s="15" t="str">
        <f t="shared" si="30"/>
        <v>Doanh nghiệp</v>
      </c>
      <c r="J1953" s="15" t="s">
        <v>1284</v>
      </c>
      <c r="K1953" s="15" t="s">
        <v>1267</v>
      </c>
      <c r="L1953" s="32">
        <f>Data!$D1953/10^6</f>
        <v>174.39</v>
      </c>
    </row>
    <row r="1954" spans="1:12" x14ac:dyDescent="0.25">
      <c r="A1954" s="30" t="s">
        <v>52</v>
      </c>
      <c r="B1954" s="15" t="s">
        <v>1120</v>
      </c>
      <c r="C1954" s="19" t="s">
        <v>10</v>
      </c>
      <c r="D1954" s="16">
        <v>136181818</v>
      </c>
      <c r="E1954" s="17">
        <v>45566</v>
      </c>
      <c r="F1954" s="18">
        <f>MONTH(Data!$E1954)</f>
        <v>10</v>
      </c>
      <c r="G1954" s="16">
        <f>YEAR(Data!$E1954)</f>
        <v>2024</v>
      </c>
      <c r="H1954" s="15" t="s">
        <v>35</v>
      </c>
      <c r="I1954" s="15" t="str">
        <f t="shared" si="30"/>
        <v>Doanh nghiệp</v>
      </c>
      <c r="J1954" s="15" t="s">
        <v>1285</v>
      </c>
      <c r="K1954" s="15" t="s">
        <v>1267</v>
      </c>
      <c r="L1954" s="32">
        <f>Data!$D1954/10^6</f>
        <v>136.18181799999999</v>
      </c>
    </row>
    <row r="1955" spans="1:12" x14ac:dyDescent="0.25">
      <c r="A1955" s="30" t="s">
        <v>160</v>
      </c>
      <c r="B1955" s="15" t="s">
        <v>1050</v>
      </c>
      <c r="C1955" s="19" t="s">
        <v>10</v>
      </c>
      <c r="D1955" s="16">
        <v>33863636</v>
      </c>
      <c r="E1955" s="17">
        <v>45566</v>
      </c>
      <c r="F1955" s="18">
        <f>MONTH(Data!$E1955)</f>
        <v>10</v>
      </c>
      <c r="G1955" s="16">
        <f>YEAR(Data!$E1955)</f>
        <v>2024</v>
      </c>
      <c r="H1955" s="15" t="s">
        <v>35</v>
      </c>
      <c r="I1955" s="15" t="str">
        <f t="shared" si="30"/>
        <v>Doanh nghiệp</v>
      </c>
      <c r="J1955" s="15" t="s">
        <v>1284</v>
      </c>
      <c r="K1955" s="15" t="s">
        <v>1267</v>
      </c>
      <c r="L1955" s="32">
        <f>Data!$D1955/10^6</f>
        <v>33.863636</v>
      </c>
    </row>
    <row r="1956" spans="1:12" x14ac:dyDescent="0.25">
      <c r="A1956" s="30" t="s">
        <v>27</v>
      </c>
      <c r="B1956" s="15" t="s">
        <v>1053</v>
      </c>
      <c r="C1956" s="19" t="s">
        <v>10</v>
      </c>
      <c r="D1956" s="16">
        <v>20920000</v>
      </c>
      <c r="E1956" s="17">
        <v>45566</v>
      </c>
      <c r="F1956" s="18">
        <f>MONTH(Data!$E1956)</f>
        <v>10</v>
      </c>
      <c r="G1956" s="16">
        <f>YEAR(Data!$E1956)</f>
        <v>2024</v>
      </c>
      <c r="H1956" s="15" t="s">
        <v>11</v>
      </c>
      <c r="I1956" s="15" t="str">
        <f t="shared" si="30"/>
        <v>Doanh nghiệp</v>
      </c>
      <c r="J1956" s="15" t="s">
        <v>1285</v>
      </c>
      <c r="K1956" s="15" t="s">
        <v>1263</v>
      </c>
      <c r="L1956" s="32">
        <f>Data!$D1956/10^6</f>
        <v>20.92</v>
      </c>
    </row>
    <row r="1957" spans="1:12" x14ac:dyDescent="0.25">
      <c r="A1957" s="30" t="s">
        <v>107</v>
      </c>
      <c r="B1957" s="15" t="s">
        <v>1080</v>
      </c>
      <c r="C1957" s="19" t="s">
        <v>149</v>
      </c>
      <c r="D1957" s="16">
        <v>75763706</v>
      </c>
      <c r="E1957" s="17">
        <v>45566</v>
      </c>
      <c r="F1957" s="18">
        <f>MONTH(Data!$E1957)</f>
        <v>10</v>
      </c>
      <c r="G1957" s="16">
        <f>YEAR(Data!$E1957)</f>
        <v>2024</v>
      </c>
      <c r="H1957" s="15" t="s">
        <v>42</v>
      </c>
      <c r="I1957" s="15" t="str">
        <f t="shared" si="30"/>
        <v>Doanh nghiệp</v>
      </c>
      <c r="J1957" s="15" t="s">
        <v>1284</v>
      </c>
      <c r="K1957" s="15" t="s">
        <v>1265</v>
      </c>
      <c r="L1957" s="32">
        <f>Data!$D1957/10^6</f>
        <v>75.763705999999999</v>
      </c>
    </row>
    <row r="1958" spans="1:12" x14ac:dyDescent="0.25">
      <c r="A1958" s="30" t="s">
        <v>21</v>
      </c>
      <c r="B1958" s="15" t="s">
        <v>1089</v>
      </c>
      <c r="C1958" s="19" t="s">
        <v>149</v>
      </c>
      <c r="D1958" s="16">
        <v>85200000</v>
      </c>
      <c r="E1958" s="17">
        <v>45566</v>
      </c>
      <c r="F1958" s="18">
        <f>MONTH(Data!$E1958)</f>
        <v>10</v>
      </c>
      <c r="G1958" s="16">
        <f>YEAR(Data!$E1958)</f>
        <v>2024</v>
      </c>
      <c r="H1958" s="15" t="s">
        <v>22</v>
      </c>
      <c r="I1958" s="15" t="str">
        <f t="shared" si="30"/>
        <v>Doanh nghiệp</v>
      </c>
      <c r="J1958" s="15" t="s">
        <v>1285</v>
      </c>
      <c r="K1958" s="15" t="s">
        <v>1267</v>
      </c>
      <c r="L1958" s="32">
        <f>Data!$D1958/10^6</f>
        <v>85.2</v>
      </c>
    </row>
    <row r="1959" spans="1:12" x14ac:dyDescent="0.25">
      <c r="A1959" s="30" t="s">
        <v>21</v>
      </c>
      <c r="B1959" s="15" t="s">
        <v>1090</v>
      </c>
      <c r="C1959" s="19" t="s">
        <v>10</v>
      </c>
      <c r="D1959" s="16">
        <v>361827273</v>
      </c>
      <c r="E1959" s="17">
        <v>45566</v>
      </c>
      <c r="F1959" s="18">
        <f>MONTH(Data!$E1959)</f>
        <v>10</v>
      </c>
      <c r="G1959" s="16">
        <f>YEAR(Data!$E1959)</f>
        <v>2024</v>
      </c>
      <c r="H1959" s="15" t="s">
        <v>22</v>
      </c>
      <c r="I1959" s="15" t="str">
        <f t="shared" si="30"/>
        <v>Doanh nghiệp</v>
      </c>
      <c r="J1959" s="15" t="s">
        <v>1284</v>
      </c>
      <c r="K1959" s="15" t="s">
        <v>1267</v>
      </c>
      <c r="L1959" s="32">
        <f>Data!$D1959/10^6</f>
        <v>361.82727299999999</v>
      </c>
    </row>
    <row r="1960" spans="1:12" x14ac:dyDescent="0.25">
      <c r="A1960" s="30" t="s">
        <v>107</v>
      </c>
      <c r="B1960" s="15" t="s">
        <v>1116</v>
      </c>
      <c r="C1960" s="19" t="s">
        <v>149</v>
      </c>
      <c r="D1960" s="16">
        <v>17573660</v>
      </c>
      <c r="E1960" s="17">
        <v>45566</v>
      </c>
      <c r="F1960" s="18">
        <f>MONTH(Data!$E1960)</f>
        <v>10</v>
      </c>
      <c r="G1960" s="16">
        <f>YEAR(Data!$E1960)</f>
        <v>2024</v>
      </c>
      <c r="H1960" s="15" t="s">
        <v>42</v>
      </c>
      <c r="I1960" s="15" t="str">
        <f t="shared" si="30"/>
        <v>Doanh nghiệp</v>
      </c>
      <c r="J1960" s="15" t="s">
        <v>1285</v>
      </c>
      <c r="K1960" s="15" t="s">
        <v>1269</v>
      </c>
      <c r="L1960" s="32">
        <f>Data!$D1960/10^6</f>
        <v>17.57366</v>
      </c>
    </row>
    <row r="1961" spans="1:12" x14ac:dyDescent="0.25">
      <c r="A1961" s="30" t="s">
        <v>27</v>
      </c>
      <c r="B1961" s="15" t="s">
        <v>1069</v>
      </c>
      <c r="C1961" s="19" t="s">
        <v>10</v>
      </c>
      <c r="D1961" s="16">
        <v>356632360</v>
      </c>
      <c r="E1961" s="17">
        <v>45566</v>
      </c>
      <c r="F1961" s="18">
        <f>MONTH(Data!$E1961)</f>
        <v>10</v>
      </c>
      <c r="G1961" s="16">
        <f>YEAR(Data!$E1961)</f>
        <v>2024</v>
      </c>
      <c r="H1961" s="15" t="s">
        <v>11</v>
      </c>
      <c r="I1961" s="15" t="str">
        <f t="shared" si="30"/>
        <v>Doanh nghiệp</v>
      </c>
      <c r="J1961" s="15" t="s">
        <v>1284</v>
      </c>
      <c r="K1961" s="15" t="s">
        <v>1278</v>
      </c>
      <c r="L1961" s="32">
        <f>Data!$D1961/10^6</f>
        <v>356.63236000000001</v>
      </c>
    </row>
    <row r="1962" spans="1:12" x14ac:dyDescent="0.25">
      <c r="A1962" s="30" t="s">
        <v>27</v>
      </c>
      <c r="B1962" s="15" t="s">
        <v>1070</v>
      </c>
      <c r="C1962" s="19" t="s">
        <v>10</v>
      </c>
      <c r="D1962" s="16">
        <v>654146245</v>
      </c>
      <c r="E1962" s="17">
        <v>45566</v>
      </c>
      <c r="F1962" s="18">
        <f>MONTH(Data!$E1962)</f>
        <v>10</v>
      </c>
      <c r="G1962" s="16">
        <f>YEAR(Data!$E1962)</f>
        <v>2024</v>
      </c>
      <c r="H1962" s="15" t="s">
        <v>11</v>
      </c>
      <c r="I1962" s="15" t="str">
        <f t="shared" si="30"/>
        <v>Doanh nghiệp</v>
      </c>
      <c r="J1962" s="15" t="s">
        <v>1285</v>
      </c>
      <c r="K1962" s="15" t="s">
        <v>1262</v>
      </c>
      <c r="L1962" s="32">
        <f>Data!$D1962/10^6</f>
        <v>654.14624500000002</v>
      </c>
    </row>
    <row r="1963" spans="1:12" x14ac:dyDescent="0.25">
      <c r="A1963" s="30" t="s">
        <v>8</v>
      </c>
      <c r="B1963" s="15" t="s">
        <v>1073</v>
      </c>
      <c r="C1963" s="19" t="s">
        <v>149</v>
      </c>
      <c r="D1963" s="16">
        <v>73829035</v>
      </c>
      <c r="E1963" s="17">
        <v>45566</v>
      </c>
      <c r="F1963" s="18">
        <f>MONTH(Data!$E1963)</f>
        <v>10</v>
      </c>
      <c r="G1963" s="16">
        <f>YEAR(Data!$E1963)</f>
        <v>2024</v>
      </c>
      <c r="H1963" s="15" t="s">
        <v>11</v>
      </c>
      <c r="I1963" s="15" t="str">
        <f t="shared" si="30"/>
        <v>Doanh nghiệp</v>
      </c>
      <c r="J1963" s="15" t="s">
        <v>1284</v>
      </c>
      <c r="K1963" s="15" t="s">
        <v>1264</v>
      </c>
      <c r="L1963" s="32">
        <f>Data!$D1963/10^6</f>
        <v>73.829035000000005</v>
      </c>
    </row>
    <row r="1964" spans="1:12" x14ac:dyDescent="0.25">
      <c r="A1964" s="30" t="s">
        <v>8</v>
      </c>
      <c r="B1964" s="15" t="s">
        <v>1074</v>
      </c>
      <c r="C1964" s="19" t="s">
        <v>149</v>
      </c>
      <c r="D1964" s="16">
        <v>16300000</v>
      </c>
      <c r="E1964" s="17">
        <v>45566</v>
      </c>
      <c r="F1964" s="18">
        <f>MONTH(Data!$E1964)</f>
        <v>10</v>
      </c>
      <c r="G1964" s="16">
        <f>YEAR(Data!$E1964)</f>
        <v>2024</v>
      </c>
      <c r="H1964" s="15" t="s">
        <v>11</v>
      </c>
      <c r="I1964" s="15" t="str">
        <f t="shared" si="30"/>
        <v>Doanh nghiệp</v>
      </c>
      <c r="J1964" s="15" t="s">
        <v>1285</v>
      </c>
      <c r="K1964" s="15" t="s">
        <v>1275</v>
      </c>
      <c r="L1964" s="32">
        <f>Data!$D1964/10^6</f>
        <v>16.3</v>
      </c>
    </row>
    <row r="1965" spans="1:12" x14ac:dyDescent="0.25">
      <c r="A1965" s="30" t="s">
        <v>8</v>
      </c>
      <c r="B1965" s="15" t="s">
        <v>1075</v>
      </c>
      <c r="C1965" s="19" t="s">
        <v>149</v>
      </c>
      <c r="D1965" s="16">
        <v>207959545</v>
      </c>
      <c r="E1965" s="17">
        <v>45566</v>
      </c>
      <c r="F1965" s="18">
        <f>MONTH(Data!$E1965)</f>
        <v>10</v>
      </c>
      <c r="G1965" s="16">
        <f>YEAR(Data!$E1965)</f>
        <v>2024</v>
      </c>
      <c r="H1965" s="15" t="s">
        <v>11</v>
      </c>
      <c r="I1965" s="15" t="str">
        <f t="shared" si="30"/>
        <v>Doanh nghiệp</v>
      </c>
      <c r="J1965" s="15" t="s">
        <v>1284</v>
      </c>
      <c r="K1965" s="15" t="s">
        <v>1264</v>
      </c>
      <c r="L1965" s="32">
        <f>Data!$D1965/10^6</f>
        <v>207.95954499999999</v>
      </c>
    </row>
    <row r="1966" spans="1:12" x14ac:dyDescent="0.25">
      <c r="A1966" s="30" t="s">
        <v>128</v>
      </c>
      <c r="B1966" s="15" t="s">
        <v>1079</v>
      </c>
      <c r="C1966" s="19" t="s">
        <v>14</v>
      </c>
      <c r="D1966" s="16">
        <v>1614720567</v>
      </c>
      <c r="E1966" s="17">
        <v>45566</v>
      </c>
      <c r="F1966" s="18">
        <f>MONTH(Data!$E1966)</f>
        <v>10</v>
      </c>
      <c r="G1966" s="16">
        <f>YEAR(Data!$E1966)</f>
        <v>2024</v>
      </c>
      <c r="H1966" s="15" t="s">
        <v>42</v>
      </c>
      <c r="I1966" s="15" t="str">
        <f t="shared" si="30"/>
        <v>Doanh nghiệp</v>
      </c>
      <c r="J1966" s="15" t="s">
        <v>1285</v>
      </c>
      <c r="K1966" s="15" t="s">
        <v>1266</v>
      </c>
      <c r="L1966" s="32">
        <f>Data!$D1966/10^6</f>
        <v>1614.7205670000001</v>
      </c>
    </row>
    <row r="1967" spans="1:12" x14ac:dyDescent="0.25">
      <c r="A1967" s="30" t="s">
        <v>127</v>
      </c>
      <c r="B1967" s="15" t="s">
        <v>1111</v>
      </c>
      <c r="C1967" s="19" t="s">
        <v>46</v>
      </c>
      <c r="D1967" s="16">
        <v>4475073158</v>
      </c>
      <c r="E1967" s="17">
        <v>45566</v>
      </c>
      <c r="F1967" s="18">
        <f>MONTH(Data!$E1967)</f>
        <v>10</v>
      </c>
      <c r="G1967" s="16">
        <f>YEAR(Data!$E1967)</f>
        <v>2024</v>
      </c>
      <c r="H1967" s="15" t="s">
        <v>32</v>
      </c>
      <c r="I1967" s="15" t="str">
        <f t="shared" si="30"/>
        <v>Doanh nghiệp</v>
      </c>
      <c r="J1967" s="15" t="s">
        <v>1284</v>
      </c>
      <c r="K1967" s="15" t="s">
        <v>1265</v>
      </c>
      <c r="L1967" s="32">
        <f>Data!$D1967/10^6</f>
        <v>4475.0731580000001</v>
      </c>
    </row>
    <row r="1968" spans="1:12" x14ac:dyDescent="0.25">
      <c r="A1968" s="30" t="s">
        <v>78</v>
      </c>
      <c r="B1968" s="15" t="s">
        <v>1123</v>
      </c>
      <c r="C1968" s="19" t="s">
        <v>10</v>
      </c>
      <c r="D1968" s="16">
        <v>29607164</v>
      </c>
      <c r="E1968" s="17">
        <v>45566</v>
      </c>
      <c r="F1968" s="18">
        <f>MONTH(Data!$E1968)</f>
        <v>10</v>
      </c>
      <c r="G1968" s="16">
        <f>YEAR(Data!$E1968)</f>
        <v>2024</v>
      </c>
      <c r="H1968" s="15" t="s">
        <v>15</v>
      </c>
      <c r="I1968" s="15" t="str">
        <f t="shared" si="30"/>
        <v>Doanh nghiệp</v>
      </c>
      <c r="J1968" s="15" t="s">
        <v>1285</v>
      </c>
      <c r="K1968" s="15" t="s">
        <v>1262</v>
      </c>
      <c r="L1968" s="32">
        <f>Data!$D1968/10^6</f>
        <v>29.607164000000001</v>
      </c>
    </row>
    <row r="1969" spans="1:12" x14ac:dyDescent="0.25">
      <c r="A1969" s="30" t="s">
        <v>95</v>
      </c>
      <c r="B1969" s="15" t="s">
        <v>1040</v>
      </c>
      <c r="C1969" s="19" t="s">
        <v>46</v>
      </c>
      <c r="D1969" s="16">
        <v>1666687373</v>
      </c>
      <c r="E1969" s="17">
        <v>45566</v>
      </c>
      <c r="F1969" s="18">
        <f>MONTH(Data!$E1969)</f>
        <v>10</v>
      </c>
      <c r="G1969" s="16">
        <f>YEAR(Data!$E1969)</f>
        <v>2024</v>
      </c>
      <c r="H1969" s="15" t="s">
        <v>35</v>
      </c>
      <c r="I1969" s="15" t="str">
        <f t="shared" si="30"/>
        <v>Doanh nghiệp</v>
      </c>
      <c r="J1969" s="15" t="s">
        <v>1284</v>
      </c>
      <c r="K1969" s="15" t="s">
        <v>1265</v>
      </c>
      <c r="L1969" s="32">
        <f>Data!$D1969/10^6</f>
        <v>1666.687373</v>
      </c>
    </row>
    <row r="1970" spans="1:12" x14ac:dyDescent="0.25">
      <c r="A1970" s="30" t="s">
        <v>87</v>
      </c>
      <c r="B1970" s="15" t="s">
        <v>1056</v>
      </c>
      <c r="C1970" s="19" t="s">
        <v>14</v>
      </c>
      <c r="D1970" s="16">
        <v>52052727</v>
      </c>
      <c r="E1970" s="17">
        <v>45566</v>
      </c>
      <c r="F1970" s="18">
        <f>MONTH(Data!$E1970)</f>
        <v>10</v>
      </c>
      <c r="G1970" s="16">
        <f>YEAR(Data!$E1970)</f>
        <v>2024</v>
      </c>
      <c r="H1970" s="15" t="s">
        <v>29</v>
      </c>
      <c r="I1970" s="15" t="str">
        <f t="shared" si="30"/>
        <v>Doanh nghiệp</v>
      </c>
      <c r="J1970" s="15" t="s">
        <v>1285</v>
      </c>
      <c r="K1970" s="15" t="s">
        <v>1264</v>
      </c>
      <c r="L1970" s="32">
        <f>Data!$D1970/10^6</f>
        <v>52.052726999999997</v>
      </c>
    </row>
    <row r="1971" spans="1:12" x14ac:dyDescent="0.25">
      <c r="A1971" s="30" t="s">
        <v>54</v>
      </c>
      <c r="B1971" s="15" t="s">
        <v>1070</v>
      </c>
      <c r="C1971" s="19" t="s">
        <v>14</v>
      </c>
      <c r="D1971" s="16">
        <v>51540000</v>
      </c>
      <c r="E1971" s="17">
        <v>45566</v>
      </c>
      <c r="F1971" s="18">
        <f>MONTH(Data!$E1971)</f>
        <v>10</v>
      </c>
      <c r="G1971" s="16">
        <f>YEAR(Data!$E1971)</f>
        <v>2024</v>
      </c>
      <c r="H1971" s="15" t="s">
        <v>15</v>
      </c>
      <c r="I1971" s="15" t="str">
        <f t="shared" si="30"/>
        <v>Doanh nghiệp</v>
      </c>
      <c r="J1971" s="15" t="s">
        <v>1284</v>
      </c>
      <c r="K1971" s="15" t="s">
        <v>1264</v>
      </c>
      <c r="L1971" s="32">
        <f>Data!$D1971/10^6</f>
        <v>51.54</v>
      </c>
    </row>
    <row r="1972" spans="1:12" x14ac:dyDescent="0.25">
      <c r="A1972" s="30" t="s">
        <v>30</v>
      </c>
      <c r="B1972" s="15" t="s">
        <v>1077</v>
      </c>
      <c r="C1972" s="19" t="s">
        <v>46</v>
      </c>
      <c r="D1972" s="16">
        <v>84225455</v>
      </c>
      <c r="E1972" s="17">
        <v>45566</v>
      </c>
      <c r="F1972" s="18">
        <f>MONTH(Data!$E1972)</f>
        <v>10</v>
      </c>
      <c r="G1972" s="16">
        <f>YEAR(Data!$E1972)</f>
        <v>2024</v>
      </c>
      <c r="H1972" s="15" t="s">
        <v>32</v>
      </c>
      <c r="I1972" s="15" t="str">
        <f t="shared" si="30"/>
        <v>Doanh nghiệp</v>
      </c>
      <c r="J1972" s="15" t="s">
        <v>1285</v>
      </c>
      <c r="K1972" s="15" t="s">
        <v>1265</v>
      </c>
      <c r="L1972" s="32">
        <f>Data!$D1972/10^6</f>
        <v>84.225454999999997</v>
      </c>
    </row>
    <row r="1973" spans="1:12" x14ac:dyDescent="0.25">
      <c r="A1973" s="30" t="s">
        <v>52</v>
      </c>
      <c r="B1973" s="15" t="s">
        <v>1091</v>
      </c>
      <c r="C1973" s="19" t="s">
        <v>149</v>
      </c>
      <c r="D1973" s="16">
        <v>37900000</v>
      </c>
      <c r="E1973" s="17">
        <v>45566</v>
      </c>
      <c r="F1973" s="18">
        <f>MONTH(Data!$E1973)</f>
        <v>10</v>
      </c>
      <c r="G1973" s="16">
        <f>YEAR(Data!$E1973)</f>
        <v>2024</v>
      </c>
      <c r="H1973" s="15" t="s">
        <v>35</v>
      </c>
      <c r="I1973" s="15" t="str">
        <f t="shared" si="30"/>
        <v>Doanh nghiệp</v>
      </c>
      <c r="J1973" s="15" t="s">
        <v>1284</v>
      </c>
      <c r="K1973" s="15" t="s">
        <v>1264</v>
      </c>
      <c r="L1973" s="32">
        <f>Data!$D1973/10^6</f>
        <v>37.9</v>
      </c>
    </row>
    <row r="1974" spans="1:12" x14ac:dyDescent="0.25">
      <c r="A1974" s="30" t="s">
        <v>52</v>
      </c>
      <c r="B1974" s="15" t="s">
        <v>1092</v>
      </c>
      <c r="C1974" s="19" t="s">
        <v>149</v>
      </c>
      <c r="D1974" s="16">
        <v>62537000</v>
      </c>
      <c r="E1974" s="17">
        <v>45566</v>
      </c>
      <c r="F1974" s="18">
        <f>MONTH(Data!$E1974)</f>
        <v>10</v>
      </c>
      <c r="G1974" s="16">
        <f>YEAR(Data!$E1974)</f>
        <v>2024</v>
      </c>
      <c r="H1974" s="15" t="s">
        <v>35</v>
      </c>
      <c r="I1974" s="15" t="str">
        <f t="shared" si="30"/>
        <v>Doanh nghiệp</v>
      </c>
      <c r="J1974" s="15" t="s">
        <v>1285</v>
      </c>
      <c r="K1974" s="15" t="s">
        <v>1264</v>
      </c>
      <c r="L1974" s="32">
        <f>Data!$D1974/10^6</f>
        <v>62.536999999999999</v>
      </c>
    </row>
    <row r="1975" spans="1:12" x14ac:dyDescent="0.25">
      <c r="A1975" s="30" t="s">
        <v>52</v>
      </c>
      <c r="B1975" s="15" t="s">
        <v>1093</v>
      </c>
      <c r="C1975" s="19" t="s">
        <v>149</v>
      </c>
      <c r="D1975" s="16">
        <v>54216000</v>
      </c>
      <c r="E1975" s="17">
        <v>45566</v>
      </c>
      <c r="F1975" s="18">
        <f>MONTH(Data!$E1975)</f>
        <v>10</v>
      </c>
      <c r="G1975" s="16">
        <f>YEAR(Data!$E1975)</f>
        <v>2024</v>
      </c>
      <c r="H1975" s="15" t="s">
        <v>35</v>
      </c>
      <c r="I1975" s="15" t="str">
        <f t="shared" si="30"/>
        <v>Doanh nghiệp</v>
      </c>
      <c r="J1975" s="15" t="s">
        <v>1284</v>
      </c>
      <c r="K1975" s="15" t="s">
        <v>1264</v>
      </c>
      <c r="L1975" s="32">
        <f>Data!$D1975/10^6</f>
        <v>54.216000000000001</v>
      </c>
    </row>
    <row r="1976" spans="1:12" x14ac:dyDescent="0.25">
      <c r="A1976" s="30" t="s">
        <v>77</v>
      </c>
      <c r="B1976" s="15" t="s">
        <v>1104</v>
      </c>
      <c r="C1976" s="19" t="s">
        <v>10</v>
      </c>
      <c r="D1976" s="16">
        <v>409428149</v>
      </c>
      <c r="E1976" s="17">
        <v>45566</v>
      </c>
      <c r="F1976" s="18">
        <f>MONTH(Data!$E1976)</f>
        <v>10</v>
      </c>
      <c r="G1976" s="16">
        <f>YEAR(Data!$E1976)</f>
        <v>2024</v>
      </c>
      <c r="H1976" s="15" t="s">
        <v>35</v>
      </c>
      <c r="I1976" s="15" t="str">
        <f t="shared" si="30"/>
        <v>Doanh nghiệp</v>
      </c>
      <c r="J1976" s="15" t="s">
        <v>1285</v>
      </c>
      <c r="K1976" s="15" t="s">
        <v>1263</v>
      </c>
      <c r="L1976" s="32">
        <f>Data!$D1976/10^6</f>
        <v>409.42814900000002</v>
      </c>
    </row>
    <row r="1977" spans="1:12" x14ac:dyDescent="0.25">
      <c r="A1977" s="30" t="s">
        <v>74</v>
      </c>
      <c r="B1977" s="15" t="s">
        <v>1115</v>
      </c>
      <c r="C1977" s="19" t="s">
        <v>14</v>
      </c>
      <c r="D1977" s="16">
        <v>25393000</v>
      </c>
      <c r="E1977" s="17">
        <v>45566</v>
      </c>
      <c r="F1977" s="18">
        <f>MONTH(Data!$E1977)</f>
        <v>10</v>
      </c>
      <c r="G1977" s="16">
        <f>YEAR(Data!$E1977)</f>
        <v>2024</v>
      </c>
      <c r="H1977" s="15" t="s">
        <v>11</v>
      </c>
      <c r="I1977" s="15" t="str">
        <f t="shared" si="30"/>
        <v>Doanh nghiệp</v>
      </c>
      <c r="J1977" s="15" t="s">
        <v>1284</v>
      </c>
      <c r="K1977" s="15" t="s">
        <v>1272</v>
      </c>
      <c r="L1977" s="32">
        <f>Data!$D1977/10^6</f>
        <v>25.393000000000001</v>
      </c>
    </row>
    <row r="1978" spans="1:12" x14ac:dyDescent="0.25">
      <c r="A1978" s="30" t="s">
        <v>74</v>
      </c>
      <c r="B1978" s="15" t="s">
        <v>1116</v>
      </c>
      <c r="C1978" s="19" t="s">
        <v>10</v>
      </c>
      <c r="D1978" s="16">
        <v>320886147</v>
      </c>
      <c r="E1978" s="17">
        <v>45566</v>
      </c>
      <c r="F1978" s="18">
        <f>MONTH(Data!$E1978)</f>
        <v>10</v>
      </c>
      <c r="G1978" s="16">
        <f>YEAR(Data!$E1978)</f>
        <v>2024</v>
      </c>
      <c r="H1978" s="15" t="s">
        <v>11</v>
      </c>
      <c r="I1978" s="15" t="str">
        <f t="shared" si="30"/>
        <v>Doanh nghiệp</v>
      </c>
      <c r="J1978" s="15" t="s">
        <v>1285</v>
      </c>
      <c r="K1978" s="15" t="s">
        <v>1262</v>
      </c>
      <c r="L1978" s="32">
        <f>Data!$D1978/10^6</f>
        <v>320.88614699999999</v>
      </c>
    </row>
    <row r="1979" spans="1:12" x14ac:dyDescent="0.25">
      <c r="A1979" s="30" t="s">
        <v>30</v>
      </c>
      <c r="B1979" s="15" t="s">
        <v>1026</v>
      </c>
      <c r="C1979" s="19" t="s">
        <v>10</v>
      </c>
      <c r="D1979" s="16">
        <v>25851818</v>
      </c>
      <c r="E1979" s="17">
        <v>45566</v>
      </c>
      <c r="F1979" s="18">
        <f>MONTH(Data!$E1979)</f>
        <v>10</v>
      </c>
      <c r="G1979" s="16">
        <f>YEAR(Data!$E1979)</f>
        <v>2024</v>
      </c>
      <c r="H1979" s="15" t="s">
        <v>32</v>
      </c>
      <c r="I1979" s="15" t="str">
        <f t="shared" si="30"/>
        <v>Doanh nghiệp</v>
      </c>
      <c r="J1979" s="15" t="s">
        <v>1284</v>
      </c>
      <c r="K1979" s="15" t="s">
        <v>1263</v>
      </c>
      <c r="L1979" s="32">
        <f>Data!$D1979/10^6</f>
        <v>25.851818000000002</v>
      </c>
    </row>
    <row r="1980" spans="1:12" x14ac:dyDescent="0.25">
      <c r="A1980" s="30" t="s">
        <v>28</v>
      </c>
      <c r="B1980" s="15" t="s">
        <v>1043</v>
      </c>
      <c r="C1980" s="19" t="s">
        <v>14</v>
      </c>
      <c r="D1980" s="16">
        <v>27241818</v>
      </c>
      <c r="E1980" s="17">
        <v>45566</v>
      </c>
      <c r="F1980" s="18">
        <f>MONTH(Data!$E1980)</f>
        <v>10</v>
      </c>
      <c r="G1980" s="16">
        <f>YEAR(Data!$E1980)</f>
        <v>2024</v>
      </c>
      <c r="H1980" s="15" t="s">
        <v>29</v>
      </c>
      <c r="I1980" s="15" t="str">
        <f t="shared" si="30"/>
        <v>Doanh nghiệp</v>
      </c>
      <c r="J1980" s="15" t="s">
        <v>1285</v>
      </c>
      <c r="K1980" s="15" t="s">
        <v>1264</v>
      </c>
      <c r="L1980" s="32">
        <f>Data!$D1980/10^6</f>
        <v>27.241817999999999</v>
      </c>
    </row>
    <row r="1981" spans="1:12" x14ac:dyDescent="0.25">
      <c r="A1981" s="30" t="s">
        <v>160</v>
      </c>
      <c r="B1981" s="15" t="s">
        <v>1068</v>
      </c>
      <c r="C1981" s="19" t="s">
        <v>46</v>
      </c>
      <c r="D1981" s="16">
        <v>119718055</v>
      </c>
      <c r="E1981" s="17">
        <v>45566</v>
      </c>
      <c r="F1981" s="18">
        <f>MONTH(Data!$E1981)</f>
        <v>10</v>
      </c>
      <c r="G1981" s="16">
        <f>YEAR(Data!$E1981)</f>
        <v>2024</v>
      </c>
      <c r="H1981" s="15" t="s">
        <v>35</v>
      </c>
      <c r="I1981" s="15" t="str">
        <f t="shared" si="30"/>
        <v>Doanh nghiệp</v>
      </c>
      <c r="J1981" s="15" t="s">
        <v>1284</v>
      </c>
      <c r="K1981" s="15" t="s">
        <v>1265</v>
      </c>
      <c r="L1981" s="32">
        <f>Data!$D1981/10^6</f>
        <v>119.71805500000001</v>
      </c>
    </row>
    <row r="1982" spans="1:12" x14ac:dyDescent="0.25">
      <c r="A1982" s="30" t="s">
        <v>209</v>
      </c>
      <c r="B1982" s="15" t="s">
        <v>1097</v>
      </c>
      <c r="C1982" s="19" t="s">
        <v>14</v>
      </c>
      <c r="D1982" s="16">
        <v>12657196858</v>
      </c>
      <c r="E1982" s="17">
        <v>45566</v>
      </c>
      <c r="F1982" s="18">
        <f>MONTH(Data!$E1982)</f>
        <v>10</v>
      </c>
      <c r="G1982" s="16">
        <f>YEAR(Data!$E1982)</f>
        <v>2024</v>
      </c>
      <c r="H1982" s="15" t="s">
        <v>32</v>
      </c>
      <c r="I1982" s="15" t="str">
        <f t="shared" si="30"/>
        <v>Doanh nghiệp</v>
      </c>
      <c r="J1982" s="15" t="s">
        <v>1285</v>
      </c>
      <c r="K1982" s="15" t="s">
        <v>1266</v>
      </c>
      <c r="L1982" s="32">
        <f>Data!$D1982/10^6</f>
        <v>12657.196857999999</v>
      </c>
    </row>
    <row r="1983" spans="1:12" x14ac:dyDescent="0.25">
      <c r="A1983" s="30" t="s">
        <v>17</v>
      </c>
      <c r="B1983" s="15" t="s">
        <v>1098</v>
      </c>
      <c r="C1983" s="19" t="s">
        <v>46</v>
      </c>
      <c r="D1983" s="16">
        <v>229458182</v>
      </c>
      <c r="E1983" s="17">
        <v>45566</v>
      </c>
      <c r="F1983" s="18">
        <f>MONTH(Data!$E1983)</f>
        <v>10</v>
      </c>
      <c r="G1983" s="16">
        <f>YEAR(Data!$E1983)</f>
        <v>2024</v>
      </c>
      <c r="H1983" s="15" t="s">
        <v>11</v>
      </c>
      <c r="I1983" s="15" t="str">
        <f t="shared" si="30"/>
        <v>Doanh nghiệp</v>
      </c>
      <c r="J1983" s="15" t="s">
        <v>1284</v>
      </c>
      <c r="K1983" s="15" t="s">
        <v>1265</v>
      </c>
      <c r="L1983" s="32">
        <f>Data!$D1983/10^6</f>
        <v>229.45818199999999</v>
      </c>
    </row>
    <row r="1984" spans="1:12" x14ac:dyDescent="0.25">
      <c r="A1984" s="30" t="s">
        <v>48</v>
      </c>
      <c r="B1984" s="15" t="s">
        <v>1100</v>
      </c>
      <c r="C1984" s="19" t="s">
        <v>10</v>
      </c>
      <c r="D1984" s="16">
        <v>20308545</v>
      </c>
      <c r="E1984" s="17">
        <v>45566</v>
      </c>
      <c r="F1984" s="18">
        <f>MONTH(Data!$E1984)</f>
        <v>10</v>
      </c>
      <c r="G1984" s="16">
        <f>YEAR(Data!$E1984)</f>
        <v>2024</v>
      </c>
      <c r="H1984" s="15" t="s">
        <v>25</v>
      </c>
      <c r="I1984" s="15" t="str">
        <f t="shared" si="30"/>
        <v>Doanh nghiệp</v>
      </c>
      <c r="J1984" s="15" t="s">
        <v>1285</v>
      </c>
      <c r="K1984" s="15" t="s">
        <v>1263</v>
      </c>
      <c r="L1984" s="32">
        <f>Data!$D1984/10^6</f>
        <v>20.308544999999999</v>
      </c>
    </row>
    <row r="1985" spans="1:12" x14ac:dyDescent="0.25">
      <c r="A1985" s="30" t="s">
        <v>30</v>
      </c>
      <c r="B1985" s="15" t="s">
        <v>1118</v>
      </c>
      <c r="C1985" s="19" t="s">
        <v>10</v>
      </c>
      <c r="D1985" s="16">
        <v>12600000</v>
      </c>
      <c r="E1985" s="17">
        <v>45566</v>
      </c>
      <c r="F1985" s="18">
        <f>MONTH(Data!$E1985)</f>
        <v>10</v>
      </c>
      <c r="G1985" s="16">
        <f>YEAR(Data!$E1985)</f>
        <v>2024</v>
      </c>
      <c r="H1985" s="15" t="s">
        <v>32</v>
      </c>
      <c r="I1985" s="15" t="str">
        <f t="shared" si="30"/>
        <v>Doanh nghiệp</v>
      </c>
      <c r="J1985" s="15" t="s">
        <v>1284</v>
      </c>
      <c r="K1985" s="15" t="s">
        <v>1267</v>
      </c>
      <c r="L1985" s="32">
        <f>Data!$D1985/10^6</f>
        <v>12.6</v>
      </c>
    </row>
    <row r="1986" spans="1:12" x14ac:dyDescent="0.25">
      <c r="A1986" s="30" t="s">
        <v>33</v>
      </c>
      <c r="B1986" s="15" t="s">
        <v>1038</v>
      </c>
      <c r="C1986" s="19" t="s">
        <v>46</v>
      </c>
      <c r="D1986" s="16">
        <v>7732441872</v>
      </c>
      <c r="E1986" s="17">
        <v>45566</v>
      </c>
      <c r="F1986" s="18">
        <f>MONTH(Data!$E1986)</f>
        <v>10</v>
      </c>
      <c r="G1986" s="16">
        <f>YEAR(Data!$E1986)</f>
        <v>2024</v>
      </c>
      <c r="H1986" s="15" t="s">
        <v>35</v>
      </c>
      <c r="I1986" s="15" t="str">
        <f t="shared" si="30"/>
        <v>Doanh nghiệp</v>
      </c>
      <c r="J1986" s="15" t="s">
        <v>1285</v>
      </c>
      <c r="K1986" s="15" t="s">
        <v>1265</v>
      </c>
      <c r="L1986" s="32">
        <f>Data!$D1986/10^6</f>
        <v>7732.4418720000003</v>
      </c>
    </row>
    <row r="1987" spans="1:12" x14ac:dyDescent="0.25">
      <c r="A1987" s="30" t="s">
        <v>50</v>
      </c>
      <c r="B1987" s="15" t="s">
        <v>1042</v>
      </c>
      <c r="C1987" s="19" t="s">
        <v>10</v>
      </c>
      <c r="D1987" s="16">
        <v>81788182</v>
      </c>
      <c r="E1987" s="17">
        <v>45566</v>
      </c>
      <c r="F1987" s="18">
        <f>MONTH(Data!$E1987)</f>
        <v>10</v>
      </c>
      <c r="G1987" s="16">
        <f>YEAR(Data!$E1987)</f>
        <v>2024</v>
      </c>
      <c r="H1987" s="15" t="s">
        <v>35</v>
      </c>
      <c r="I1987" s="15" t="str">
        <f t="shared" ref="I1987:I2050" si="31">IF(ISNUMBER(SEARCH("Công ty",$B1987)),"Doanh nghiệp",IF(ISNUMBER(SEARCH("Doanh nghiệp",$B1987)),"Doanh nghiệp",IF(ISNUMBER(SEARCH("Tập đoàn",$B1987)),"Doanh nghiệp",
IF(ISNUMBER(SEARCH("Bệnh viện",$B1987)),"Bệnh viện",
IF(ISNUMBER(SEARCH("Ngân hàng",$B1987)),"Ngân hàng",IF(ISNUMBER(SEARCH("trường",$B1987)),"Trường học",IF(ISNUMBER(SEARCH("học viện",$B1987)),"Trường học",
IF(ISNUMBER(SEARCH("Bộ",$B1987)),"Sở ban ngành",IF(ISNUMBER(SEARCH("Đoàn",$B1987)),"Sở ban ngành",IF(ISNUMBER(SEARCH("Phòng",$B1987)),"Sở ban ngành",IF(ISNUMBER(SEARCH("UBND",$B1987)),"Sở ban ngành",IF(ISNUMBER(SEARCH("ủy ban",$B1987)),"Sở ban ngành",IF(ISNUMBER(SEARCH("công an",$B1987)),"Sở ban ngành",IF(ISNUMBER(SEARCH("sở",$B1987)),"Sở ban ngành",IF(ISNUMBER(SEARCH("thôn",$B1987)),"Sở ban ngành",IF(ISNUMBER(SEARCH("xã",$B1987)),"Sở ban ngành",IF(ISNUMBER(SEARCH("quân khu",$B1987)),"Sở ban ngành",IF(ISNUMBER(SEARCH("cục",$B1987)),"Sở ban ngành",IF(ISNUMBER(SEARCH("viện",$B1987)),"Sở ban ngành",IF(ISNUMBER(SEARCH("quỹ",$B1987)),"Sở ban ngành",IF(ISNUMBER(SEARCH("trung tâm",$B1987)),"Sở ban ngành",IF(ISNUMBER(SEARCH("quân chủng",$B1987)),"Sở ban ngành",IF(ISNUMBER(SEARCH("hội",$B1987)),"Sở ban ngành",
"Khác")))))))))))))))))))))))</f>
        <v>Doanh nghiệp</v>
      </c>
      <c r="J1987" s="15" t="s">
        <v>1284</v>
      </c>
      <c r="K1987" s="15" t="s">
        <v>1263</v>
      </c>
      <c r="L1987" s="32">
        <f>Data!$D1987/10^6</f>
        <v>81.788182000000006</v>
      </c>
    </row>
    <row r="1988" spans="1:12" x14ac:dyDescent="0.25">
      <c r="A1988" s="30" t="s">
        <v>218</v>
      </c>
      <c r="B1988" s="15" t="s">
        <v>1056</v>
      </c>
      <c r="C1988" s="19" t="s">
        <v>149</v>
      </c>
      <c r="D1988" s="16">
        <v>25181818</v>
      </c>
      <c r="E1988" s="17">
        <v>45566</v>
      </c>
      <c r="F1988" s="18">
        <f>MONTH(Data!$E1988)</f>
        <v>10</v>
      </c>
      <c r="G1988" s="16">
        <f>YEAR(Data!$E1988)</f>
        <v>2024</v>
      </c>
      <c r="H1988" s="15" t="s">
        <v>15</v>
      </c>
      <c r="I1988" s="15" t="str">
        <f t="shared" si="31"/>
        <v>Doanh nghiệp</v>
      </c>
      <c r="J1988" s="15" t="s">
        <v>1285</v>
      </c>
      <c r="K1988" s="15" t="s">
        <v>1264</v>
      </c>
      <c r="L1988" s="32">
        <f>Data!$D1988/10^6</f>
        <v>25.181818</v>
      </c>
    </row>
    <row r="1989" spans="1:12" x14ac:dyDescent="0.25">
      <c r="A1989" s="30" t="s">
        <v>218</v>
      </c>
      <c r="B1989" s="15" t="s">
        <v>1057</v>
      </c>
      <c r="C1989" s="19" t="s">
        <v>149</v>
      </c>
      <c r="D1989" s="16">
        <v>35454545</v>
      </c>
      <c r="E1989" s="17">
        <v>45566</v>
      </c>
      <c r="F1989" s="18">
        <f>MONTH(Data!$E1989)</f>
        <v>10</v>
      </c>
      <c r="G1989" s="16">
        <f>YEAR(Data!$E1989)</f>
        <v>2024</v>
      </c>
      <c r="H1989" s="15" t="s">
        <v>15</v>
      </c>
      <c r="I1989" s="15" t="str">
        <f t="shared" si="31"/>
        <v>Doanh nghiệp</v>
      </c>
      <c r="J1989" s="15" t="s">
        <v>1284</v>
      </c>
      <c r="K1989" s="15" t="s">
        <v>1264</v>
      </c>
      <c r="L1989" s="32">
        <f>Data!$D1989/10^6</f>
        <v>35.454545000000003</v>
      </c>
    </row>
    <row r="1990" spans="1:12" x14ac:dyDescent="0.25">
      <c r="A1990" s="30" t="s">
        <v>28</v>
      </c>
      <c r="B1990" s="15" t="s">
        <v>1064</v>
      </c>
      <c r="C1990" s="19" t="s">
        <v>10</v>
      </c>
      <c r="D1990" s="16">
        <v>86024400</v>
      </c>
      <c r="E1990" s="17">
        <v>45566</v>
      </c>
      <c r="F1990" s="18">
        <f>MONTH(Data!$E1990)</f>
        <v>10</v>
      </c>
      <c r="G1990" s="16">
        <f>YEAR(Data!$E1990)</f>
        <v>2024</v>
      </c>
      <c r="H1990" s="15" t="s">
        <v>29</v>
      </c>
      <c r="I1990" s="15" t="str">
        <f t="shared" si="31"/>
        <v>Doanh nghiệp</v>
      </c>
      <c r="J1990" s="15" t="s">
        <v>1285</v>
      </c>
      <c r="K1990" s="15" t="s">
        <v>1267</v>
      </c>
      <c r="L1990" s="32">
        <f>Data!$D1990/10^6</f>
        <v>86.0244</v>
      </c>
    </row>
    <row r="1991" spans="1:12" x14ac:dyDescent="0.25">
      <c r="A1991" s="30" t="s">
        <v>28</v>
      </c>
      <c r="B1991" s="15" t="s">
        <v>1065</v>
      </c>
      <c r="C1991" s="19" t="s">
        <v>14</v>
      </c>
      <c r="D1991" s="16">
        <v>34506364</v>
      </c>
      <c r="E1991" s="17">
        <v>45566</v>
      </c>
      <c r="F1991" s="18">
        <f>MONTH(Data!$E1991)</f>
        <v>10</v>
      </c>
      <c r="G1991" s="16">
        <f>YEAR(Data!$E1991)</f>
        <v>2024</v>
      </c>
      <c r="H1991" s="15" t="s">
        <v>29</v>
      </c>
      <c r="I1991" s="15" t="str">
        <f t="shared" si="31"/>
        <v>Doanh nghiệp</v>
      </c>
      <c r="J1991" s="15" t="s">
        <v>1284</v>
      </c>
      <c r="K1991" s="15" t="s">
        <v>1264</v>
      </c>
      <c r="L1991" s="32">
        <f>Data!$D1991/10^6</f>
        <v>34.506363999999998</v>
      </c>
    </row>
    <row r="1992" spans="1:12" x14ac:dyDescent="0.25">
      <c r="A1992" s="30" t="s">
        <v>28</v>
      </c>
      <c r="B1992" s="15" t="s">
        <v>1066</v>
      </c>
      <c r="C1992" s="15" t="s">
        <v>10</v>
      </c>
      <c r="D1992" s="16">
        <v>1006354545</v>
      </c>
      <c r="E1992" s="17">
        <v>45566</v>
      </c>
      <c r="F1992" s="18">
        <f>MONTH(Data!$E1992)</f>
        <v>10</v>
      </c>
      <c r="G1992" s="16">
        <f>YEAR(Data!$E1992)</f>
        <v>2024</v>
      </c>
      <c r="H1992" s="15" t="s">
        <v>29</v>
      </c>
      <c r="I1992" s="15" t="str">
        <f t="shared" si="31"/>
        <v>Doanh nghiệp</v>
      </c>
      <c r="J1992" s="15" t="s">
        <v>1285</v>
      </c>
      <c r="K1992" s="15" t="s">
        <v>1267</v>
      </c>
      <c r="L1992" s="32">
        <f>Data!$D1992/10^6</f>
        <v>1006.354545</v>
      </c>
    </row>
    <row r="1993" spans="1:12" x14ac:dyDescent="0.25">
      <c r="A1993" s="30" t="s">
        <v>160</v>
      </c>
      <c r="B1993" s="15" t="s">
        <v>1103</v>
      </c>
      <c r="C1993" s="19" t="s">
        <v>46</v>
      </c>
      <c r="D1993" s="16">
        <v>436007733</v>
      </c>
      <c r="E1993" s="17">
        <v>45566</v>
      </c>
      <c r="F1993" s="18">
        <f>MONTH(Data!$E1993)</f>
        <v>10</v>
      </c>
      <c r="G1993" s="16">
        <f>YEAR(Data!$E1993)</f>
        <v>2024</v>
      </c>
      <c r="H1993" s="15" t="s">
        <v>35</v>
      </c>
      <c r="I1993" s="15" t="str">
        <f t="shared" si="31"/>
        <v>Doanh nghiệp</v>
      </c>
      <c r="J1993" s="15" t="s">
        <v>1284</v>
      </c>
      <c r="K1993" s="15" t="s">
        <v>1265</v>
      </c>
      <c r="L1993" s="32">
        <f>Data!$D1993/10^6</f>
        <v>436.00773299999997</v>
      </c>
    </row>
    <row r="1994" spans="1:12" x14ac:dyDescent="0.25">
      <c r="A1994" s="30" t="s">
        <v>78</v>
      </c>
      <c r="B1994" s="15" t="s">
        <v>1026</v>
      </c>
      <c r="C1994" s="19" t="s">
        <v>10</v>
      </c>
      <c r="D1994" s="16">
        <v>14400000</v>
      </c>
      <c r="E1994" s="17">
        <v>45566</v>
      </c>
      <c r="F1994" s="18">
        <f>MONTH(Data!$E1994)</f>
        <v>10</v>
      </c>
      <c r="G1994" s="16">
        <f>YEAR(Data!$E1994)</f>
        <v>2024</v>
      </c>
      <c r="H1994" s="15" t="s">
        <v>15</v>
      </c>
      <c r="I1994" s="15" t="str">
        <f t="shared" si="31"/>
        <v>Doanh nghiệp</v>
      </c>
      <c r="J1994" s="15" t="s">
        <v>1285</v>
      </c>
      <c r="K1994" s="15" t="s">
        <v>1263</v>
      </c>
      <c r="L1994" s="32">
        <f>Data!$D1994/10^6</f>
        <v>14.4</v>
      </c>
    </row>
    <row r="1995" spans="1:12" x14ac:dyDescent="0.25">
      <c r="A1995" s="30" t="s">
        <v>78</v>
      </c>
      <c r="B1995" s="15" t="s">
        <v>1027</v>
      </c>
      <c r="C1995" s="19" t="s">
        <v>14</v>
      </c>
      <c r="D1995" s="16">
        <v>48990000</v>
      </c>
      <c r="E1995" s="17">
        <v>45566</v>
      </c>
      <c r="F1995" s="18">
        <f>MONTH(Data!$E1995)</f>
        <v>10</v>
      </c>
      <c r="G1995" s="16">
        <f>YEAR(Data!$E1995)</f>
        <v>2024</v>
      </c>
      <c r="H1995" s="15" t="s">
        <v>15</v>
      </c>
      <c r="I1995" s="15" t="str">
        <f t="shared" si="31"/>
        <v>Doanh nghiệp</v>
      </c>
      <c r="J1995" s="15" t="s">
        <v>1284</v>
      </c>
      <c r="K1995" s="15" t="s">
        <v>1264</v>
      </c>
      <c r="L1995" s="32">
        <f>Data!$D1995/10^6</f>
        <v>48.99</v>
      </c>
    </row>
    <row r="1996" spans="1:12" x14ac:dyDescent="0.25">
      <c r="A1996" s="30" t="s">
        <v>48</v>
      </c>
      <c r="B1996" s="15" t="s">
        <v>1039</v>
      </c>
      <c r="C1996" s="19" t="s">
        <v>149</v>
      </c>
      <c r="D1996" s="16">
        <v>20348182</v>
      </c>
      <c r="E1996" s="17">
        <v>45566</v>
      </c>
      <c r="F1996" s="18">
        <f>MONTH(Data!$E1996)</f>
        <v>10</v>
      </c>
      <c r="G1996" s="16">
        <f>YEAR(Data!$E1996)</f>
        <v>2024</v>
      </c>
      <c r="H1996" s="15" t="s">
        <v>25</v>
      </c>
      <c r="I1996" s="15" t="str">
        <f t="shared" si="31"/>
        <v>Doanh nghiệp</v>
      </c>
      <c r="J1996" s="15" t="s">
        <v>1285</v>
      </c>
      <c r="K1996" s="15" t="s">
        <v>1263</v>
      </c>
      <c r="L1996" s="32">
        <f>Data!$D1996/10^6</f>
        <v>20.348182000000001</v>
      </c>
    </row>
    <row r="1997" spans="1:12" x14ac:dyDescent="0.25">
      <c r="A1997" s="30" t="s">
        <v>77</v>
      </c>
      <c r="B1997" s="15" t="s">
        <v>1069</v>
      </c>
      <c r="C1997" s="19" t="s">
        <v>14</v>
      </c>
      <c r="D1997" s="16">
        <v>84695455</v>
      </c>
      <c r="E1997" s="17">
        <v>45566</v>
      </c>
      <c r="F1997" s="18">
        <f>MONTH(Data!$E1997)</f>
        <v>10</v>
      </c>
      <c r="G1997" s="16">
        <f>YEAR(Data!$E1997)</f>
        <v>2024</v>
      </c>
      <c r="H1997" s="15" t="s">
        <v>35</v>
      </c>
      <c r="I1997" s="15" t="str">
        <f t="shared" si="31"/>
        <v>Doanh nghiệp</v>
      </c>
      <c r="J1997" s="15" t="s">
        <v>1284</v>
      </c>
      <c r="K1997" s="15" t="s">
        <v>1275</v>
      </c>
      <c r="L1997" s="32">
        <f>Data!$D1997/10^6</f>
        <v>84.695454999999995</v>
      </c>
    </row>
    <row r="1998" spans="1:12" x14ac:dyDescent="0.25">
      <c r="A1998" s="30" t="s">
        <v>51</v>
      </c>
      <c r="B1998" s="15" t="s">
        <v>1082</v>
      </c>
      <c r="C1998" s="19" t="s">
        <v>10</v>
      </c>
      <c r="D1998" s="16">
        <v>33448182</v>
      </c>
      <c r="E1998" s="17">
        <v>45566</v>
      </c>
      <c r="F1998" s="18">
        <f>MONTH(Data!$E1998)</f>
        <v>10</v>
      </c>
      <c r="G1998" s="16">
        <f>YEAR(Data!$E1998)</f>
        <v>2024</v>
      </c>
      <c r="H1998" s="15" t="s">
        <v>42</v>
      </c>
      <c r="I1998" s="15" t="str">
        <f t="shared" si="31"/>
        <v>Doanh nghiệp</v>
      </c>
      <c r="J1998" s="15" t="s">
        <v>1285</v>
      </c>
      <c r="K1998" s="15" t="s">
        <v>1262</v>
      </c>
      <c r="L1998" s="32">
        <f>Data!$D1998/10^6</f>
        <v>33.448182000000003</v>
      </c>
    </row>
    <row r="1999" spans="1:12" x14ac:dyDescent="0.25">
      <c r="A1999" s="30" t="s">
        <v>62</v>
      </c>
      <c r="B1999" s="15" t="s">
        <v>1026</v>
      </c>
      <c r="C1999" s="19" t="s">
        <v>46</v>
      </c>
      <c r="D1999" s="16">
        <v>23181818</v>
      </c>
      <c r="E1999" s="17">
        <v>45566</v>
      </c>
      <c r="F1999" s="18">
        <f>MONTH(Data!$E1999)</f>
        <v>10</v>
      </c>
      <c r="G1999" s="16">
        <f>YEAR(Data!$E1999)</f>
        <v>2024</v>
      </c>
      <c r="H1999" s="15" t="s">
        <v>15</v>
      </c>
      <c r="I1999" s="15" t="str">
        <f t="shared" si="31"/>
        <v>Doanh nghiệp</v>
      </c>
      <c r="J1999" s="15" t="s">
        <v>1284</v>
      </c>
      <c r="K1999" s="15" t="s">
        <v>1265</v>
      </c>
      <c r="L1999" s="32">
        <f>Data!$D1999/10^6</f>
        <v>23.181818</v>
      </c>
    </row>
    <row r="2000" spans="1:12" x14ac:dyDescent="0.25">
      <c r="A2000" s="30" t="s">
        <v>21</v>
      </c>
      <c r="B2000" s="15" t="s">
        <v>1038</v>
      </c>
      <c r="C2000" s="19" t="s">
        <v>46</v>
      </c>
      <c r="D2000" s="16">
        <v>213972179</v>
      </c>
      <c r="E2000" s="17">
        <v>45566</v>
      </c>
      <c r="F2000" s="18">
        <f>MONTH(Data!$E2000)</f>
        <v>10</v>
      </c>
      <c r="G2000" s="16">
        <f>YEAR(Data!$E2000)</f>
        <v>2024</v>
      </c>
      <c r="H2000" s="15" t="s">
        <v>22</v>
      </c>
      <c r="I2000" s="15" t="str">
        <f t="shared" si="31"/>
        <v>Doanh nghiệp</v>
      </c>
      <c r="J2000" s="15" t="s">
        <v>1285</v>
      </c>
      <c r="K2000" s="15" t="s">
        <v>1265</v>
      </c>
      <c r="L2000" s="32">
        <f>Data!$D2000/10^6</f>
        <v>213.97217900000001</v>
      </c>
    </row>
    <row r="2001" spans="1:12" x14ac:dyDescent="0.25">
      <c r="A2001" s="30" t="s">
        <v>68</v>
      </c>
      <c r="B2001" s="15" t="s">
        <v>1055</v>
      </c>
      <c r="C2001" s="19" t="s">
        <v>14</v>
      </c>
      <c r="D2001" s="16">
        <v>120763636</v>
      </c>
      <c r="E2001" s="17">
        <v>45566</v>
      </c>
      <c r="F2001" s="18">
        <f>MONTH(Data!$E2001)</f>
        <v>10</v>
      </c>
      <c r="G2001" s="16">
        <f>YEAR(Data!$E2001)</f>
        <v>2024</v>
      </c>
      <c r="H2001" s="15" t="s">
        <v>22</v>
      </c>
      <c r="I2001" s="15" t="str">
        <f t="shared" si="31"/>
        <v>Doanh nghiệp</v>
      </c>
      <c r="J2001" s="15" t="s">
        <v>1284</v>
      </c>
      <c r="K2001" s="15" t="s">
        <v>1277</v>
      </c>
      <c r="L2001" s="32">
        <f>Data!$D2001/10^6</f>
        <v>120.76363600000001</v>
      </c>
    </row>
    <row r="2002" spans="1:12" x14ac:dyDescent="0.25">
      <c r="A2002" s="30" t="s">
        <v>160</v>
      </c>
      <c r="B2002" s="15" t="s">
        <v>1060</v>
      </c>
      <c r="C2002" s="19" t="s">
        <v>14</v>
      </c>
      <c r="D2002" s="16">
        <v>84930000</v>
      </c>
      <c r="E2002" s="17">
        <v>45566</v>
      </c>
      <c r="F2002" s="18">
        <f>MONTH(Data!$E2002)</f>
        <v>10</v>
      </c>
      <c r="G2002" s="16">
        <f>YEAR(Data!$E2002)</f>
        <v>2024</v>
      </c>
      <c r="H2002" s="15" t="s">
        <v>35</v>
      </c>
      <c r="I2002" s="15" t="str">
        <f t="shared" si="31"/>
        <v>Doanh nghiệp</v>
      </c>
      <c r="J2002" s="15" t="s">
        <v>1285</v>
      </c>
      <c r="K2002" s="15" t="s">
        <v>1264</v>
      </c>
      <c r="L2002" s="32">
        <f>Data!$D2002/10^6</f>
        <v>84.93</v>
      </c>
    </row>
    <row r="2003" spans="1:12" x14ac:dyDescent="0.25">
      <c r="A2003" s="30" t="s">
        <v>160</v>
      </c>
      <c r="B2003" s="15" t="s">
        <v>1061</v>
      </c>
      <c r="C2003" s="19" t="s">
        <v>46</v>
      </c>
      <c r="D2003" s="16">
        <v>15681818</v>
      </c>
      <c r="E2003" s="17">
        <v>45566</v>
      </c>
      <c r="F2003" s="18">
        <f>MONTH(Data!$E2003)</f>
        <v>10</v>
      </c>
      <c r="G2003" s="16">
        <f>YEAR(Data!$E2003)</f>
        <v>2024</v>
      </c>
      <c r="H2003" s="15" t="s">
        <v>35</v>
      </c>
      <c r="I2003" s="15" t="str">
        <f t="shared" si="31"/>
        <v>Doanh nghiệp</v>
      </c>
      <c r="J2003" s="15" t="s">
        <v>1284</v>
      </c>
      <c r="K2003" s="15" t="s">
        <v>1271</v>
      </c>
      <c r="L2003" s="32">
        <f>Data!$D2003/10^6</f>
        <v>15.681818</v>
      </c>
    </row>
    <row r="2004" spans="1:12" x14ac:dyDescent="0.25">
      <c r="A2004" s="30" t="s">
        <v>72</v>
      </c>
      <c r="B2004" s="15" t="s">
        <v>1069</v>
      </c>
      <c r="C2004" s="19" t="s">
        <v>149</v>
      </c>
      <c r="D2004" s="16">
        <v>5306818</v>
      </c>
      <c r="E2004" s="17">
        <v>45566</v>
      </c>
      <c r="F2004" s="18">
        <f>MONTH(Data!$E2004)</f>
        <v>10</v>
      </c>
      <c r="G2004" s="16">
        <f>YEAR(Data!$E2004)</f>
        <v>2024</v>
      </c>
      <c r="H2004" s="15" t="s">
        <v>22</v>
      </c>
      <c r="I2004" s="15" t="str">
        <f t="shared" si="31"/>
        <v>Doanh nghiệp</v>
      </c>
      <c r="J2004" s="15" t="s">
        <v>1285</v>
      </c>
      <c r="K2004" s="15" t="s">
        <v>1262</v>
      </c>
      <c r="L2004" s="32">
        <f>Data!$D2004/10^6</f>
        <v>5.3068179999999998</v>
      </c>
    </row>
    <row r="2005" spans="1:12" x14ac:dyDescent="0.25">
      <c r="A2005" s="30" t="s">
        <v>28</v>
      </c>
      <c r="B2005" s="15" t="s">
        <v>1091</v>
      </c>
      <c r="C2005" s="19" t="s">
        <v>14</v>
      </c>
      <c r="D2005" s="16">
        <v>338545455</v>
      </c>
      <c r="E2005" s="17">
        <v>45566</v>
      </c>
      <c r="F2005" s="18">
        <f>MONTH(Data!$E2005)</f>
        <v>10</v>
      </c>
      <c r="G2005" s="16">
        <f>YEAR(Data!$E2005)</f>
        <v>2024</v>
      </c>
      <c r="H2005" s="15" t="s">
        <v>29</v>
      </c>
      <c r="I2005" s="15" t="str">
        <f t="shared" si="31"/>
        <v>Doanh nghiệp</v>
      </c>
      <c r="J2005" s="15" t="s">
        <v>1284</v>
      </c>
      <c r="K2005" s="15" t="s">
        <v>1277</v>
      </c>
      <c r="L2005" s="32">
        <f>Data!$D2005/10^6</f>
        <v>338.545455</v>
      </c>
    </row>
    <row r="2006" spans="1:12" x14ac:dyDescent="0.25">
      <c r="A2006" s="30" t="s">
        <v>48</v>
      </c>
      <c r="B2006" s="15" t="s">
        <v>1098</v>
      </c>
      <c r="C2006" s="19" t="s">
        <v>46</v>
      </c>
      <c r="D2006" s="16">
        <v>117032000</v>
      </c>
      <c r="E2006" s="17">
        <v>45566</v>
      </c>
      <c r="F2006" s="18">
        <f>MONTH(Data!$E2006)</f>
        <v>10</v>
      </c>
      <c r="G2006" s="16">
        <f>YEAR(Data!$E2006)</f>
        <v>2024</v>
      </c>
      <c r="H2006" s="15" t="s">
        <v>25</v>
      </c>
      <c r="I2006" s="15" t="str">
        <f t="shared" si="31"/>
        <v>Doanh nghiệp</v>
      </c>
      <c r="J2006" s="15" t="s">
        <v>1285</v>
      </c>
      <c r="K2006" s="15" t="s">
        <v>1265</v>
      </c>
      <c r="L2006" s="32">
        <f>Data!$D2006/10^6</f>
        <v>117.032</v>
      </c>
    </row>
    <row r="2007" spans="1:12" x14ac:dyDescent="0.25">
      <c r="A2007" s="30" t="s">
        <v>30</v>
      </c>
      <c r="B2007" s="15" t="s">
        <v>1104</v>
      </c>
      <c r="C2007" s="19" t="s">
        <v>46</v>
      </c>
      <c r="D2007" s="16">
        <v>239860682</v>
      </c>
      <c r="E2007" s="17">
        <v>45566</v>
      </c>
      <c r="F2007" s="18">
        <f>MONTH(Data!$E2007)</f>
        <v>10</v>
      </c>
      <c r="G2007" s="16">
        <f>YEAR(Data!$E2007)</f>
        <v>2024</v>
      </c>
      <c r="H2007" s="15" t="s">
        <v>32</v>
      </c>
      <c r="I2007" s="15" t="str">
        <f t="shared" si="31"/>
        <v>Doanh nghiệp</v>
      </c>
      <c r="J2007" s="15" t="s">
        <v>1284</v>
      </c>
      <c r="K2007" s="15" t="s">
        <v>1265</v>
      </c>
      <c r="L2007" s="32">
        <f>Data!$D2007/10^6</f>
        <v>239.860682</v>
      </c>
    </row>
    <row r="2008" spans="1:12" x14ac:dyDescent="0.25">
      <c r="A2008" s="30" t="s">
        <v>71</v>
      </c>
      <c r="B2008" s="15" t="s">
        <v>1109</v>
      </c>
      <c r="C2008" s="19" t="s">
        <v>10</v>
      </c>
      <c r="D2008" s="16">
        <v>137483209</v>
      </c>
      <c r="E2008" s="17">
        <v>45566</v>
      </c>
      <c r="F2008" s="18">
        <f>MONTH(Data!$E2008)</f>
        <v>10</v>
      </c>
      <c r="G2008" s="16">
        <f>YEAR(Data!$E2008)</f>
        <v>2024</v>
      </c>
      <c r="H2008" s="15" t="s">
        <v>11</v>
      </c>
      <c r="I2008" s="15" t="str">
        <f t="shared" si="31"/>
        <v>Doanh nghiệp</v>
      </c>
      <c r="J2008" s="15" t="s">
        <v>1285</v>
      </c>
      <c r="K2008" s="15" t="s">
        <v>1262</v>
      </c>
      <c r="L2008" s="32">
        <f>Data!$D2008/10^6</f>
        <v>137.48320899999999</v>
      </c>
    </row>
    <row r="2009" spans="1:12" x14ac:dyDescent="0.25">
      <c r="A2009" s="30" t="s">
        <v>23</v>
      </c>
      <c r="B2009" s="15" t="s">
        <v>1032</v>
      </c>
      <c r="C2009" s="19" t="s">
        <v>46</v>
      </c>
      <c r="D2009" s="16">
        <v>204286800</v>
      </c>
      <c r="E2009" s="17">
        <v>45566</v>
      </c>
      <c r="F2009" s="18">
        <f>MONTH(Data!$E2009)</f>
        <v>10</v>
      </c>
      <c r="G2009" s="16">
        <f>YEAR(Data!$E2009)</f>
        <v>2024</v>
      </c>
      <c r="H2009" s="15" t="s">
        <v>25</v>
      </c>
      <c r="I2009" s="15" t="str">
        <f t="shared" si="31"/>
        <v>Doanh nghiệp</v>
      </c>
      <c r="J2009" s="15" t="s">
        <v>1284</v>
      </c>
      <c r="K2009" s="15" t="s">
        <v>1265</v>
      </c>
      <c r="L2009" s="32">
        <f>Data!$D2009/10^6</f>
        <v>204.2868</v>
      </c>
    </row>
    <row r="2010" spans="1:12" x14ac:dyDescent="0.25">
      <c r="A2010" s="30" t="s">
        <v>123</v>
      </c>
      <c r="B2010" s="15" t="s">
        <v>1034</v>
      </c>
      <c r="C2010" s="19" t="s">
        <v>149</v>
      </c>
      <c r="D2010" s="16">
        <v>9818182</v>
      </c>
      <c r="E2010" s="17">
        <v>45566</v>
      </c>
      <c r="F2010" s="18">
        <f>MONTH(Data!$E2010)</f>
        <v>10</v>
      </c>
      <c r="G2010" s="16">
        <f>YEAR(Data!$E2010)</f>
        <v>2024</v>
      </c>
      <c r="H2010" s="15" t="s">
        <v>15</v>
      </c>
      <c r="I2010" s="15" t="str">
        <f t="shared" si="31"/>
        <v>Doanh nghiệp</v>
      </c>
      <c r="J2010" s="15" t="s">
        <v>1285</v>
      </c>
      <c r="K2010" s="15" t="s">
        <v>1264</v>
      </c>
      <c r="L2010" s="32">
        <f>Data!$D2010/10^6</f>
        <v>9.8181820000000002</v>
      </c>
    </row>
    <row r="2011" spans="1:12" x14ac:dyDescent="0.25">
      <c r="A2011" s="30" t="s">
        <v>128</v>
      </c>
      <c r="B2011" s="15" t="s">
        <v>1053</v>
      </c>
      <c r="C2011" s="19" t="s">
        <v>10</v>
      </c>
      <c r="D2011" s="16">
        <v>26175455</v>
      </c>
      <c r="E2011" s="17">
        <v>45566</v>
      </c>
      <c r="F2011" s="18">
        <f>MONTH(Data!$E2011)</f>
        <v>10</v>
      </c>
      <c r="G2011" s="16">
        <f>YEAR(Data!$E2011)</f>
        <v>2024</v>
      </c>
      <c r="H2011" s="15" t="s">
        <v>42</v>
      </c>
      <c r="I2011" s="15" t="str">
        <f t="shared" si="31"/>
        <v>Doanh nghiệp</v>
      </c>
      <c r="J2011" s="15" t="s">
        <v>1284</v>
      </c>
      <c r="K2011" s="15" t="s">
        <v>1263</v>
      </c>
      <c r="L2011" s="32">
        <f>Data!$D2011/10^6</f>
        <v>26.175454999999999</v>
      </c>
    </row>
    <row r="2012" spans="1:12" x14ac:dyDescent="0.25">
      <c r="A2012" s="30" t="s">
        <v>30</v>
      </c>
      <c r="B2012" s="15" t="s">
        <v>1060</v>
      </c>
      <c r="C2012" s="19" t="s">
        <v>10</v>
      </c>
      <c r="D2012" s="16">
        <v>15030000</v>
      </c>
      <c r="E2012" s="17">
        <v>45566</v>
      </c>
      <c r="F2012" s="18">
        <f>MONTH(Data!$E2012)</f>
        <v>10</v>
      </c>
      <c r="G2012" s="16">
        <f>YEAR(Data!$E2012)</f>
        <v>2024</v>
      </c>
      <c r="H2012" s="15" t="s">
        <v>32</v>
      </c>
      <c r="I2012" s="15" t="str">
        <f t="shared" si="31"/>
        <v>Doanh nghiệp</v>
      </c>
      <c r="J2012" s="15" t="s">
        <v>1285</v>
      </c>
      <c r="K2012" s="15" t="s">
        <v>1263</v>
      </c>
      <c r="L2012" s="32">
        <f>Data!$D2012/10^6</f>
        <v>15.03</v>
      </c>
    </row>
    <row r="2013" spans="1:12" x14ac:dyDescent="0.25">
      <c r="A2013" s="30" t="s">
        <v>48</v>
      </c>
      <c r="B2013" s="15" t="s">
        <v>1034</v>
      </c>
      <c r="C2013" s="19" t="s">
        <v>46</v>
      </c>
      <c r="D2013" s="16">
        <v>206259360</v>
      </c>
      <c r="E2013" s="17">
        <v>45566</v>
      </c>
      <c r="F2013" s="18">
        <f>MONTH(Data!$E2013)</f>
        <v>10</v>
      </c>
      <c r="G2013" s="16">
        <f>YEAR(Data!$E2013)</f>
        <v>2024</v>
      </c>
      <c r="H2013" s="15" t="s">
        <v>25</v>
      </c>
      <c r="I2013" s="15" t="str">
        <f t="shared" si="31"/>
        <v>Doanh nghiệp</v>
      </c>
      <c r="J2013" s="15" t="s">
        <v>1284</v>
      </c>
      <c r="K2013" s="15" t="s">
        <v>1265</v>
      </c>
      <c r="L2013" s="32">
        <f>Data!$D2013/10^6</f>
        <v>206.25935999999999</v>
      </c>
    </row>
    <row r="2014" spans="1:12" x14ac:dyDescent="0.25">
      <c r="A2014" s="30" t="s">
        <v>85</v>
      </c>
      <c r="B2014" s="15" t="s">
        <v>1038</v>
      </c>
      <c r="C2014" s="19" t="s">
        <v>14</v>
      </c>
      <c r="D2014" s="16">
        <v>31864318</v>
      </c>
      <c r="E2014" s="17">
        <v>45566</v>
      </c>
      <c r="F2014" s="18">
        <f>MONTH(Data!$E2014)</f>
        <v>10</v>
      </c>
      <c r="G2014" s="16">
        <f>YEAR(Data!$E2014)</f>
        <v>2024</v>
      </c>
      <c r="H2014" s="15" t="s">
        <v>15</v>
      </c>
      <c r="I2014" s="15" t="str">
        <f t="shared" si="31"/>
        <v>Doanh nghiệp</v>
      </c>
      <c r="J2014" s="15" t="s">
        <v>1285</v>
      </c>
      <c r="K2014" s="15" t="s">
        <v>1264</v>
      </c>
      <c r="L2014" s="32">
        <f>Data!$D2014/10^6</f>
        <v>31.864318000000001</v>
      </c>
    </row>
    <row r="2015" spans="1:12" x14ac:dyDescent="0.25">
      <c r="A2015" s="30" t="s">
        <v>85</v>
      </c>
      <c r="B2015" s="15" t="s">
        <v>1049</v>
      </c>
      <c r="C2015" s="19" t="s">
        <v>10</v>
      </c>
      <c r="D2015" s="16">
        <v>38272727</v>
      </c>
      <c r="E2015" s="17">
        <v>45566</v>
      </c>
      <c r="F2015" s="18">
        <f>MONTH(Data!$E2015)</f>
        <v>10</v>
      </c>
      <c r="G2015" s="16">
        <f>YEAR(Data!$E2015)</f>
        <v>2024</v>
      </c>
      <c r="H2015" s="15" t="s">
        <v>15</v>
      </c>
      <c r="I2015" s="15" t="str">
        <f t="shared" si="31"/>
        <v>Doanh nghiệp</v>
      </c>
      <c r="J2015" s="15" t="s">
        <v>1284</v>
      </c>
      <c r="K2015" s="15" t="s">
        <v>1263</v>
      </c>
      <c r="L2015" s="32">
        <f>Data!$D2015/10^6</f>
        <v>38.272727000000003</v>
      </c>
    </row>
    <row r="2016" spans="1:12" x14ac:dyDescent="0.25">
      <c r="A2016" s="30" t="s">
        <v>95</v>
      </c>
      <c r="B2016" s="15" t="s">
        <v>1075</v>
      </c>
      <c r="C2016" s="19" t="s">
        <v>46</v>
      </c>
      <c r="D2016" s="16">
        <v>325895085</v>
      </c>
      <c r="E2016" s="17">
        <v>45566</v>
      </c>
      <c r="F2016" s="18">
        <f>MONTH(Data!$E2016)</f>
        <v>10</v>
      </c>
      <c r="G2016" s="16">
        <f>YEAR(Data!$E2016)</f>
        <v>2024</v>
      </c>
      <c r="H2016" s="15" t="s">
        <v>35</v>
      </c>
      <c r="I2016" s="15" t="str">
        <f t="shared" si="31"/>
        <v>Doanh nghiệp</v>
      </c>
      <c r="J2016" s="15" t="s">
        <v>1285</v>
      </c>
      <c r="K2016" s="15" t="s">
        <v>1265</v>
      </c>
      <c r="L2016" s="32">
        <f>Data!$D2016/10^6</f>
        <v>325.89508499999999</v>
      </c>
    </row>
    <row r="2017" spans="1:12" x14ac:dyDescent="0.25">
      <c r="A2017" s="30" t="s">
        <v>78</v>
      </c>
      <c r="B2017" s="15" t="s">
        <v>1078</v>
      </c>
      <c r="C2017" s="19" t="s">
        <v>46</v>
      </c>
      <c r="D2017" s="16">
        <v>86423636</v>
      </c>
      <c r="E2017" s="17">
        <v>45566</v>
      </c>
      <c r="F2017" s="18">
        <f>MONTH(Data!$E2017)</f>
        <v>10</v>
      </c>
      <c r="G2017" s="16">
        <f>YEAR(Data!$E2017)</f>
        <v>2024</v>
      </c>
      <c r="H2017" s="15" t="s">
        <v>15</v>
      </c>
      <c r="I2017" s="15" t="str">
        <f t="shared" si="31"/>
        <v>Doanh nghiệp</v>
      </c>
      <c r="J2017" s="15" t="s">
        <v>1284</v>
      </c>
      <c r="K2017" s="15" t="s">
        <v>1265</v>
      </c>
      <c r="L2017" s="32">
        <f>Data!$D2017/10^6</f>
        <v>86.423636000000002</v>
      </c>
    </row>
    <row r="2018" spans="1:12" x14ac:dyDescent="0.25">
      <c r="A2018" s="30" t="s">
        <v>191</v>
      </c>
      <c r="B2018" s="15" t="s">
        <v>1096</v>
      </c>
      <c r="C2018" s="19" t="s">
        <v>46</v>
      </c>
      <c r="D2018" s="16">
        <v>135215149</v>
      </c>
      <c r="E2018" s="17">
        <v>45566</v>
      </c>
      <c r="F2018" s="18">
        <f>MONTH(Data!$E2018)</f>
        <v>10</v>
      </c>
      <c r="G2018" s="16">
        <f>YEAR(Data!$E2018)</f>
        <v>2024</v>
      </c>
      <c r="H2018" s="15" t="s">
        <v>35</v>
      </c>
      <c r="I2018" s="15" t="str">
        <f t="shared" si="31"/>
        <v>Doanh nghiệp</v>
      </c>
      <c r="J2018" s="15" t="s">
        <v>1285</v>
      </c>
      <c r="K2018" s="15" t="s">
        <v>1265</v>
      </c>
      <c r="L2018" s="32">
        <f>Data!$D2018/10^6</f>
        <v>135.215149</v>
      </c>
    </row>
    <row r="2019" spans="1:12" x14ac:dyDescent="0.25">
      <c r="A2019" s="30" t="s">
        <v>268</v>
      </c>
      <c r="B2019" s="15" t="s">
        <v>1097</v>
      </c>
      <c r="C2019" s="19" t="s">
        <v>46</v>
      </c>
      <c r="D2019" s="16">
        <v>159090909</v>
      </c>
      <c r="E2019" s="17">
        <v>45566</v>
      </c>
      <c r="F2019" s="18">
        <f>MONTH(Data!$E2019)</f>
        <v>10</v>
      </c>
      <c r="G2019" s="16">
        <f>YEAR(Data!$E2019)</f>
        <v>2024</v>
      </c>
      <c r="H2019" s="15" t="s">
        <v>25</v>
      </c>
      <c r="I2019" s="15" t="str">
        <f t="shared" si="31"/>
        <v>Doanh nghiệp</v>
      </c>
      <c r="J2019" s="15" t="s">
        <v>1284</v>
      </c>
      <c r="K2019" s="15" t="s">
        <v>1265</v>
      </c>
      <c r="L2019" s="32">
        <f>Data!$D2019/10^6</f>
        <v>159.09090900000001</v>
      </c>
    </row>
    <row r="2020" spans="1:12" x14ac:dyDescent="0.25">
      <c r="A2020" s="30" t="s">
        <v>95</v>
      </c>
      <c r="B2020" s="15" t="s">
        <v>1098</v>
      </c>
      <c r="C2020" s="19" t="s">
        <v>46</v>
      </c>
      <c r="D2020" s="16">
        <v>317212013</v>
      </c>
      <c r="E2020" s="17">
        <v>45566</v>
      </c>
      <c r="F2020" s="18">
        <f>MONTH(Data!$E2020)</f>
        <v>10</v>
      </c>
      <c r="G2020" s="16">
        <f>YEAR(Data!$E2020)</f>
        <v>2024</v>
      </c>
      <c r="H2020" s="15" t="s">
        <v>35</v>
      </c>
      <c r="I2020" s="15" t="str">
        <f t="shared" si="31"/>
        <v>Doanh nghiệp</v>
      </c>
      <c r="J2020" s="15" t="s">
        <v>1285</v>
      </c>
      <c r="K2020" s="15" t="s">
        <v>1265</v>
      </c>
      <c r="L2020" s="32">
        <f>Data!$D2020/10^6</f>
        <v>317.21201300000001</v>
      </c>
    </row>
    <row r="2021" spans="1:12" x14ac:dyDescent="0.25">
      <c r="A2021" s="30" t="s">
        <v>77</v>
      </c>
      <c r="B2021" s="15" t="s">
        <v>1099</v>
      </c>
      <c r="C2021" s="19" t="s">
        <v>46</v>
      </c>
      <c r="D2021" s="16">
        <v>2158833859</v>
      </c>
      <c r="E2021" s="17">
        <v>45566</v>
      </c>
      <c r="F2021" s="18">
        <f>MONTH(Data!$E2021)</f>
        <v>10</v>
      </c>
      <c r="G2021" s="16">
        <f>YEAR(Data!$E2021)</f>
        <v>2024</v>
      </c>
      <c r="H2021" s="15" t="s">
        <v>35</v>
      </c>
      <c r="I2021" s="15" t="str">
        <f t="shared" si="31"/>
        <v>Doanh nghiệp</v>
      </c>
      <c r="J2021" s="15" t="s">
        <v>1284</v>
      </c>
      <c r="K2021" s="15" t="s">
        <v>1265</v>
      </c>
      <c r="L2021" s="32">
        <f>Data!$D2021/10^6</f>
        <v>2158.8338589999998</v>
      </c>
    </row>
    <row r="2022" spans="1:12" x14ac:dyDescent="0.25">
      <c r="A2022" s="30" t="s">
        <v>160</v>
      </c>
      <c r="B2022" s="15" t="s">
        <v>1111</v>
      </c>
      <c r="C2022" s="19" t="s">
        <v>46</v>
      </c>
      <c r="D2022" s="16">
        <v>150293141</v>
      </c>
      <c r="E2022" s="17">
        <v>45566</v>
      </c>
      <c r="F2022" s="18">
        <f>MONTH(Data!$E2022)</f>
        <v>10</v>
      </c>
      <c r="G2022" s="16">
        <f>YEAR(Data!$E2022)</f>
        <v>2024</v>
      </c>
      <c r="H2022" s="15" t="s">
        <v>35</v>
      </c>
      <c r="I2022" s="15" t="str">
        <f t="shared" si="31"/>
        <v>Doanh nghiệp</v>
      </c>
      <c r="J2022" s="15" t="s">
        <v>1285</v>
      </c>
      <c r="K2022" s="15" t="s">
        <v>1265</v>
      </c>
      <c r="L2022" s="32">
        <f>Data!$D2022/10^6</f>
        <v>150.29314099999999</v>
      </c>
    </row>
    <row r="2023" spans="1:12" x14ac:dyDescent="0.25">
      <c r="A2023" s="30" t="s">
        <v>107</v>
      </c>
      <c r="B2023" s="15" t="s">
        <v>1043</v>
      </c>
      <c r="C2023" s="19" t="s">
        <v>10</v>
      </c>
      <c r="D2023" s="16">
        <v>330028090</v>
      </c>
      <c r="E2023" s="17">
        <v>45566</v>
      </c>
      <c r="F2023" s="18">
        <f>MONTH(Data!$E2023)</f>
        <v>10</v>
      </c>
      <c r="G2023" s="16">
        <f>YEAR(Data!$E2023)</f>
        <v>2024</v>
      </c>
      <c r="H2023" s="15" t="s">
        <v>42</v>
      </c>
      <c r="I2023" s="15" t="str">
        <f t="shared" si="31"/>
        <v>Doanh nghiệp</v>
      </c>
      <c r="J2023" s="15" t="s">
        <v>1284</v>
      </c>
      <c r="K2023" s="15" t="s">
        <v>1263</v>
      </c>
      <c r="L2023" s="32">
        <f>Data!$D2023/10^6</f>
        <v>330.02809000000002</v>
      </c>
    </row>
    <row r="2024" spans="1:12" x14ac:dyDescent="0.25">
      <c r="A2024" s="30" t="s">
        <v>30</v>
      </c>
      <c r="B2024" s="15" t="s">
        <v>1099</v>
      </c>
      <c r="C2024" s="19" t="s">
        <v>10</v>
      </c>
      <c r="D2024" s="16">
        <v>12201818</v>
      </c>
      <c r="E2024" s="17">
        <v>45566</v>
      </c>
      <c r="F2024" s="18">
        <f>MONTH(Data!$E2024)</f>
        <v>10</v>
      </c>
      <c r="G2024" s="16">
        <f>YEAR(Data!$E2024)</f>
        <v>2024</v>
      </c>
      <c r="H2024" s="15" t="s">
        <v>32</v>
      </c>
      <c r="I2024" s="15" t="str">
        <f t="shared" si="31"/>
        <v>Doanh nghiệp</v>
      </c>
      <c r="J2024" s="15" t="s">
        <v>1285</v>
      </c>
      <c r="K2024" s="15" t="s">
        <v>1267</v>
      </c>
      <c r="L2024" s="32">
        <f>Data!$D2024/10^6</f>
        <v>12.201817999999999</v>
      </c>
    </row>
    <row r="2025" spans="1:12" x14ac:dyDescent="0.25">
      <c r="A2025" s="30" t="s">
        <v>52</v>
      </c>
      <c r="B2025" s="15" t="s">
        <v>1114</v>
      </c>
      <c r="C2025" s="19" t="s">
        <v>10</v>
      </c>
      <c r="D2025" s="16">
        <v>144124000</v>
      </c>
      <c r="E2025" s="17">
        <v>45566</v>
      </c>
      <c r="F2025" s="18">
        <f>MONTH(Data!$E2025)</f>
        <v>10</v>
      </c>
      <c r="G2025" s="16">
        <f>YEAR(Data!$E2025)</f>
        <v>2024</v>
      </c>
      <c r="H2025" s="15" t="s">
        <v>35</v>
      </c>
      <c r="I2025" s="15" t="str">
        <f t="shared" si="31"/>
        <v>Doanh nghiệp</v>
      </c>
      <c r="J2025" s="15" t="s">
        <v>1284</v>
      </c>
      <c r="K2025" s="15" t="s">
        <v>1267</v>
      </c>
      <c r="L2025" s="32">
        <f>Data!$D2025/10^6</f>
        <v>144.124</v>
      </c>
    </row>
    <row r="2026" spans="1:12" x14ac:dyDescent="0.25">
      <c r="A2026" s="30" t="s">
        <v>78</v>
      </c>
      <c r="B2026" s="15" t="s">
        <v>1119</v>
      </c>
      <c r="C2026" s="19" t="s">
        <v>46</v>
      </c>
      <c r="D2026" s="16">
        <v>70554309</v>
      </c>
      <c r="E2026" s="17">
        <v>45566</v>
      </c>
      <c r="F2026" s="18">
        <f>MONTH(Data!$E2026)</f>
        <v>10</v>
      </c>
      <c r="G2026" s="16">
        <f>YEAR(Data!$E2026)</f>
        <v>2024</v>
      </c>
      <c r="H2026" s="15" t="s">
        <v>15</v>
      </c>
      <c r="I2026" s="15" t="str">
        <f t="shared" si="31"/>
        <v>Doanh nghiệp</v>
      </c>
      <c r="J2026" s="15" t="s">
        <v>1285</v>
      </c>
      <c r="K2026" s="15" t="s">
        <v>1265</v>
      </c>
      <c r="L2026" s="32">
        <f>Data!$D2026/10^6</f>
        <v>70.554309000000003</v>
      </c>
    </row>
    <row r="2027" spans="1:12" x14ac:dyDescent="0.25">
      <c r="A2027" s="30" t="s">
        <v>92</v>
      </c>
      <c r="B2027" s="15" t="s">
        <v>1031</v>
      </c>
      <c r="C2027" s="19" t="s">
        <v>14</v>
      </c>
      <c r="D2027" s="16">
        <v>126867273</v>
      </c>
      <c r="E2027" s="17">
        <v>45566</v>
      </c>
      <c r="F2027" s="18">
        <f>MONTH(Data!$E2027)</f>
        <v>10</v>
      </c>
      <c r="G2027" s="16">
        <f>YEAR(Data!$E2027)</f>
        <v>2024</v>
      </c>
      <c r="H2027" s="15" t="s">
        <v>29</v>
      </c>
      <c r="I2027" s="15" t="str">
        <f t="shared" si="31"/>
        <v>Doanh nghiệp</v>
      </c>
      <c r="J2027" s="15" t="s">
        <v>1284</v>
      </c>
      <c r="K2027" s="15" t="s">
        <v>1275</v>
      </c>
      <c r="L2027" s="32">
        <f>Data!$D2027/10^6</f>
        <v>126.867273</v>
      </c>
    </row>
    <row r="2028" spans="1:12" x14ac:dyDescent="0.25">
      <c r="A2028" s="30" t="s">
        <v>21</v>
      </c>
      <c r="B2028" s="15" t="s">
        <v>1050</v>
      </c>
      <c r="C2028" s="19" t="s">
        <v>10</v>
      </c>
      <c r="D2028" s="16">
        <v>37440000</v>
      </c>
      <c r="E2028" s="17">
        <v>45566</v>
      </c>
      <c r="F2028" s="18">
        <f>MONTH(Data!$E2028)</f>
        <v>10</v>
      </c>
      <c r="G2028" s="16">
        <f>YEAR(Data!$E2028)</f>
        <v>2024</v>
      </c>
      <c r="H2028" s="15" t="s">
        <v>22</v>
      </c>
      <c r="I2028" s="15" t="str">
        <f t="shared" si="31"/>
        <v>Doanh nghiệp</v>
      </c>
      <c r="J2028" s="15" t="s">
        <v>1285</v>
      </c>
      <c r="K2028" s="15" t="s">
        <v>1262</v>
      </c>
      <c r="L2028" s="32">
        <f>Data!$D2028/10^6</f>
        <v>37.44</v>
      </c>
    </row>
    <row r="2029" spans="1:12" x14ac:dyDescent="0.25">
      <c r="A2029" s="30" t="s">
        <v>21</v>
      </c>
      <c r="B2029" s="15" t="s">
        <v>1051</v>
      </c>
      <c r="C2029" s="19" t="s">
        <v>10</v>
      </c>
      <c r="D2029" s="16">
        <v>52251000</v>
      </c>
      <c r="E2029" s="17">
        <v>45566</v>
      </c>
      <c r="F2029" s="18">
        <f>MONTH(Data!$E2029)</f>
        <v>10</v>
      </c>
      <c r="G2029" s="16">
        <f>YEAR(Data!$E2029)</f>
        <v>2024</v>
      </c>
      <c r="H2029" s="15" t="s">
        <v>22</v>
      </c>
      <c r="I2029" s="15" t="str">
        <f t="shared" si="31"/>
        <v>Doanh nghiệp</v>
      </c>
      <c r="J2029" s="15" t="s">
        <v>1284</v>
      </c>
      <c r="K2029" s="15" t="s">
        <v>1263</v>
      </c>
      <c r="L2029" s="32">
        <f>Data!$D2029/10^6</f>
        <v>52.250999999999998</v>
      </c>
    </row>
    <row r="2030" spans="1:12" x14ac:dyDescent="0.25">
      <c r="A2030" s="30" t="s">
        <v>65</v>
      </c>
      <c r="B2030" s="15" t="s">
        <v>1084</v>
      </c>
      <c r="C2030" s="19" t="s">
        <v>14</v>
      </c>
      <c r="D2030" s="16">
        <v>548790909</v>
      </c>
      <c r="E2030" s="17">
        <v>45566</v>
      </c>
      <c r="F2030" s="18">
        <f>MONTH(Data!$E2030)</f>
        <v>10</v>
      </c>
      <c r="G2030" s="16">
        <f>YEAR(Data!$E2030)</f>
        <v>2024</v>
      </c>
      <c r="H2030" s="15" t="s">
        <v>25</v>
      </c>
      <c r="I2030" s="15" t="str">
        <f t="shared" si="31"/>
        <v>Doanh nghiệp</v>
      </c>
      <c r="J2030" s="15" t="s">
        <v>1285</v>
      </c>
      <c r="K2030" s="15" t="s">
        <v>1264</v>
      </c>
      <c r="L2030" s="32">
        <f>Data!$D2030/10^6</f>
        <v>548.79090900000006</v>
      </c>
    </row>
    <row r="2031" spans="1:12" x14ac:dyDescent="0.25">
      <c r="A2031" s="30" t="s">
        <v>30</v>
      </c>
      <c r="B2031" s="15" t="s">
        <v>1107</v>
      </c>
      <c r="C2031" s="19" t="s">
        <v>10</v>
      </c>
      <c r="D2031" s="16">
        <v>15340909</v>
      </c>
      <c r="E2031" s="17">
        <v>45566</v>
      </c>
      <c r="F2031" s="18">
        <f>MONTH(Data!$E2031)</f>
        <v>10</v>
      </c>
      <c r="G2031" s="16">
        <f>YEAR(Data!$E2031)</f>
        <v>2024</v>
      </c>
      <c r="H2031" s="15" t="s">
        <v>32</v>
      </c>
      <c r="I2031" s="15" t="str">
        <f t="shared" si="31"/>
        <v>Doanh nghiệp</v>
      </c>
      <c r="J2031" s="15" t="s">
        <v>1284</v>
      </c>
      <c r="K2031" s="15" t="s">
        <v>1263</v>
      </c>
      <c r="L2031" s="32">
        <f>Data!$D2031/10^6</f>
        <v>15.340909</v>
      </c>
    </row>
    <row r="2032" spans="1:12" x14ac:dyDescent="0.25">
      <c r="A2032" s="30" t="s">
        <v>111</v>
      </c>
      <c r="B2032" s="15" t="s">
        <v>1112</v>
      </c>
      <c r="C2032" s="19" t="s">
        <v>46</v>
      </c>
      <c r="D2032" s="16">
        <v>327272727</v>
      </c>
      <c r="E2032" s="17">
        <v>45566</v>
      </c>
      <c r="F2032" s="18">
        <f>MONTH(Data!$E2032)</f>
        <v>10</v>
      </c>
      <c r="G2032" s="16">
        <f>YEAR(Data!$E2032)</f>
        <v>2024</v>
      </c>
      <c r="H2032" s="15" t="s">
        <v>22</v>
      </c>
      <c r="I2032" s="15" t="str">
        <f t="shared" si="31"/>
        <v>Doanh nghiệp</v>
      </c>
      <c r="J2032" s="15" t="s">
        <v>1285</v>
      </c>
      <c r="K2032" s="15" t="s">
        <v>1265</v>
      </c>
      <c r="L2032" s="32">
        <f>Data!$D2032/10^6</f>
        <v>327.27272699999997</v>
      </c>
    </row>
    <row r="2033" spans="1:12" x14ac:dyDescent="0.25">
      <c r="A2033" s="30" t="s">
        <v>52</v>
      </c>
      <c r="B2033" s="15" t="s">
        <v>1117</v>
      </c>
      <c r="C2033" s="19" t="s">
        <v>10</v>
      </c>
      <c r="D2033" s="16">
        <v>187550000</v>
      </c>
      <c r="E2033" s="17">
        <v>45566</v>
      </c>
      <c r="F2033" s="18">
        <f>MONTH(Data!$E2033)</f>
        <v>10</v>
      </c>
      <c r="G2033" s="16">
        <f>YEAR(Data!$E2033)</f>
        <v>2024</v>
      </c>
      <c r="H2033" s="15" t="s">
        <v>35</v>
      </c>
      <c r="I2033" s="15" t="str">
        <f t="shared" si="31"/>
        <v>Doanh nghiệp</v>
      </c>
      <c r="J2033" s="15" t="s">
        <v>1284</v>
      </c>
      <c r="K2033" s="15" t="s">
        <v>1267</v>
      </c>
      <c r="L2033" s="32">
        <f>Data!$D2033/10^6</f>
        <v>187.55</v>
      </c>
    </row>
    <row r="2034" spans="1:12" x14ac:dyDescent="0.25">
      <c r="A2034" s="30" t="s">
        <v>98</v>
      </c>
      <c r="B2034" s="15" t="s">
        <v>1123</v>
      </c>
      <c r="C2034" s="19" t="s">
        <v>10</v>
      </c>
      <c r="D2034" s="16">
        <v>151593500</v>
      </c>
      <c r="E2034" s="17">
        <v>45566</v>
      </c>
      <c r="F2034" s="18">
        <f>MONTH(Data!$E2034)</f>
        <v>10</v>
      </c>
      <c r="G2034" s="16">
        <f>YEAR(Data!$E2034)</f>
        <v>2024</v>
      </c>
      <c r="H2034" s="15" t="s">
        <v>11</v>
      </c>
      <c r="I2034" s="15" t="str">
        <f t="shared" si="31"/>
        <v>Doanh nghiệp</v>
      </c>
      <c r="J2034" s="15" t="s">
        <v>1285</v>
      </c>
      <c r="K2034" s="15" t="s">
        <v>1263</v>
      </c>
      <c r="L2034" s="32">
        <f>Data!$D2034/10^6</f>
        <v>151.59350000000001</v>
      </c>
    </row>
    <row r="2035" spans="1:12" x14ac:dyDescent="0.25">
      <c r="A2035" s="30" t="s">
        <v>160</v>
      </c>
      <c r="B2035" s="15" t="s">
        <v>1120</v>
      </c>
      <c r="C2035" s="19" t="s">
        <v>46</v>
      </c>
      <c r="D2035" s="16">
        <v>87262727</v>
      </c>
      <c r="E2035" s="17">
        <v>45566</v>
      </c>
      <c r="F2035" s="18">
        <f>MONTH(Data!$E2035)</f>
        <v>10</v>
      </c>
      <c r="G2035" s="16">
        <f>YEAR(Data!$E2035)</f>
        <v>2024</v>
      </c>
      <c r="H2035" s="15" t="s">
        <v>35</v>
      </c>
      <c r="I2035" s="15" t="str">
        <f t="shared" si="31"/>
        <v>Doanh nghiệp</v>
      </c>
      <c r="J2035" s="15" t="s">
        <v>1284</v>
      </c>
      <c r="K2035" s="15" t="s">
        <v>1265</v>
      </c>
      <c r="L2035" s="32">
        <f>Data!$D2035/10^6</f>
        <v>87.262726999999998</v>
      </c>
    </row>
    <row r="2036" spans="1:12" x14ac:dyDescent="0.25">
      <c r="A2036" s="30" t="s">
        <v>123</v>
      </c>
      <c r="B2036" s="15" t="s">
        <v>1127</v>
      </c>
      <c r="C2036" s="19" t="s">
        <v>14</v>
      </c>
      <c r="D2036" s="16">
        <v>31727273</v>
      </c>
      <c r="E2036" s="17">
        <v>45566</v>
      </c>
      <c r="F2036" s="18">
        <f>MONTH(Data!$E2036)</f>
        <v>10</v>
      </c>
      <c r="G2036" s="16">
        <f>YEAR(Data!$E2036)</f>
        <v>2024</v>
      </c>
      <c r="H2036" s="15" t="s">
        <v>15</v>
      </c>
      <c r="I2036" s="15" t="str">
        <f t="shared" si="31"/>
        <v>Doanh nghiệp</v>
      </c>
      <c r="J2036" s="15" t="s">
        <v>1285</v>
      </c>
      <c r="K2036" s="15" t="s">
        <v>1264</v>
      </c>
      <c r="L2036" s="32">
        <f>Data!$D2036/10^6</f>
        <v>31.727273</v>
      </c>
    </row>
    <row r="2037" spans="1:12" x14ac:dyDescent="0.25">
      <c r="A2037" s="30" t="s">
        <v>30</v>
      </c>
      <c r="B2037" s="15" t="s">
        <v>1130</v>
      </c>
      <c r="C2037" s="19" t="s">
        <v>46</v>
      </c>
      <c r="D2037" s="16">
        <v>146181818</v>
      </c>
      <c r="E2037" s="17">
        <v>45566</v>
      </c>
      <c r="F2037" s="18">
        <f>MONTH(Data!$E2037)</f>
        <v>10</v>
      </c>
      <c r="G2037" s="16">
        <f>YEAR(Data!$E2037)</f>
        <v>2024</v>
      </c>
      <c r="H2037" s="15" t="s">
        <v>32</v>
      </c>
      <c r="I2037" s="15" t="str">
        <f t="shared" si="31"/>
        <v>Doanh nghiệp</v>
      </c>
      <c r="J2037" s="15" t="s">
        <v>1284</v>
      </c>
      <c r="K2037" s="15" t="s">
        <v>1265</v>
      </c>
      <c r="L2037" s="32">
        <f>Data!$D2037/10^6</f>
        <v>146.18181799999999</v>
      </c>
    </row>
    <row r="2038" spans="1:12" x14ac:dyDescent="0.25">
      <c r="A2038" s="30" t="s">
        <v>62</v>
      </c>
      <c r="B2038" s="15" t="s">
        <v>1143</v>
      </c>
      <c r="C2038" s="19" t="s">
        <v>46</v>
      </c>
      <c r="D2038" s="16">
        <v>154545455</v>
      </c>
      <c r="E2038" s="17">
        <v>45566</v>
      </c>
      <c r="F2038" s="18">
        <f>MONTH(Data!$E2038)</f>
        <v>10</v>
      </c>
      <c r="G2038" s="16">
        <f>YEAR(Data!$E2038)</f>
        <v>2024</v>
      </c>
      <c r="H2038" s="15" t="s">
        <v>15</v>
      </c>
      <c r="I2038" s="15" t="str">
        <f t="shared" si="31"/>
        <v>Doanh nghiệp</v>
      </c>
      <c r="J2038" s="15" t="s">
        <v>1285</v>
      </c>
      <c r="K2038" s="15" t="s">
        <v>1265</v>
      </c>
      <c r="L2038" s="32">
        <f>Data!$D2038/10^6</f>
        <v>154.545455</v>
      </c>
    </row>
    <row r="2039" spans="1:12" x14ac:dyDescent="0.25">
      <c r="A2039" s="30" t="s">
        <v>111</v>
      </c>
      <c r="B2039" s="15" t="s">
        <v>1146</v>
      </c>
      <c r="C2039" s="19" t="s">
        <v>46</v>
      </c>
      <c r="D2039" s="16">
        <v>158181818</v>
      </c>
      <c r="E2039" s="17">
        <v>45566</v>
      </c>
      <c r="F2039" s="18">
        <f>MONTH(Data!$E2039)</f>
        <v>10</v>
      </c>
      <c r="G2039" s="16">
        <f>YEAR(Data!$E2039)</f>
        <v>2024</v>
      </c>
      <c r="H2039" s="15" t="s">
        <v>22</v>
      </c>
      <c r="I2039" s="15" t="str">
        <f t="shared" si="31"/>
        <v>Doanh nghiệp</v>
      </c>
      <c r="J2039" s="15" t="s">
        <v>1284</v>
      </c>
      <c r="K2039" s="15" t="s">
        <v>1265</v>
      </c>
      <c r="L2039" s="32">
        <f>Data!$D2039/10^6</f>
        <v>158.18181799999999</v>
      </c>
    </row>
    <row r="2040" spans="1:12" x14ac:dyDescent="0.25">
      <c r="A2040" s="30" t="s">
        <v>23</v>
      </c>
      <c r="B2040" s="15" t="s">
        <v>1128</v>
      </c>
      <c r="C2040" s="19" t="s">
        <v>46</v>
      </c>
      <c r="D2040" s="16">
        <v>179090909</v>
      </c>
      <c r="E2040" s="17">
        <v>45566</v>
      </c>
      <c r="F2040" s="18">
        <f>MONTH(Data!$E2040)</f>
        <v>10</v>
      </c>
      <c r="G2040" s="16">
        <f>YEAR(Data!$E2040)</f>
        <v>2024</v>
      </c>
      <c r="H2040" s="15" t="s">
        <v>25</v>
      </c>
      <c r="I2040" s="15" t="str">
        <f t="shared" si="31"/>
        <v>Doanh nghiệp</v>
      </c>
      <c r="J2040" s="15" t="s">
        <v>1285</v>
      </c>
      <c r="K2040" s="15" t="s">
        <v>1265</v>
      </c>
      <c r="L2040" s="32">
        <f>Data!$D2040/10^6</f>
        <v>179.09090900000001</v>
      </c>
    </row>
    <row r="2041" spans="1:12" x14ac:dyDescent="0.25">
      <c r="A2041" s="30" t="s">
        <v>79</v>
      </c>
      <c r="B2041" s="15" t="s">
        <v>1131</v>
      </c>
      <c r="C2041" s="19" t="s">
        <v>46</v>
      </c>
      <c r="D2041" s="16">
        <v>25168919</v>
      </c>
      <c r="E2041" s="17">
        <v>45566</v>
      </c>
      <c r="F2041" s="18">
        <f>MONTH(Data!$E2041)</f>
        <v>10</v>
      </c>
      <c r="G2041" s="16">
        <f>YEAR(Data!$E2041)</f>
        <v>2024</v>
      </c>
      <c r="H2041" s="15" t="s">
        <v>15</v>
      </c>
      <c r="I2041" s="15" t="str">
        <f t="shared" si="31"/>
        <v>Doanh nghiệp</v>
      </c>
      <c r="J2041" s="15" t="s">
        <v>1284</v>
      </c>
      <c r="K2041" s="15" t="s">
        <v>1271</v>
      </c>
      <c r="L2041" s="32">
        <f>Data!$D2041/10^6</f>
        <v>25.168918999999999</v>
      </c>
    </row>
    <row r="2042" spans="1:12" x14ac:dyDescent="0.25">
      <c r="A2042" s="30" t="s">
        <v>98</v>
      </c>
      <c r="B2042" s="15" t="s">
        <v>1132</v>
      </c>
      <c r="C2042" s="19" t="s">
        <v>46</v>
      </c>
      <c r="D2042" s="16">
        <v>167717273</v>
      </c>
      <c r="E2042" s="17">
        <v>45566</v>
      </c>
      <c r="F2042" s="18">
        <f>MONTH(Data!$E2042)</f>
        <v>10</v>
      </c>
      <c r="G2042" s="16">
        <f>YEAR(Data!$E2042)</f>
        <v>2024</v>
      </c>
      <c r="H2042" s="15" t="s">
        <v>11</v>
      </c>
      <c r="I2042" s="15" t="str">
        <f t="shared" si="31"/>
        <v>Doanh nghiệp</v>
      </c>
      <c r="J2042" s="15" t="s">
        <v>1285</v>
      </c>
      <c r="K2042" s="15" t="s">
        <v>1265</v>
      </c>
      <c r="L2042" s="32">
        <f>Data!$D2042/10^6</f>
        <v>167.71727300000001</v>
      </c>
    </row>
    <row r="2043" spans="1:12" x14ac:dyDescent="0.25">
      <c r="A2043" s="30" t="s">
        <v>23</v>
      </c>
      <c r="B2043" s="15" t="s">
        <v>1143</v>
      </c>
      <c r="C2043" s="19" t="s">
        <v>46</v>
      </c>
      <c r="D2043" s="16">
        <v>85512910</v>
      </c>
      <c r="E2043" s="17">
        <v>45566</v>
      </c>
      <c r="F2043" s="18">
        <f>MONTH(Data!$E2043)</f>
        <v>10</v>
      </c>
      <c r="G2043" s="16">
        <f>YEAR(Data!$E2043)</f>
        <v>2024</v>
      </c>
      <c r="H2043" s="15" t="s">
        <v>25</v>
      </c>
      <c r="I2043" s="15" t="str">
        <f t="shared" si="31"/>
        <v>Doanh nghiệp</v>
      </c>
      <c r="J2043" s="15" t="s">
        <v>1284</v>
      </c>
      <c r="K2043" s="15" t="s">
        <v>1265</v>
      </c>
      <c r="L2043" s="32">
        <f>Data!$D2043/10^6</f>
        <v>85.512910000000005</v>
      </c>
    </row>
    <row r="2044" spans="1:12" x14ac:dyDescent="0.25">
      <c r="A2044" s="30" t="s">
        <v>23</v>
      </c>
      <c r="B2044" s="15" t="s">
        <v>1150</v>
      </c>
      <c r="C2044" s="19" t="s">
        <v>46</v>
      </c>
      <c r="D2044" s="16">
        <v>209917355</v>
      </c>
      <c r="E2044" s="17">
        <v>45566</v>
      </c>
      <c r="F2044" s="18">
        <f>MONTH(Data!$E2044)</f>
        <v>10</v>
      </c>
      <c r="G2044" s="16">
        <f>YEAR(Data!$E2044)</f>
        <v>2024</v>
      </c>
      <c r="H2044" s="15" t="s">
        <v>25</v>
      </c>
      <c r="I2044" s="15" t="str">
        <f t="shared" si="31"/>
        <v>Doanh nghiệp</v>
      </c>
      <c r="J2044" s="15" t="s">
        <v>1285</v>
      </c>
      <c r="K2044" s="15" t="s">
        <v>1265</v>
      </c>
      <c r="L2044" s="32">
        <f>Data!$D2044/10^6</f>
        <v>209.91735499999999</v>
      </c>
    </row>
    <row r="2045" spans="1:12" x14ac:dyDescent="0.25">
      <c r="A2045" s="30" t="s">
        <v>30</v>
      </c>
      <c r="B2045" s="15" t="s">
        <v>1140</v>
      </c>
      <c r="C2045" s="19" t="s">
        <v>14</v>
      </c>
      <c r="D2045" s="16">
        <v>18136364</v>
      </c>
      <c r="E2045" s="17">
        <v>45566</v>
      </c>
      <c r="F2045" s="18">
        <f>MONTH(Data!$E2045)</f>
        <v>10</v>
      </c>
      <c r="G2045" s="16">
        <f>YEAR(Data!$E2045)</f>
        <v>2024</v>
      </c>
      <c r="H2045" s="15" t="s">
        <v>32</v>
      </c>
      <c r="I2045" s="15" t="str">
        <f t="shared" si="31"/>
        <v>Doanh nghiệp</v>
      </c>
      <c r="J2045" s="15" t="s">
        <v>1284</v>
      </c>
      <c r="K2045" s="15" t="s">
        <v>1264</v>
      </c>
      <c r="L2045" s="32">
        <f>Data!$D2045/10^6</f>
        <v>18.136364</v>
      </c>
    </row>
    <row r="2046" spans="1:12" x14ac:dyDescent="0.25">
      <c r="A2046" s="30" t="s">
        <v>59</v>
      </c>
      <c r="B2046" s="15" t="s">
        <v>1141</v>
      </c>
      <c r="C2046" s="19" t="s">
        <v>14</v>
      </c>
      <c r="D2046" s="16">
        <v>26645455</v>
      </c>
      <c r="E2046" s="17">
        <v>45566</v>
      </c>
      <c r="F2046" s="18">
        <f>MONTH(Data!$E2046)</f>
        <v>10</v>
      </c>
      <c r="G2046" s="16">
        <f>YEAR(Data!$E2046)</f>
        <v>2024</v>
      </c>
      <c r="H2046" s="15" t="s">
        <v>22</v>
      </c>
      <c r="I2046" s="15" t="str">
        <f t="shared" si="31"/>
        <v>Doanh nghiệp</v>
      </c>
      <c r="J2046" s="15" t="s">
        <v>1285</v>
      </c>
      <c r="K2046" s="15" t="s">
        <v>1264</v>
      </c>
      <c r="L2046" s="32">
        <f>Data!$D2046/10^6</f>
        <v>26.645454999999998</v>
      </c>
    </row>
    <row r="2047" spans="1:12" x14ac:dyDescent="0.25">
      <c r="A2047" s="30" t="s">
        <v>98</v>
      </c>
      <c r="B2047" s="15" t="s">
        <v>1135</v>
      </c>
      <c r="C2047" s="19" t="s">
        <v>14</v>
      </c>
      <c r="D2047" s="16">
        <v>855000000</v>
      </c>
      <c r="E2047" s="17">
        <v>45566</v>
      </c>
      <c r="F2047" s="18">
        <f>MONTH(Data!$E2047)</f>
        <v>10</v>
      </c>
      <c r="G2047" s="16">
        <f>YEAR(Data!$E2047)</f>
        <v>2024</v>
      </c>
      <c r="H2047" s="15" t="s">
        <v>11</v>
      </c>
      <c r="I2047" s="15" t="str">
        <f t="shared" si="31"/>
        <v>Doanh nghiệp</v>
      </c>
      <c r="J2047" s="15" t="s">
        <v>1284</v>
      </c>
      <c r="K2047" s="15" t="s">
        <v>1275</v>
      </c>
      <c r="L2047" s="32">
        <f>Data!$D2047/10^6</f>
        <v>855</v>
      </c>
    </row>
    <row r="2048" spans="1:12" x14ac:dyDescent="0.25">
      <c r="A2048" s="30" t="s">
        <v>78</v>
      </c>
      <c r="B2048" s="15" t="s">
        <v>1155</v>
      </c>
      <c r="C2048" s="19" t="s">
        <v>10</v>
      </c>
      <c r="D2048" s="16">
        <v>38317582</v>
      </c>
      <c r="E2048" s="17">
        <v>45566</v>
      </c>
      <c r="F2048" s="18">
        <f>MONTH(Data!$E2048)</f>
        <v>10</v>
      </c>
      <c r="G2048" s="16">
        <f>YEAR(Data!$E2048)</f>
        <v>2024</v>
      </c>
      <c r="H2048" s="15" t="s">
        <v>15</v>
      </c>
      <c r="I2048" s="15" t="str">
        <f t="shared" si="31"/>
        <v>Doanh nghiệp</v>
      </c>
      <c r="J2048" s="15" t="s">
        <v>1285</v>
      </c>
      <c r="K2048" s="15" t="s">
        <v>1262</v>
      </c>
      <c r="L2048" s="32">
        <f>Data!$D2048/10^6</f>
        <v>38.317582000000002</v>
      </c>
    </row>
    <row r="2049" spans="1:12" x14ac:dyDescent="0.25">
      <c r="A2049" s="30" t="s">
        <v>55</v>
      </c>
      <c r="B2049" s="15" t="s">
        <v>1149</v>
      </c>
      <c r="C2049" s="19" t="s">
        <v>10</v>
      </c>
      <c r="D2049" s="16">
        <v>222145000</v>
      </c>
      <c r="E2049" s="17">
        <v>45566</v>
      </c>
      <c r="F2049" s="18">
        <f>MONTH(Data!$E2049)</f>
        <v>10</v>
      </c>
      <c r="G2049" s="16">
        <f>YEAR(Data!$E2049)</f>
        <v>2024</v>
      </c>
      <c r="H2049" s="15" t="s">
        <v>15</v>
      </c>
      <c r="I2049" s="15" t="str">
        <f t="shared" si="31"/>
        <v>Doanh nghiệp</v>
      </c>
      <c r="J2049" s="15" t="s">
        <v>1284</v>
      </c>
      <c r="K2049" s="15" t="s">
        <v>1262</v>
      </c>
      <c r="L2049" s="32">
        <f>Data!$D2049/10^6</f>
        <v>222.14500000000001</v>
      </c>
    </row>
    <row r="2050" spans="1:12" x14ac:dyDescent="0.25">
      <c r="A2050" s="30" t="s">
        <v>37</v>
      </c>
      <c r="B2050" s="15" t="s">
        <v>1152</v>
      </c>
      <c r="C2050" s="19" t="s">
        <v>14</v>
      </c>
      <c r="D2050" s="16">
        <v>79458644</v>
      </c>
      <c r="E2050" s="17">
        <v>45566</v>
      </c>
      <c r="F2050" s="18">
        <f>MONTH(Data!$E2050)</f>
        <v>10</v>
      </c>
      <c r="G2050" s="16">
        <f>YEAR(Data!$E2050)</f>
        <v>2024</v>
      </c>
      <c r="H2050" s="15" t="s">
        <v>11</v>
      </c>
      <c r="I2050" s="15" t="str">
        <f t="shared" si="31"/>
        <v>Doanh nghiệp</v>
      </c>
      <c r="J2050" s="15" t="s">
        <v>1285</v>
      </c>
      <c r="K2050" s="15" t="s">
        <v>1275</v>
      </c>
      <c r="L2050" s="32">
        <f>Data!$D2050/10^6</f>
        <v>79.458644000000007</v>
      </c>
    </row>
    <row r="2051" spans="1:12" x14ac:dyDescent="0.25">
      <c r="A2051" s="30" t="s">
        <v>37</v>
      </c>
      <c r="B2051" s="15" t="s">
        <v>1153</v>
      </c>
      <c r="C2051" s="19" t="s">
        <v>14</v>
      </c>
      <c r="D2051" s="16">
        <v>88538545</v>
      </c>
      <c r="E2051" s="17">
        <v>45566</v>
      </c>
      <c r="F2051" s="18">
        <f>MONTH(Data!$E2051)</f>
        <v>10</v>
      </c>
      <c r="G2051" s="16">
        <f>YEAR(Data!$E2051)</f>
        <v>2024</v>
      </c>
      <c r="H2051" s="15" t="s">
        <v>11</v>
      </c>
      <c r="I2051" s="15" t="str">
        <f t="shared" ref="I2051:I2114" si="32">IF(ISNUMBER(SEARCH("Công ty",$B2051)),"Doanh nghiệp",IF(ISNUMBER(SEARCH("Doanh nghiệp",$B2051)),"Doanh nghiệp",IF(ISNUMBER(SEARCH("Tập đoàn",$B2051)),"Doanh nghiệp",
IF(ISNUMBER(SEARCH("Bệnh viện",$B2051)),"Bệnh viện",
IF(ISNUMBER(SEARCH("Ngân hàng",$B2051)),"Ngân hàng",IF(ISNUMBER(SEARCH("trường",$B2051)),"Trường học",IF(ISNUMBER(SEARCH("học viện",$B2051)),"Trường học",
IF(ISNUMBER(SEARCH("Bộ",$B2051)),"Sở ban ngành",IF(ISNUMBER(SEARCH("Đoàn",$B2051)),"Sở ban ngành",IF(ISNUMBER(SEARCH("Phòng",$B2051)),"Sở ban ngành",IF(ISNUMBER(SEARCH("UBND",$B2051)),"Sở ban ngành",IF(ISNUMBER(SEARCH("ủy ban",$B2051)),"Sở ban ngành",IF(ISNUMBER(SEARCH("công an",$B2051)),"Sở ban ngành",IF(ISNUMBER(SEARCH("sở",$B2051)),"Sở ban ngành",IF(ISNUMBER(SEARCH("thôn",$B2051)),"Sở ban ngành",IF(ISNUMBER(SEARCH("xã",$B2051)),"Sở ban ngành",IF(ISNUMBER(SEARCH("quân khu",$B2051)),"Sở ban ngành",IF(ISNUMBER(SEARCH("cục",$B2051)),"Sở ban ngành",IF(ISNUMBER(SEARCH("viện",$B2051)),"Sở ban ngành",IF(ISNUMBER(SEARCH("quỹ",$B2051)),"Sở ban ngành",IF(ISNUMBER(SEARCH("trung tâm",$B2051)),"Sở ban ngành",IF(ISNUMBER(SEARCH("quân chủng",$B2051)),"Sở ban ngành",IF(ISNUMBER(SEARCH("hội",$B2051)),"Sở ban ngành",
"Khác")))))))))))))))))))))))</f>
        <v>Doanh nghiệp</v>
      </c>
      <c r="J2051" s="15" t="s">
        <v>1284</v>
      </c>
      <c r="K2051" s="15" t="s">
        <v>1275</v>
      </c>
      <c r="L2051" s="32">
        <f>Data!$D2051/10^6</f>
        <v>88.538544999999999</v>
      </c>
    </row>
    <row r="2052" spans="1:12" x14ac:dyDescent="0.25">
      <c r="A2052" s="30" t="s">
        <v>64</v>
      </c>
      <c r="B2052" s="15" t="s">
        <v>1174</v>
      </c>
      <c r="C2052" s="19" t="s">
        <v>14</v>
      </c>
      <c r="D2052" s="16">
        <v>109809772</v>
      </c>
      <c r="E2052" s="17">
        <v>45566</v>
      </c>
      <c r="F2052" s="18">
        <f>MONTH(Data!$E2052)</f>
        <v>10</v>
      </c>
      <c r="G2052" s="16">
        <f>YEAR(Data!$E2052)</f>
        <v>2024</v>
      </c>
      <c r="H2052" s="15" t="s">
        <v>29</v>
      </c>
      <c r="I2052" s="15" t="str">
        <f t="shared" si="32"/>
        <v>Doanh nghiệp</v>
      </c>
      <c r="J2052" s="15" t="s">
        <v>1285</v>
      </c>
      <c r="K2052" s="15" t="s">
        <v>1266</v>
      </c>
      <c r="L2052" s="32">
        <f>Data!$D2052/10^6</f>
        <v>109.809772</v>
      </c>
    </row>
    <row r="2053" spans="1:12" x14ac:dyDescent="0.25">
      <c r="A2053" s="30" t="s">
        <v>27</v>
      </c>
      <c r="B2053" s="15" t="s">
        <v>1182</v>
      </c>
      <c r="C2053" s="19" t="s">
        <v>10</v>
      </c>
      <c r="D2053" s="16">
        <v>294776900</v>
      </c>
      <c r="E2053" s="17">
        <v>45566</v>
      </c>
      <c r="F2053" s="18">
        <f>MONTH(Data!$E2053)</f>
        <v>10</v>
      </c>
      <c r="G2053" s="16">
        <f>YEAR(Data!$E2053)</f>
        <v>2024</v>
      </c>
      <c r="H2053" s="15" t="s">
        <v>11</v>
      </c>
      <c r="I2053" s="15" t="str">
        <f t="shared" si="32"/>
        <v>Doanh nghiệp</v>
      </c>
      <c r="J2053" s="15" t="s">
        <v>1284</v>
      </c>
      <c r="K2053" s="15" t="s">
        <v>1262</v>
      </c>
      <c r="L2053" s="32">
        <f>Data!$D2053/10^6</f>
        <v>294.77690000000001</v>
      </c>
    </row>
    <row r="2054" spans="1:12" x14ac:dyDescent="0.25">
      <c r="A2054" s="30" t="s">
        <v>54</v>
      </c>
      <c r="B2054" s="15" t="s">
        <v>1190</v>
      </c>
      <c r="C2054" s="19" t="s">
        <v>149</v>
      </c>
      <c r="D2054" s="16">
        <v>51880219</v>
      </c>
      <c r="E2054" s="17">
        <v>45566</v>
      </c>
      <c r="F2054" s="18">
        <f>MONTH(Data!$E2054)</f>
        <v>10</v>
      </c>
      <c r="G2054" s="16">
        <f>YEAR(Data!$E2054)</f>
        <v>2024</v>
      </c>
      <c r="H2054" s="15" t="s">
        <v>15</v>
      </c>
      <c r="I2054" s="15" t="str">
        <f t="shared" si="32"/>
        <v>Doanh nghiệp</v>
      </c>
      <c r="J2054" s="15" t="s">
        <v>1285</v>
      </c>
      <c r="K2054" s="15" t="s">
        <v>1266</v>
      </c>
      <c r="L2054" s="32">
        <f>Data!$D2054/10^6</f>
        <v>51.880218999999997</v>
      </c>
    </row>
    <row r="2055" spans="1:12" x14ac:dyDescent="0.25">
      <c r="A2055" s="30" t="s">
        <v>95</v>
      </c>
      <c r="B2055" s="15" t="s">
        <v>1205</v>
      </c>
      <c r="C2055" s="19" t="s">
        <v>41</v>
      </c>
      <c r="D2055" s="16">
        <v>388238182</v>
      </c>
      <c r="E2055" s="17">
        <v>45566</v>
      </c>
      <c r="F2055" s="18">
        <f>MONTH(Data!$E2055)</f>
        <v>10</v>
      </c>
      <c r="G2055" s="16">
        <f>YEAR(Data!$E2055)</f>
        <v>2024</v>
      </c>
      <c r="H2055" s="15" t="s">
        <v>35</v>
      </c>
      <c r="I2055" s="15" t="str">
        <f t="shared" si="32"/>
        <v>Doanh nghiệp</v>
      </c>
      <c r="J2055" s="15" t="s">
        <v>1284</v>
      </c>
      <c r="K2055" s="15" t="s">
        <v>1280</v>
      </c>
      <c r="L2055" s="32">
        <f>Data!$D2055/10^6</f>
        <v>388.23818199999999</v>
      </c>
    </row>
    <row r="2056" spans="1:12" x14ac:dyDescent="0.25">
      <c r="A2056" s="30" t="s">
        <v>95</v>
      </c>
      <c r="B2056" s="15" t="s">
        <v>1206</v>
      </c>
      <c r="C2056" s="19" t="s">
        <v>10</v>
      </c>
      <c r="D2056" s="16">
        <v>30060000</v>
      </c>
      <c r="E2056" s="17">
        <v>45566</v>
      </c>
      <c r="F2056" s="18">
        <f>MONTH(Data!$E2056)</f>
        <v>10</v>
      </c>
      <c r="G2056" s="16">
        <f>YEAR(Data!$E2056)</f>
        <v>2024</v>
      </c>
      <c r="H2056" s="15" t="s">
        <v>35</v>
      </c>
      <c r="I2056" s="15" t="str">
        <f t="shared" si="32"/>
        <v>Doanh nghiệp</v>
      </c>
      <c r="J2056" s="15" t="s">
        <v>1285</v>
      </c>
      <c r="K2056" s="15" t="s">
        <v>1263</v>
      </c>
      <c r="L2056" s="32">
        <f>Data!$D2056/10^6</f>
        <v>30.06</v>
      </c>
    </row>
    <row r="2057" spans="1:12" x14ac:dyDescent="0.25">
      <c r="A2057" s="30" t="s">
        <v>95</v>
      </c>
      <c r="B2057" s="15" t="s">
        <v>1207</v>
      </c>
      <c r="C2057" s="19" t="s">
        <v>10</v>
      </c>
      <c r="D2057" s="16">
        <v>67390236</v>
      </c>
      <c r="E2057" s="17">
        <v>45566</v>
      </c>
      <c r="F2057" s="18">
        <f>MONTH(Data!$E2057)</f>
        <v>10</v>
      </c>
      <c r="G2057" s="16">
        <f>YEAR(Data!$E2057)</f>
        <v>2024</v>
      </c>
      <c r="H2057" s="15" t="s">
        <v>35</v>
      </c>
      <c r="I2057" s="15" t="str">
        <f t="shared" si="32"/>
        <v>Doanh nghiệp</v>
      </c>
      <c r="J2057" s="15" t="s">
        <v>1284</v>
      </c>
      <c r="K2057" s="15" t="s">
        <v>1263</v>
      </c>
      <c r="L2057" s="32">
        <f>Data!$D2057/10^6</f>
        <v>67.390236000000002</v>
      </c>
    </row>
    <row r="2058" spans="1:12" x14ac:dyDescent="0.25">
      <c r="A2058" s="30" t="s">
        <v>95</v>
      </c>
      <c r="B2058" s="15" t="s">
        <v>1208</v>
      </c>
      <c r="C2058" s="19" t="s">
        <v>10</v>
      </c>
      <c r="D2058" s="16">
        <v>41748964</v>
      </c>
      <c r="E2058" s="17">
        <v>45566</v>
      </c>
      <c r="F2058" s="18">
        <f>MONTH(Data!$E2058)</f>
        <v>10</v>
      </c>
      <c r="G2058" s="16">
        <f>YEAR(Data!$E2058)</f>
        <v>2024</v>
      </c>
      <c r="H2058" s="15" t="s">
        <v>35</v>
      </c>
      <c r="I2058" s="15" t="str">
        <f t="shared" si="32"/>
        <v>Doanh nghiệp</v>
      </c>
      <c r="J2058" s="15" t="s">
        <v>1285</v>
      </c>
      <c r="K2058" s="15" t="s">
        <v>1263</v>
      </c>
      <c r="L2058" s="32">
        <f>Data!$D2058/10^6</f>
        <v>41.748964000000001</v>
      </c>
    </row>
    <row r="2059" spans="1:12" x14ac:dyDescent="0.25">
      <c r="A2059" s="30" t="s">
        <v>30</v>
      </c>
      <c r="B2059" s="15" t="s">
        <v>1226</v>
      </c>
      <c r="C2059" s="19" t="s">
        <v>149</v>
      </c>
      <c r="D2059" s="16">
        <v>20500364</v>
      </c>
      <c r="E2059" s="17">
        <v>45566</v>
      </c>
      <c r="F2059" s="18">
        <f>MONTH(Data!$E2059)</f>
        <v>10</v>
      </c>
      <c r="G2059" s="16">
        <f>YEAR(Data!$E2059)</f>
        <v>2024</v>
      </c>
      <c r="H2059" s="15" t="s">
        <v>32</v>
      </c>
      <c r="I2059" s="15" t="str">
        <f t="shared" si="32"/>
        <v>Doanh nghiệp</v>
      </c>
      <c r="J2059" s="15" t="s">
        <v>1284</v>
      </c>
      <c r="K2059" s="15" t="s">
        <v>1264</v>
      </c>
      <c r="L2059" s="32">
        <f>Data!$D2059/10^6</f>
        <v>20.500364000000001</v>
      </c>
    </row>
    <row r="2060" spans="1:12" x14ac:dyDescent="0.25">
      <c r="A2060" s="30" t="s">
        <v>127</v>
      </c>
      <c r="B2060" s="15" t="s">
        <v>1240</v>
      </c>
      <c r="C2060" s="19" t="s">
        <v>149</v>
      </c>
      <c r="D2060" s="16">
        <v>346468909</v>
      </c>
      <c r="E2060" s="17">
        <v>45566</v>
      </c>
      <c r="F2060" s="18">
        <f>MONTH(Data!$E2060)</f>
        <v>10</v>
      </c>
      <c r="G2060" s="16">
        <f>YEAR(Data!$E2060)</f>
        <v>2024</v>
      </c>
      <c r="H2060" s="15" t="s">
        <v>32</v>
      </c>
      <c r="I2060" s="15" t="str">
        <f t="shared" si="32"/>
        <v>Doanh nghiệp</v>
      </c>
      <c r="J2060" s="15" t="s">
        <v>1285</v>
      </c>
      <c r="K2060" s="15" t="s">
        <v>1272</v>
      </c>
      <c r="L2060" s="32">
        <f>Data!$D2060/10^6</f>
        <v>346.468909</v>
      </c>
    </row>
    <row r="2061" spans="1:12" x14ac:dyDescent="0.25">
      <c r="A2061" s="30" t="s">
        <v>13</v>
      </c>
      <c r="B2061" s="15" t="s">
        <v>1244</v>
      </c>
      <c r="C2061" s="19" t="s">
        <v>10</v>
      </c>
      <c r="D2061" s="16">
        <v>880877727</v>
      </c>
      <c r="E2061" s="17">
        <v>45566</v>
      </c>
      <c r="F2061" s="18">
        <f>MONTH(Data!$E2061)</f>
        <v>10</v>
      </c>
      <c r="G2061" s="16">
        <f>YEAR(Data!$E2061)</f>
        <v>2024</v>
      </c>
      <c r="H2061" s="15" t="s">
        <v>15</v>
      </c>
      <c r="I2061" s="15" t="str">
        <f t="shared" si="32"/>
        <v>Doanh nghiệp</v>
      </c>
      <c r="J2061" s="15" t="s">
        <v>1284</v>
      </c>
      <c r="K2061" s="15" t="s">
        <v>1263</v>
      </c>
      <c r="L2061" s="32">
        <f>Data!$D2061/10^6</f>
        <v>880.87772700000005</v>
      </c>
    </row>
    <row r="2062" spans="1:12" x14ac:dyDescent="0.25">
      <c r="A2062" s="30" t="s">
        <v>87</v>
      </c>
      <c r="B2062" s="15" t="s">
        <v>1246</v>
      </c>
      <c r="C2062" s="19" t="s">
        <v>46</v>
      </c>
      <c r="D2062" s="16">
        <v>63636364</v>
      </c>
      <c r="E2062" s="17">
        <v>45566</v>
      </c>
      <c r="F2062" s="18">
        <f>MONTH(Data!$E2062)</f>
        <v>10</v>
      </c>
      <c r="G2062" s="16">
        <f>YEAR(Data!$E2062)</f>
        <v>2024</v>
      </c>
      <c r="H2062" s="15" t="s">
        <v>29</v>
      </c>
      <c r="I2062" s="15" t="str">
        <f t="shared" si="32"/>
        <v>Doanh nghiệp</v>
      </c>
      <c r="J2062" s="15" t="s">
        <v>1285</v>
      </c>
      <c r="K2062" s="15" t="s">
        <v>1271</v>
      </c>
      <c r="L2062" s="32">
        <f>Data!$D2062/10^6</f>
        <v>63.636364</v>
      </c>
    </row>
    <row r="2063" spans="1:12" x14ac:dyDescent="0.25">
      <c r="A2063" s="30" t="s">
        <v>37</v>
      </c>
      <c r="B2063" s="15" t="s">
        <v>1247</v>
      </c>
      <c r="C2063" s="19" t="s">
        <v>46</v>
      </c>
      <c r="D2063" s="16">
        <v>217367273</v>
      </c>
      <c r="E2063" s="17">
        <v>45566</v>
      </c>
      <c r="F2063" s="18">
        <f>MONTH(Data!$E2063)</f>
        <v>10</v>
      </c>
      <c r="G2063" s="16">
        <f>YEAR(Data!$E2063)</f>
        <v>2024</v>
      </c>
      <c r="H2063" s="15" t="s">
        <v>11</v>
      </c>
      <c r="I2063" s="15" t="str">
        <f t="shared" si="32"/>
        <v>Doanh nghiệp</v>
      </c>
      <c r="J2063" s="15" t="s">
        <v>1284</v>
      </c>
      <c r="K2063" s="15" t="s">
        <v>1271</v>
      </c>
      <c r="L2063" s="32">
        <f>Data!$D2063/10^6</f>
        <v>217.36727300000001</v>
      </c>
    </row>
    <row r="2064" spans="1:12" x14ac:dyDescent="0.25">
      <c r="A2064" s="30" t="s">
        <v>17</v>
      </c>
      <c r="B2064" s="15" t="s">
        <v>1248</v>
      </c>
      <c r="C2064" s="19" t="s">
        <v>14</v>
      </c>
      <c r="D2064" s="16">
        <v>43280000</v>
      </c>
      <c r="E2064" s="17">
        <v>45566</v>
      </c>
      <c r="F2064" s="18">
        <f>MONTH(Data!$E2064)</f>
        <v>10</v>
      </c>
      <c r="G2064" s="16">
        <f>YEAR(Data!$E2064)</f>
        <v>2024</v>
      </c>
      <c r="H2064" s="15" t="s">
        <v>11</v>
      </c>
      <c r="I2064" s="15" t="str">
        <f t="shared" si="32"/>
        <v>Doanh nghiệp</v>
      </c>
      <c r="J2064" s="15" t="s">
        <v>1285</v>
      </c>
      <c r="K2064" s="15" t="s">
        <v>1275</v>
      </c>
      <c r="L2064" s="32">
        <f>Data!$D2064/10^6</f>
        <v>43.28</v>
      </c>
    </row>
    <row r="2065" spans="1:12" x14ac:dyDescent="0.25">
      <c r="A2065" s="30" t="s">
        <v>45</v>
      </c>
      <c r="B2065" s="15" t="s">
        <v>1249</v>
      </c>
      <c r="C2065" s="19" t="s">
        <v>149</v>
      </c>
      <c r="D2065" s="16">
        <v>75836364</v>
      </c>
      <c r="E2065" s="17">
        <v>45566</v>
      </c>
      <c r="F2065" s="18">
        <f>MONTH(Data!$E2065)</f>
        <v>10</v>
      </c>
      <c r="G2065" s="16">
        <f>YEAR(Data!$E2065)</f>
        <v>2024</v>
      </c>
      <c r="H2065" s="15" t="s">
        <v>29</v>
      </c>
      <c r="I2065" s="15" t="str">
        <f t="shared" si="32"/>
        <v>Doanh nghiệp</v>
      </c>
      <c r="J2065" s="15" t="s">
        <v>1284</v>
      </c>
      <c r="K2065" s="15" t="s">
        <v>1263</v>
      </c>
      <c r="L2065" s="32">
        <f>Data!$D2065/10^6</f>
        <v>75.836364000000003</v>
      </c>
    </row>
    <row r="2066" spans="1:12" x14ac:dyDescent="0.25">
      <c r="A2066" s="30" t="s">
        <v>68</v>
      </c>
      <c r="B2066" s="15" t="s">
        <v>1247</v>
      </c>
      <c r="C2066" s="19" t="s">
        <v>14</v>
      </c>
      <c r="D2066" s="16">
        <v>538770000</v>
      </c>
      <c r="E2066" s="17">
        <v>45566</v>
      </c>
      <c r="F2066" s="18">
        <f>MONTH(Data!$E2066)</f>
        <v>10</v>
      </c>
      <c r="G2066" s="16">
        <f>YEAR(Data!$E2066)</f>
        <v>2024</v>
      </c>
      <c r="H2066" s="15" t="s">
        <v>22</v>
      </c>
      <c r="I2066" s="15" t="str">
        <f t="shared" si="32"/>
        <v>Doanh nghiệp</v>
      </c>
      <c r="J2066" s="15" t="s">
        <v>1285</v>
      </c>
      <c r="K2066" s="15" t="s">
        <v>1275</v>
      </c>
      <c r="L2066" s="32">
        <f>Data!$D2066/10^6</f>
        <v>538.77</v>
      </c>
    </row>
    <row r="2067" spans="1:12" x14ac:dyDescent="0.25">
      <c r="A2067" s="30" t="s">
        <v>30</v>
      </c>
      <c r="B2067" s="15" t="s">
        <v>1248</v>
      </c>
      <c r="C2067" s="19" t="s">
        <v>10</v>
      </c>
      <c r="D2067" s="16">
        <v>13181818</v>
      </c>
      <c r="E2067" s="17">
        <v>45566</v>
      </c>
      <c r="F2067" s="18">
        <f>MONTH(Data!$E2067)</f>
        <v>10</v>
      </c>
      <c r="G2067" s="16">
        <f>YEAR(Data!$E2067)</f>
        <v>2024</v>
      </c>
      <c r="H2067" s="15" t="s">
        <v>32</v>
      </c>
      <c r="I2067" s="15" t="str">
        <f t="shared" si="32"/>
        <v>Doanh nghiệp</v>
      </c>
      <c r="J2067" s="15" t="s">
        <v>1284</v>
      </c>
      <c r="K2067" s="15" t="s">
        <v>1267</v>
      </c>
      <c r="L2067" s="32">
        <f>Data!$D2067/10^6</f>
        <v>13.181818</v>
      </c>
    </row>
    <row r="2068" spans="1:12" x14ac:dyDescent="0.25">
      <c r="A2068" s="30" t="s">
        <v>37</v>
      </c>
      <c r="B2068" s="15" t="s">
        <v>1247</v>
      </c>
      <c r="C2068" s="19" t="s">
        <v>10</v>
      </c>
      <c r="D2068" s="16">
        <v>7327273</v>
      </c>
      <c r="E2068" s="17">
        <v>45566</v>
      </c>
      <c r="F2068" s="18">
        <f>MONTH(Data!$E2068)</f>
        <v>10</v>
      </c>
      <c r="G2068" s="16">
        <f>YEAR(Data!$E2068)</f>
        <v>2024</v>
      </c>
      <c r="H2068" s="15" t="s">
        <v>11</v>
      </c>
      <c r="I2068" s="15" t="str">
        <f t="shared" si="32"/>
        <v>Doanh nghiệp</v>
      </c>
      <c r="J2068" s="15" t="s">
        <v>1285</v>
      </c>
      <c r="K2068" s="15" t="s">
        <v>1263</v>
      </c>
      <c r="L2068" s="32">
        <f>Data!$D2068/10^6</f>
        <v>7.3272729999999999</v>
      </c>
    </row>
    <row r="2069" spans="1:12" x14ac:dyDescent="0.25">
      <c r="A2069" s="30" t="s">
        <v>85</v>
      </c>
      <c r="B2069" s="19" t="s">
        <v>86</v>
      </c>
      <c r="C2069" s="19" t="s">
        <v>10</v>
      </c>
      <c r="D2069" s="16">
        <v>271110000</v>
      </c>
      <c r="E2069" s="17">
        <v>45566</v>
      </c>
      <c r="F2069" s="18">
        <f>MONTH(Data!$E2069)</f>
        <v>10</v>
      </c>
      <c r="G2069" s="16">
        <f>YEAR(Data!$E2069)</f>
        <v>2024</v>
      </c>
      <c r="H2069" s="15" t="s">
        <v>15</v>
      </c>
      <c r="I2069" s="15" t="str">
        <f t="shared" si="32"/>
        <v>Sở ban ngành</v>
      </c>
      <c r="J2069" s="15" t="s">
        <v>1284</v>
      </c>
      <c r="K2069" s="15" t="s">
        <v>1262</v>
      </c>
      <c r="L2069" s="32">
        <f>Data!$D2069/10^6</f>
        <v>271.11</v>
      </c>
    </row>
    <row r="2070" spans="1:12" x14ac:dyDescent="0.25">
      <c r="A2070" s="30" t="s">
        <v>54</v>
      </c>
      <c r="B2070" s="19" t="s">
        <v>429</v>
      </c>
      <c r="C2070" s="19" t="s">
        <v>149</v>
      </c>
      <c r="D2070" s="16">
        <v>43740000</v>
      </c>
      <c r="E2070" s="17">
        <v>45566</v>
      </c>
      <c r="F2070" s="18">
        <f>MONTH(Data!$E2070)</f>
        <v>10</v>
      </c>
      <c r="G2070" s="16">
        <f>YEAR(Data!$E2070)</f>
        <v>2024</v>
      </c>
      <c r="H2070" s="15" t="s">
        <v>15</v>
      </c>
      <c r="I2070" s="15" t="str">
        <f t="shared" si="32"/>
        <v>Sở ban ngành</v>
      </c>
      <c r="J2070" s="15" t="s">
        <v>1285</v>
      </c>
      <c r="K2070" s="15" t="s">
        <v>1262</v>
      </c>
      <c r="L2070" s="32">
        <f>Data!$D2070/10^6</f>
        <v>43.74</v>
      </c>
    </row>
    <row r="2071" spans="1:12" x14ac:dyDescent="0.25">
      <c r="A2071" s="30" t="s">
        <v>36</v>
      </c>
      <c r="B2071" s="19" t="s">
        <v>471</v>
      </c>
      <c r="C2071" s="19" t="s">
        <v>10</v>
      </c>
      <c r="D2071" s="16">
        <v>83636364</v>
      </c>
      <c r="E2071" s="17">
        <v>45566</v>
      </c>
      <c r="F2071" s="18">
        <f>MONTH(Data!$E2071)</f>
        <v>10</v>
      </c>
      <c r="G2071" s="16">
        <f>YEAR(Data!$E2071)</f>
        <v>2024</v>
      </c>
      <c r="H2071" s="15" t="s">
        <v>15</v>
      </c>
      <c r="I2071" s="15" t="str">
        <f t="shared" si="32"/>
        <v>Sở ban ngành</v>
      </c>
      <c r="J2071" s="15" t="s">
        <v>1284</v>
      </c>
      <c r="K2071" s="15" t="s">
        <v>1267</v>
      </c>
      <c r="L2071" s="32">
        <f>Data!$D2071/10^6</f>
        <v>83.636364</v>
      </c>
    </row>
    <row r="2072" spans="1:12" x14ac:dyDescent="0.25">
      <c r="A2072" s="30" t="s">
        <v>255</v>
      </c>
      <c r="B2072" s="19" t="s">
        <v>532</v>
      </c>
      <c r="C2072" s="19" t="s">
        <v>10</v>
      </c>
      <c r="D2072" s="16">
        <v>36363636</v>
      </c>
      <c r="E2072" s="17">
        <v>45566</v>
      </c>
      <c r="F2072" s="18">
        <f>MONTH(Data!$E2072)</f>
        <v>10</v>
      </c>
      <c r="G2072" s="16">
        <f>YEAR(Data!$E2072)</f>
        <v>2024</v>
      </c>
      <c r="H2072" s="15" t="s">
        <v>11</v>
      </c>
      <c r="I2072" s="15" t="str">
        <f t="shared" si="32"/>
        <v>Sở ban ngành</v>
      </c>
      <c r="J2072" s="15" t="s">
        <v>1285</v>
      </c>
      <c r="K2072" s="15" t="s">
        <v>1263</v>
      </c>
      <c r="L2072" s="32">
        <f>Data!$D2072/10^6</f>
        <v>36.363636</v>
      </c>
    </row>
    <row r="2073" spans="1:12" x14ac:dyDescent="0.25">
      <c r="A2073" s="30" t="s">
        <v>255</v>
      </c>
      <c r="B2073" s="19" t="s">
        <v>532</v>
      </c>
      <c r="C2073" s="19" t="s">
        <v>10</v>
      </c>
      <c r="D2073" s="16">
        <v>54545455</v>
      </c>
      <c r="E2073" s="17">
        <v>45566</v>
      </c>
      <c r="F2073" s="18">
        <f>MONTH(Data!$E2073)</f>
        <v>10</v>
      </c>
      <c r="G2073" s="16">
        <f>YEAR(Data!$E2073)</f>
        <v>2024</v>
      </c>
      <c r="H2073" s="15" t="s">
        <v>11</v>
      </c>
      <c r="I2073" s="15" t="str">
        <f t="shared" si="32"/>
        <v>Sở ban ngành</v>
      </c>
      <c r="J2073" s="15" t="s">
        <v>1284</v>
      </c>
      <c r="K2073" s="15" t="s">
        <v>1263</v>
      </c>
      <c r="L2073" s="32">
        <f>Data!$D2073/10^6</f>
        <v>54.545454999999997</v>
      </c>
    </row>
    <row r="2074" spans="1:12" x14ac:dyDescent="0.25">
      <c r="A2074" s="30" t="s">
        <v>255</v>
      </c>
      <c r="B2074" s="19" t="s">
        <v>532</v>
      </c>
      <c r="C2074" s="19" t="s">
        <v>10</v>
      </c>
      <c r="D2074" s="16">
        <v>54545455</v>
      </c>
      <c r="E2074" s="17">
        <v>45566</v>
      </c>
      <c r="F2074" s="18">
        <f>MONTH(Data!$E2074)</f>
        <v>10</v>
      </c>
      <c r="G2074" s="16">
        <f>YEAR(Data!$E2074)</f>
        <v>2024</v>
      </c>
      <c r="H2074" s="15" t="s">
        <v>11</v>
      </c>
      <c r="I2074" s="15" t="str">
        <f t="shared" si="32"/>
        <v>Sở ban ngành</v>
      </c>
      <c r="J2074" s="15" t="s">
        <v>1285</v>
      </c>
      <c r="K2074" s="15" t="s">
        <v>1263</v>
      </c>
      <c r="L2074" s="32">
        <f>Data!$D2074/10^6</f>
        <v>54.545454999999997</v>
      </c>
    </row>
    <row r="2075" spans="1:12" x14ac:dyDescent="0.25">
      <c r="A2075" s="30" t="s">
        <v>255</v>
      </c>
      <c r="B2075" s="19" t="s">
        <v>532</v>
      </c>
      <c r="C2075" s="19" t="s">
        <v>10</v>
      </c>
      <c r="D2075" s="16">
        <v>36363636</v>
      </c>
      <c r="E2075" s="17">
        <v>45566</v>
      </c>
      <c r="F2075" s="18">
        <f>MONTH(Data!$E2075)</f>
        <v>10</v>
      </c>
      <c r="G2075" s="16">
        <f>YEAR(Data!$E2075)</f>
        <v>2024</v>
      </c>
      <c r="H2075" s="15" t="s">
        <v>11</v>
      </c>
      <c r="I2075" s="15" t="str">
        <f t="shared" si="32"/>
        <v>Sở ban ngành</v>
      </c>
      <c r="J2075" s="15" t="s">
        <v>1284</v>
      </c>
      <c r="K2075" s="15" t="s">
        <v>1263</v>
      </c>
      <c r="L2075" s="32">
        <f>Data!$D2075/10^6</f>
        <v>36.363636</v>
      </c>
    </row>
    <row r="2076" spans="1:12" x14ac:dyDescent="0.25">
      <c r="A2076" s="30" t="s">
        <v>79</v>
      </c>
      <c r="B2076" s="19" t="s">
        <v>574</v>
      </c>
      <c r="C2076" s="19" t="s">
        <v>10</v>
      </c>
      <c r="D2076" s="16">
        <v>35614873</v>
      </c>
      <c r="E2076" s="17">
        <v>45566</v>
      </c>
      <c r="F2076" s="18">
        <f>MONTH(Data!$E2076)</f>
        <v>10</v>
      </c>
      <c r="G2076" s="16">
        <f>YEAR(Data!$E2076)</f>
        <v>2024</v>
      </c>
      <c r="H2076" s="15" t="s">
        <v>15</v>
      </c>
      <c r="I2076" s="15" t="str">
        <f t="shared" si="32"/>
        <v>Sở ban ngành</v>
      </c>
      <c r="J2076" s="15" t="s">
        <v>1285</v>
      </c>
      <c r="K2076" s="15" t="s">
        <v>1263</v>
      </c>
      <c r="L2076" s="32">
        <f>Data!$D2076/10^6</f>
        <v>35.614873000000003</v>
      </c>
    </row>
    <row r="2077" spans="1:12" x14ac:dyDescent="0.25">
      <c r="A2077" s="30" t="s">
        <v>62</v>
      </c>
      <c r="B2077" s="19" t="s">
        <v>82</v>
      </c>
      <c r="C2077" s="19" t="s">
        <v>10</v>
      </c>
      <c r="D2077" s="16">
        <v>19743802</v>
      </c>
      <c r="E2077" s="17">
        <v>45566</v>
      </c>
      <c r="F2077" s="18">
        <f>MONTH(Data!$E2077)</f>
        <v>10</v>
      </c>
      <c r="G2077" s="16">
        <f>YEAR(Data!$E2077)</f>
        <v>2024</v>
      </c>
      <c r="H2077" s="15" t="s">
        <v>15</v>
      </c>
      <c r="I2077" s="15" t="str">
        <f t="shared" si="32"/>
        <v>Sở ban ngành</v>
      </c>
      <c r="J2077" s="15" t="s">
        <v>1284</v>
      </c>
      <c r="K2077" s="15" t="s">
        <v>1263</v>
      </c>
      <c r="L2077" s="32">
        <f>Data!$D2077/10^6</f>
        <v>19.743801999999999</v>
      </c>
    </row>
    <row r="2078" spans="1:12" x14ac:dyDescent="0.25">
      <c r="A2078" s="30" t="s">
        <v>52</v>
      </c>
      <c r="B2078" s="19" t="s">
        <v>561</v>
      </c>
      <c r="C2078" s="19" t="s">
        <v>10</v>
      </c>
      <c r="D2078" s="16">
        <v>843960000</v>
      </c>
      <c r="E2078" s="17">
        <v>45566</v>
      </c>
      <c r="F2078" s="18">
        <f>MONTH(Data!$E2078)</f>
        <v>10</v>
      </c>
      <c r="G2078" s="16">
        <f>YEAR(Data!$E2078)</f>
        <v>2024</v>
      </c>
      <c r="H2078" s="15" t="s">
        <v>35</v>
      </c>
      <c r="I2078" s="15" t="str">
        <f t="shared" si="32"/>
        <v>Sở ban ngành</v>
      </c>
      <c r="J2078" s="15" t="s">
        <v>1285</v>
      </c>
      <c r="K2078" s="15" t="s">
        <v>1267</v>
      </c>
      <c r="L2078" s="32">
        <f>Data!$D2078/10^6</f>
        <v>843.96</v>
      </c>
    </row>
    <row r="2079" spans="1:12" x14ac:dyDescent="0.25">
      <c r="A2079" s="30" t="s">
        <v>209</v>
      </c>
      <c r="B2079" s="19" t="s">
        <v>586</v>
      </c>
      <c r="C2079" s="19" t="s">
        <v>10</v>
      </c>
      <c r="D2079" s="16">
        <v>5842500000</v>
      </c>
      <c r="E2079" s="17">
        <v>45566</v>
      </c>
      <c r="F2079" s="18">
        <f>MONTH(Data!$E2079)</f>
        <v>10</v>
      </c>
      <c r="G2079" s="16">
        <f>YEAR(Data!$E2079)</f>
        <v>2024</v>
      </c>
      <c r="H2079" s="15" t="s">
        <v>32</v>
      </c>
      <c r="I2079" s="15" t="str">
        <f t="shared" si="32"/>
        <v>Sở ban ngành</v>
      </c>
      <c r="J2079" s="15" t="s">
        <v>1284</v>
      </c>
      <c r="K2079" s="15" t="s">
        <v>1267</v>
      </c>
      <c r="L2079" s="32">
        <f>Data!$D2079/10^6</f>
        <v>5842.5</v>
      </c>
    </row>
    <row r="2080" spans="1:12" x14ac:dyDescent="0.25">
      <c r="A2080" s="30" t="s">
        <v>218</v>
      </c>
      <c r="B2080" s="19" t="s">
        <v>568</v>
      </c>
      <c r="C2080" s="19" t="s">
        <v>14</v>
      </c>
      <c r="D2080" s="16">
        <v>2170171818</v>
      </c>
      <c r="E2080" s="17">
        <v>45566</v>
      </c>
      <c r="F2080" s="18">
        <f>MONTH(Data!$E2080)</f>
        <v>10</v>
      </c>
      <c r="G2080" s="16">
        <f>YEAR(Data!$E2080)</f>
        <v>2024</v>
      </c>
      <c r="H2080" s="15" t="s">
        <v>15</v>
      </c>
      <c r="I2080" s="15" t="str">
        <f t="shared" si="32"/>
        <v>Trường học</v>
      </c>
      <c r="J2080" s="15" t="s">
        <v>1285</v>
      </c>
      <c r="K2080" s="15" t="s">
        <v>1264</v>
      </c>
      <c r="L2080" s="32">
        <f>Data!$D2080/10^6</f>
        <v>2170.1718179999998</v>
      </c>
    </row>
    <row r="2081" spans="1:12" x14ac:dyDescent="0.25">
      <c r="A2081" s="30" t="s">
        <v>85</v>
      </c>
      <c r="B2081" s="19" t="s">
        <v>599</v>
      </c>
      <c r="C2081" s="15" t="s">
        <v>10</v>
      </c>
      <c r="D2081" s="16">
        <v>261837091</v>
      </c>
      <c r="E2081" s="17">
        <v>45566</v>
      </c>
      <c r="F2081" s="18">
        <f>MONTH(Data!$E2081)</f>
        <v>10</v>
      </c>
      <c r="G2081" s="16">
        <f>YEAR(Data!$E2081)</f>
        <v>2024</v>
      </c>
      <c r="H2081" s="15" t="s">
        <v>15</v>
      </c>
      <c r="I2081" s="15" t="str">
        <f t="shared" si="32"/>
        <v>Sở ban ngành</v>
      </c>
      <c r="J2081" s="15" t="s">
        <v>1284</v>
      </c>
      <c r="K2081" s="15" t="s">
        <v>1267</v>
      </c>
      <c r="L2081" s="32">
        <f>Data!$D2081/10^6</f>
        <v>261.83709099999999</v>
      </c>
    </row>
    <row r="2082" spans="1:12" x14ac:dyDescent="0.25">
      <c r="A2082" s="30" t="s">
        <v>127</v>
      </c>
      <c r="B2082" s="19" t="s">
        <v>573</v>
      </c>
      <c r="C2082" s="19" t="s">
        <v>14</v>
      </c>
      <c r="D2082" s="16">
        <v>134272727</v>
      </c>
      <c r="E2082" s="17">
        <v>45566</v>
      </c>
      <c r="F2082" s="18">
        <f>MONTH(Data!$E2082)</f>
        <v>10</v>
      </c>
      <c r="G2082" s="16">
        <f>YEAR(Data!$E2082)</f>
        <v>2024</v>
      </c>
      <c r="H2082" s="15" t="s">
        <v>32</v>
      </c>
      <c r="I2082" s="15" t="str">
        <f t="shared" si="32"/>
        <v>Sở ban ngành</v>
      </c>
      <c r="J2082" s="15" t="s">
        <v>1285</v>
      </c>
      <c r="K2082" s="15" t="s">
        <v>1277</v>
      </c>
      <c r="L2082" s="32">
        <f>Data!$D2082/10^6</f>
        <v>134.272727</v>
      </c>
    </row>
    <row r="2083" spans="1:12" x14ac:dyDescent="0.25">
      <c r="A2083" s="30" t="s">
        <v>56</v>
      </c>
      <c r="B2083" s="19" t="s">
        <v>592</v>
      </c>
      <c r="C2083" s="19" t="s">
        <v>149</v>
      </c>
      <c r="D2083" s="16">
        <v>17476364</v>
      </c>
      <c r="E2083" s="17">
        <v>45566</v>
      </c>
      <c r="F2083" s="18">
        <f>MONTH(Data!$E2083)</f>
        <v>10</v>
      </c>
      <c r="G2083" s="16">
        <f>YEAR(Data!$E2083)</f>
        <v>2024</v>
      </c>
      <c r="H2083" s="15" t="s">
        <v>25</v>
      </c>
      <c r="I2083" s="15" t="str">
        <f t="shared" si="32"/>
        <v>Ngân hàng</v>
      </c>
      <c r="J2083" s="15" t="s">
        <v>1284</v>
      </c>
      <c r="K2083" s="15" t="s">
        <v>1264</v>
      </c>
      <c r="L2083" s="32">
        <f>Data!$D2083/10^6</f>
        <v>17.476364</v>
      </c>
    </row>
    <row r="2084" spans="1:12" x14ac:dyDescent="0.25">
      <c r="A2084" s="30" t="s">
        <v>30</v>
      </c>
      <c r="B2084" s="19" t="s">
        <v>559</v>
      </c>
      <c r="C2084" s="19" t="s">
        <v>10</v>
      </c>
      <c r="D2084" s="16">
        <v>162510465</v>
      </c>
      <c r="E2084" s="17">
        <v>45566</v>
      </c>
      <c r="F2084" s="18">
        <f>MONTH(Data!$E2084)</f>
        <v>10</v>
      </c>
      <c r="G2084" s="16">
        <f>YEAR(Data!$E2084)</f>
        <v>2024</v>
      </c>
      <c r="H2084" s="15" t="s">
        <v>32</v>
      </c>
      <c r="I2084" s="15" t="str">
        <f t="shared" si="32"/>
        <v>Ngân hàng</v>
      </c>
      <c r="J2084" s="15" t="s">
        <v>1285</v>
      </c>
      <c r="K2084" s="15" t="s">
        <v>1276</v>
      </c>
      <c r="L2084" s="32">
        <f>Data!$D2084/10^6</f>
        <v>162.51046500000001</v>
      </c>
    </row>
    <row r="2085" spans="1:12" x14ac:dyDescent="0.25">
      <c r="A2085" s="30" t="s">
        <v>37</v>
      </c>
      <c r="B2085" s="19" t="s">
        <v>208</v>
      </c>
      <c r="C2085" s="19" t="s">
        <v>10</v>
      </c>
      <c r="D2085" s="16">
        <v>618438182</v>
      </c>
      <c r="E2085" s="17">
        <v>45566</v>
      </c>
      <c r="F2085" s="18">
        <f>MONTH(Data!$E2085)</f>
        <v>10</v>
      </c>
      <c r="G2085" s="16">
        <f>YEAR(Data!$E2085)</f>
        <v>2024</v>
      </c>
      <c r="H2085" s="15" t="s">
        <v>11</v>
      </c>
      <c r="I2085" s="15" t="str">
        <f t="shared" si="32"/>
        <v>Sở ban ngành</v>
      </c>
      <c r="J2085" s="15" t="s">
        <v>1284</v>
      </c>
      <c r="K2085" s="15" t="s">
        <v>1278</v>
      </c>
      <c r="L2085" s="32">
        <f>Data!$D2085/10^6</f>
        <v>618.43818199999998</v>
      </c>
    </row>
    <row r="2086" spans="1:12" x14ac:dyDescent="0.25">
      <c r="A2086" s="30" t="s">
        <v>33</v>
      </c>
      <c r="B2086" s="19" t="s">
        <v>549</v>
      </c>
      <c r="C2086" s="19" t="s">
        <v>14</v>
      </c>
      <c r="D2086" s="16">
        <v>25636364</v>
      </c>
      <c r="E2086" s="17">
        <v>45566</v>
      </c>
      <c r="F2086" s="18">
        <f>MONTH(Data!$E2086)</f>
        <v>10</v>
      </c>
      <c r="G2086" s="16">
        <f>YEAR(Data!$E2086)</f>
        <v>2024</v>
      </c>
      <c r="H2086" s="15" t="s">
        <v>35</v>
      </c>
      <c r="I2086" s="15" t="str">
        <f t="shared" si="32"/>
        <v>Sở ban ngành</v>
      </c>
      <c r="J2086" s="15" t="s">
        <v>1285</v>
      </c>
      <c r="K2086" s="15" t="s">
        <v>1275</v>
      </c>
      <c r="L2086" s="32">
        <f>Data!$D2086/10^6</f>
        <v>25.636364</v>
      </c>
    </row>
    <row r="2087" spans="1:12" x14ac:dyDescent="0.25">
      <c r="A2087" s="30" t="s">
        <v>72</v>
      </c>
      <c r="B2087" s="19" t="s">
        <v>587</v>
      </c>
      <c r="C2087" s="19" t="s">
        <v>10</v>
      </c>
      <c r="D2087" s="16">
        <v>16663636</v>
      </c>
      <c r="E2087" s="17">
        <v>45566</v>
      </c>
      <c r="F2087" s="18">
        <f>MONTH(Data!$E2087)</f>
        <v>10</v>
      </c>
      <c r="G2087" s="16">
        <f>YEAR(Data!$E2087)</f>
        <v>2024</v>
      </c>
      <c r="H2087" s="15" t="s">
        <v>22</v>
      </c>
      <c r="I2087" s="15" t="str">
        <f t="shared" si="32"/>
        <v>Sở ban ngành</v>
      </c>
      <c r="J2087" s="15" t="s">
        <v>1284</v>
      </c>
      <c r="K2087" s="15" t="s">
        <v>1262</v>
      </c>
      <c r="L2087" s="32">
        <f>Data!$D2087/10^6</f>
        <v>16.663636</v>
      </c>
    </row>
    <row r="2088" spans="1:12" x14ac:dyDescent="0.25">
      <c r="A2088" s="30" t="s">
        <v>85</v>
      </c>
      <c r="B2088" s="19" t="s">
        <v>597</v>
      </c>
      <c r="C2088" s="19" t="s">
        <v>10</v>
      </c>
      <c r="D2088" s="16">
        <v>354127102</v>
      </c>
      <c r="E2088" s="17">
        <v>45566</v>
      </c>
      <c r="F2088" s="18">
        <f>MONTH(Data!$E2088)</f>
        <v>10</v>
      </c>
      <c r="G2088" s="16">
        <f>YEAR(Data!$E2088)</f>
        <v>2024</v>
      </c>
      <c r="H2088" s="15" t="s">
        <v>15</v>
      </c>
      <c r="I2088" s="15" t="str">
        <f t="shared" si="32"/>
        <v>Sở ban ngành</v>
      </c>
      <c r="J2088" s="15" t="s">
        <v>1285</v>
      </c>
      <c r="K2088" s="15" t="s">
        <v>1267</v>
      </c>
      <c r="L2088" s="32">
        <f>Data!$D2088/10^6</f>
        <v>354.12710199999998</v>
      </c>
    </row>
    <row r="2089" spans="1:12" x14ac:dyDescent="0.25">
      <c r="A2089" s="30" t="s">
        <v>79</v>
      </c>
      <c r="B2089" s="19" t="s">
        <v>575</v>
      </c>
      <c r="C2089" s="19" t="s">
        <v>10</v>
      </c>
      <c r="D2089" s="16">
        <v>36990000</v>
      </c>
      <c r="E2089" s="17">
        <v>45566</v>
      </c>
      <c r="F2089" s="18">
        <f>MONTH(Data!$E2089)</f>
        <v>10</v>
      </c>
      <c r="G2089" s="16">
        <f>YEAR(Data!$E2089)</f>
        <v>2024</v>
      </c>
      <c r="H2089" s="15" t="s">
        <v>15</v>
      </c>
      <c r="I2089" s="15" t="str">
        <f t="shared" si="32"/>
        <v>Sở ban ngành</v>
      </c>
      <c r="J2089" s="15" t="s">
        <v>1284</v>
      </c>
      <c r="K2089" s="15" t="s">
        <v>1263</v>
      </c>
      <c r="L2089" s="32">
        <f>Data!$D2089/10^6</f>
        <v>36.99</v>
      </c>
    </row>
    <row r="2090" spans="1:12" x14ac:dyDescent="0.25">
      <c r="A2090" s="30" t="s">
        <v>78</v>
      </c>
      <c r="B2090" s="19" t="s">
        <v>551</v>
      </c>
      <c r="C2090" s="19" t="s">
        <v>14</v>
      </c>
      <c r="D2090" s="16">
        <v>71956364</v>
      </c>
      <c r="E2090" s="17">
        <v>45566</v>
      </c>
      <c r="F2090" s="18">
        <f>MONTH(Data!$E2090)</f>
        <v>10</v>
      </c>
      <c r="G2090" s="16">
        <f>YEAR(Data!$E2090)</f>
        <v>2024</v>
      </c>
      <c r="H2090" s="15" t="s">
        <v>15</v>
      </c>
      <c r="I2090" s="15" t="str">
        <f t="shared" si="32"/>
        <v>Sở ban ngành</v>
      </c>
      <c r="J2090" s="15" t="s">
        <v>1285</v>
      </c>
      <c r="K2090" s="15" t="s">
        <v>1264</v>
      </c>
      <c r="L2090" s="32">
        <f>Data!$D2090/10^6</f>
        <v>71.956363999999994</v>
      </c>
    </row>
    <row r="2091" spans="1:12" x14ac:dyDescent="0.25">
      <c r="A2091" s="30" t="s">
        <v>89</v>
      </c>
      <c r="B2091" s="19" t="s">
        <v>572</v>
      </c>
      <c r="C2091" s="19" t="s">
        <v>14</v>
      </c>
      <c r="D2091" s="16">
        <v>165283636</v>
      </c>
      <c r="E2091" s="17">
        <v>45566</v>
      </c>
      <c r="F2091" s="18">
        <f>MONTH(Data!$E2091)</f>
        <v>10</v>
      </c>
      <c r="G2091" s="16">
        <f>YEAR(Data!$E2091)</f>
        <v>2024</v>
      </c>
      <c r="H2091" s="15" t="s">
        <v>11</v>
      </c>
      <c r="I2091" s="15" t="str">
        <f t="shared" si="32"/>
        <v>Sở ban ngành</v>
      </c>
      <c r="J2091" s="15" t="s">
        <v>1284</v>
      </c>
      <c r="K2091" s="15" t="s">
        <v>1264</v>
      </c>
      <c r="L2091" s="32">
        <f>Data!$D2091/10^6</f>
        <v>165.283636</v>
      </c>
    </row>
    <row r="2092" spans="1:12" x14ac:dyDescent="0.25">
      <c r="A2092" s="30" t="s">
        <v>56</v>
      </c>
      <c r="B2092" s="19" t="s">
        <v>249</v>
      </c>
      <c r="C2092" s="19" t="s">
        <v>10</v>
      </c>
      <c r="D2092" s="16">
        <v>90000000</v>
      </c>
      <c r="E2092" s="17">
        <v>45566</v>
      </c>
      <c r="F2092" s="18">
        <f>MONTH(Data!$E2092)</f>
        <v>10</v>
      </c>
      <c r="G2092" s="16">
        <f>YEAR(Data!$E2092)</f>
        <v>2024</v>
      </c>
      <c r="H2092" s="15" t="s">
        <v>25</v>
      </c>
      <c r="I2092" s="15" t="str">
        <f t="shared" si="32"/>
        <v>Sở ban ngành</v>
      </c>
      <c r="J2092" s="15" t="s">
        <v>1285</v>
      </c>
      <c r="K2092" s="15" t="s">
        <v>1276</v>
      </c>
      <c r="L2092" s="32">
        <f>Data!$D2092/10^6</f>
        <v>90</v>
      </c>
    </row>
    <row r="2093" spans="1:12" x14ac:dyDescent="0.25">
      <c r="A2093" s="30" t="s">
        <v>109</v>
      </c>
      <c r="B2093" s="19" t="s">
        <v>570</v>
      </c>
      <c r="C2093" s="19" t="s">
        <v>14</v>
      </c>
      <c r="D2093" s="16">
        <v>98410000</v>
      </c>
      <c r="E2093" s="17">
        <v>45566</v>
      </c>
      <c r="F2093" s="18">
        <f>MONTH(Data!$E2093)</f>
        <v>10</v>
      </c>
      <c r="G2093" s="16">
        <f>YEAR(Data!$E2093)</f>
        <v>2024</v>
      </c>
      <c r="H2093" s="15" t="s">
        <v>22</v>
      </c>
      <c r="I2093" s="15" t="str">
        <f t="shared" si="32"/>
        <v>Sở ban ngành</v>
      </c>
      <c r="J2093" s="15" t="s">
        <v>1284</v>
      </c>
      <c r="K2093" s="15" t="s">
        <v>1277</v>
      </c>
      <c r="L2093" s="32">
        <f>Data!$D2093/10^6</f>
        <v>98.41</v>
      </c>
    </row>
    <row r="2094" spans="1:12" x14ac:dyDescent="0.25">
      <c r="A2094" s="30" t="s">
        <v>59</v>
      </c>
      <c r="B2094" s="19" t="s">
        <v>591</v>
      </c>
      <c r="C2094" s="19" t="s">
        <v>46</v>
      </c>
      <c r="D2094" s="16">
        <v>22727273</v>
      </c>
      <c r="E2094" s="17">
        <v>45566</v>
      </c>
      <c r="F2094" s="18">
        <f>MONTH(Data!$E2094)</f>
        <v>10</v>
      </c>
      <c r="G2094" s="16">
        <f>YEAR(Data!$E2094)</f>
        <v>2024</v>
      </c>
      <c r="H2094" s="15" t="s">
        <v>22</v>
      </c>
      <c r="I2094" s="15" t="str">
        <f t="shared" si="32"/>
        <v>Sở ban ngành</v>
      </c>
      <c r="J2094" s="15" t="s">
        <v>1285</v>
      </c>
      <c r="K2094" s="15" t="s">
        <v>1271</v>
      </c>
      <c r="L2094" s="32">
        <f>Data!$D2094/10^6</f>
        <v>22.727273</v>
      </c>
    </row>
    <row r="2095" spans="1:12" x14ac:dyDescent="0.25">
      <c r="A2095" s="30" t="s">
        <v>59</v>
      </c>
      <c r="B2095" s="19" t="s">
        <v>591</v>
      </c>
      <c r="C2095" s="19" t="s">
        <v>149</v>
      </c>
      <c r="D2095" s="16">
        <v>18181818</v>
      </c>
      <c r="E2095" s="17">
        <v>45566</v>
      </c>
      <c r="F2095" s="18">
        <f>MONTH(Data!$E2095)</f>
        <v>10</v>
      </c>
      <c r="G2095" s="16">
        <f>YEAR(Data!$E2095)</f>
        <v>2024</v>
      </c>
      <c r="H2095" s="15" t="s">
        <v>22</v>
      </c>
      <c r="I2095" s="15" t="str">
        <f t="shared" si="32"/>
        <v>Sở ban ngành</v>
      </c>
      <c r="J2095" s="15" t="s">
        <v>1284</v>
      </c>
      <c r="K2095" s="15" t="s">
        <v>1271</v>
      </c>
      <c r="L2095" s="32">
        <f>Data!$D2095/10^6</f>
        <v>18.181818</v>
      </c>
    </row>
    <row r="2096" spans="1:12" x14ac:dyDescent="0.25">
      <c r="A2096" s="30" t="s">
        <v>8</v>
      </c>
      <c r="B2096" s="19" t="s">
        <v>583</v>
      </c>
      <c r="C2096" s="19" t="s">
        <v>46</v>
      </c>
      <c r="D2096" s="16">
        <v>89957363</v>
      </c>
      <c r="E2096" s="17">
        <v>45566</v>
      </c>
      <c r="F2096" s="18">
        <f>MONTH(Data!$E2096)</f>
        <v>10</v>
      </c>
      <c r="G2096" s="16">
        <f>YEAR(Data!$E2096)</f>
        <v>2024</v>
      </c>
      <c r="H2096" s="15" t="s">
        <v>11</v>
      </c>
      <c r="I2096" s="15" t="str">
        <f t="shared" si="32"/>
        <v>Sở ban ngành</v>
      </c>
      <c r="J2096" s="15" t="s">
        <v>1285</v>
      </c>
      <c r="K2096" s="15" t="s">
        <v>1271</v>
      </c>
      <c r="L2096" s="32">
        <f>Data!$D2096/10^6</f>
        <v>89.957363000000001</v>
      </c>
    </row>
    <row r="2097" spans="1:12" x14ac:dyDescent="0.25">
      <c r="A2097" s="30" t="s">
        <v>8</v>
      </c>
      <c r="B2097" s="19" t="s">
        <v>583</v>
      </c>
      <c r="C2097" s="19" t="s">
        <v>46</v>
      </c>
      <c r="D2097" s="16">
        <v>89957363</v>
      </c>
      <c r="E2097" s="17">
        <v>45566</v>
      </c>
      <c r="F2097" s="18">
        <f>MONTH(Data!$E2097)</f>
        <v>10</v>
      </c>
      <c r="G2097" s="16">
        <f>YEAR(Data!$E2097)</f>
        <v>2024</v>
      </c>
      <c r="H2097" s="15" t="s">
        <v>11</v>
      </c>
      <c r="I2097" s="15" t="str">
        <f t="shared" si="32"/>
        <v>Sở ban ngành</v>
      </c>
      <c r="J2097" s="15" t="s">
        <v>1284</v>
      </c>
      <c r="K2097" s="15" t="s">
        <v>1271</v>
      </c>
      <c r="L2097" s="32">
        <f>Data!$D2097/10^6</f>
        <v>89.957363000000001</v>
      </c>
    </row>
    <row r="2098" spans="1:12" x14ac:dyDescent="0.25">
      <c r="A2098" s="30" t="s">
        <v>13</v>
      </c>
      <c r="B2098" s="19" t="s">
        <v>558</v>
      </c>
      <c r="C2098" s="19" t="s">
        <v>149</v>
      </c>
      <c r="D2098" s="16">
        <v>45157091</v>
      </c>
      <c r="E2098" s="17">
        <v>45566</v>
      </c>
      <c r="F2098" s="18">
        <f>MONTH(Data!$E2098)</f>
        <v>10</v>
      </c>
      <c r="G2098" s="16">
        <f>YEAR(Data!$E2098)</f>
        <v>2024</v>
      </c>
      <c r="H2098" s="15" t="s">
        <v>15</v>
      </c>
      <c r="I2098" s="15" t="str">
        <f t="shared" si="32"/>
        <v>Sở ban ngành</v>
      </c>
      <c r="J2098" s="15" t="s">
        <v>1285</v>
      </c>
      <c r="K2098" s="15" t="s">
        <v>1263</v>
      </c>
      <c r="L2098" s="32">
        <f>Data!$D2098/10^6</f>
        <v>45.157091000000001</v>
      </c>
    </row>
    <row r="2099" spans="1:12" x14ac:dyDescent="0.25">
      <c r="A2099" s="30" t="s">
        <v>75</v>
      </c>
      <c r="B2099" s="19" t="s">
        <v>567</v>
      </c>
      <c r="C2099" s="19" t="s">
        <v>10</v>
      </c>
      <c r="D2099" s="16">
        <v>16392727</v>
      </c>
      <c r="E2099" s="17">
        <v>45566</v>
      </c>
      <c r="F2099" s="18">
        <f>MONTH(Data!$E2099)</f>
        <v>10</v>
      </c>
      <c r="G2099" s="16">
        <f>YEAR(Data!$E2099)</f>
        <v>2024</v>
      </c>
      <c r="H2099" s="15" t="s">
        <v>15</v>
      </c>
      <c r="I2099" s="15" t="str">
        <f t="shared" si="32"/>
        <v>Sở ban ngành</v>
      </c>
      <c r="J2099" s="15" t="s">
        <v>1284</v>
      </c>
      <c r="K2099" s="15" t="s">
        <v>1263</v>
      </c>
      <c r="L2099" s="32">
        <f>Data!$D2099/10^6</f>
        <v>16.392727000000001</v>
      </c>
    </row>
    <row r="2100" spans="1:12" x14ac:dyDescent="0.25">
      <c r="A2100" s="30" t="s">
        <v>85</v>
      </c>
      <c r="B2100" s="19" t="s">
        <v>584</v>
      </c>
      <c r="C2100" s="19" t="s">
        <v>10</v>
      </c>
      <c r="D2100" s="16">
        <v>15505000</v>
      </c>
      <c r="E2100" s="17">
        <v>45566</v>
      </c>
      <c r="F2100" s="18">
        <f>MONTH(Data!$E2100)</f>
        <v>10</v>
      </c>
      <c r="G2100" s="16">
        <f>YEAR(Data!$E2100)</f>
        <v>2024</v>
      </c>
      <c r="H2100" s="15" t="s">
        <v>15</v>
      </c>
      <c r="I2100" s="15" t="str">
        <f t="shared" si="32"/>
        <v>Sở ban ngành</v>
      </c>
      <c r="J2100" s="15" t="s">
        <v>1285</v>
      </c>
      <c r="K2100" s="15" t="s">
        <v>1263</v>
      </c>
      <c r="L2100" s="32">
        <f>Data!$D2100/10^6</f>
        <v>15.505000000000001</v>
      </c>
    </row>
    <row r="2101" spans="1:12" x14ac:dyDescent="0.25">
      <c r="A2101" s="30" t="s">
        <v>68</v>
      </c>
      <c r="B2101" s="19" t="s">
        <v>547</v>
      </c>
      <c r="C2101" s="19" t="s">
        <v>46</v>
      </c>
      <c r="D2101" s="16">
        <v>166800000</v>
      </c>
      <c r="E2101" s="17">
        <v>45566</v>
      </c>
      <c r="F2101" s="18">
        <f>MONTH(Data!$E2101)</f>
        <v>10</v>
      </c>
      <c r="G2101" s="16">
        <f>YEAR(Data!$E2101)</f>
        <v>2024</v>
      </c>
      <c r="H2101" s="15" t="s">
        <v>22</v>
      </c>
      <c r="I2101" s="15" t="str">
        <f t="shared" si="32"/>
        <v>Sở ban ngành</v>
      </c>
      <c r="J2101" s="15" t="s">
        <v>1284</v>
      </c>
      <c r="K2101" s="15" t="s">
        <v>1271</v>
      </c>
      <c r="L2101" s="32">
        <f>Data!$D2101/10^6</f>
        <v>166.8</v>
      </c>
    </row>
    <row r="2102" spans="1:12" x14ac:dyDescent="0.25">
      <c r="A2102" s="30" t="s">
        <v>116</v>
      </c>
      <c r="B2102" s="19" t="s">
        <v>579</v>
      </c>
      <c r="C2102" s="19" t="s">
        <v>46</v>
      </c>
      <c r="D2102" s="16">
        <v>54545455</v>
      </c>
      <c r="E2102" s="17">
        <v>45566</v>
      </c>
      <c r="F2102" s="18">
        <f>MONTH(Data!$E2102)</f>
        <v>10</v>
      </c>
      <c r="G2102" s="16">
        <f>YEAR(Data!$E2102)</f>
        <v>2024</v>
      </c>
      <c r="H2102" s="15" t="s">
        <v>15</v>
      </c>
      <c r="I2102" s="15" t="str">
        <f t="shared" si="32"/>
        <v>Sở ban ngành</v>
      </c>
      <c r="J2102" s="15" t="s">
        <v>1285</v>
      </c>
      <c r="K2102" s="15" t="s">
        <v>1271</v>
      </c>
      <c r="L2102" s="32">
        <f>Data!$D2102/10^6</f>
        <v>54.545454999999997</v>
      </c>
    </row>
    <row r="2103" spans="1:12" x14ac:dyDescent="0.25">
      <c r="A2103" s="30" t="s">
        <v>51</v>
      </c>
      <c r="B2103" s="19" t="s">
        <v>593</v>
      </c>
      <c r="C2103" s="19" t="s">
        <v>14</v>
      </c>
      <c r="D2103" s="16">
        <v>54477000</v>
      </c>
      <c r="E2103" s="17">
        <v>45566</v>
      </c>
      <c r="F2103" s="18">
        <f>MONTH(Data!$E2103)</f>
        <v>10</v>
      </c>
      <c r="G2103" s="16">
        <f>YEAR(Data!$E2103)</f>
        <v>2024</v>
      </c>
      <c r="H2103" s="15" t="s">
        <v>42</v>
      </c>
      <c r="I2103" s="15" t="str">
        <f t="shared" si="32"/>
        <v>Sở ban ngành</v>
      </c>
      <c r="J2103" s="15" t="s">
        <v>1284</v>
      </c>
      <c r="K2103" s="15" t="s">
        <v>1273</v>
      </c>
      <c r="L2103" s="32">
        <f>Data!$D2103/10^6</f>
        <v>54.476999999999997</v>
      </c>
    </row>
    <row r="2104" spans="1:12" x14ac:dyDescent="0.25">
      <c r="A2104" s="30" t="s">
        <v>95</v>
      </c>
      <c r="B2104" s="19" t="s">
        <v>548</v>
      </c>
      <c r="C2104" s="19" t="s">
        <v>10</v>
      </c>
      <c r="D2104" s="16">
        <v>98240288</v>
      </c>
      <c r="E2104" s="17">
        <v>45566</v>
      </c>
      <c r="F2104" s="18">
        <f>MONTH(Data!$E2104)</f>
        <v>10</v>
      </c>
      <c r="G2104" s="16">
        <f>YEAR(Data!$E2104)</f>
        <v>2024</v>
      </c>
      <c r="H2104" s="15" t="s">
        <v>35</v>
      </c>
      <c r="I2104" s="15" t="str">
        <f t="shared" si="32"/>
        <v>Sở ban ngành</v>
      </c>
      <c r="J2104" s="15" t="s">
        <v>1285</v>
      </c>
      <c r="K2104" s="15" t="s">
        <v>1263</v>
      </c>
      <c r="L2104" s="32">
        <f>Data!$D2104/10^6</f>
        <v>98.240288000000007</v>
      </c>
    </row>
    <row r="2105" spans="1:12" x14ac:dyDescent="0.25">
      <c r="A2105" s="30" t="s">
        <v>68</v>
      </c>
      <c r="B2105" s="19" t="s">
        <v>1257</v>
      </c>
      <c r="C2105" s="19" t="s">
        <v>10</v>
      </c>
      <c r="D2105" s="16">
        <v>15246199</v>
      </c>
      <c r="E2105" s="17">
        <v>45566</v>
      </c>
      <c r="F2105" s="18">
        <f>MONTH(Data!$E2105)</f>
        <v>10</v>
      </c>
      <c r="G2105" s="16">
        <f>YEAR(Data!$E2105)</f>
        <v>2024</v>
      </c>
      <c r="H2105" s="15" t="s">
        <v>22</v>
      </c>
      <c r="I2105" s="15" t="str">
        <f t="shared" si="32"/>
        <v>Sở ban ngành</v>
      </c>
      <c r="J2105" s="15" t="s">
        <v>1284</v>
      </c>
      <c r="K2105" s="15" t="s">
        <v>1263</v>
      </c>
      <c r="L2105" s="32">
        <f>Data!$D2105/10^6</f>
        <v>15.246199000000001</v>
      </c>
    </row>
    <row r="2106" spans="1:12" x14ac:dyDescent="0.25">
      <c r="A2106" s="30" t="s">
        <v>68</v>
      </c>
      <c r="B2106" s="19" t="s">
        <v>1257</v>
      </c>
      <c r="C2106" s="19" t="s">
        <v>10</v>
      </c>
      <c r="D2106" s="16">
        <v>69544600</v>
      </c>
      <c r="E2106" s="17">
        <v>45566</v>
      </c>
      <c r="F2106" s="18">
        <f>MONTH(Data!$E2106)</f>
        <v>10</v>
      </c>
      <c r="G2106" s="16">
        <f>YEAR(Data!$E2106)</f>
        <v>2024</v>
      </c>
      <c r="H2106" s="15" t="s">
        <v>22</v>
      </c>
      <c r="I2106" s="15" t="str">
        <f t="shared" si="32"/>
        <v>Sở ban ngành</v>
      </c>
      <c r="J2106" s="15" t="s">
        <v>1285</v>
      </c>
      <c r="K2106" s="15" t="s">
        <v>1263</v>
      </c>
      <c r="L2106" s="32">
        <f>Data!$D2106/10^6</f>
        <v>69.544600000000003</v>
      </c>
    </row>
    <row r="2107" spans="1:12" x14ac:dyDescent="0.25">
      <c r="A2107" s="30" t="s">
        <v>68</v>
      </c>
      <c r="B2107" s="19" t="s">
        <v>1257</v>
      </c>
      <c r="C2107" s="19" t="s">
        <v>10</v>
      </c>
      <c r="D2107" s="16">
        <v>87203700</v>
      </c>
      <c r="E2107" s="17">
        <v>45566</v>
      </c>
      <c r="F2107" s="18">
        <f>MONTH(Data!$E2107)</f>
        <v>10</v>
      </c>
      <c r="G2107" s="16">
        <f>YEAR(Data!$E2107)</f>
        <v>2024</v>
      </c>
      <c r="H2107" s="15" t="s">
        <v>22</v>
      </c>
      <c r="I2107" s="15" t="str">
        <f t="shared" si="32"/>
        <v>Sở ban ngành</v>
      </c>
      <c r="J2107" s="15" t="s">
        <v>1284</v>
      </c>
      <c r="K2107" s="15" t="s">
        <v>1263</v>
      </c>
      <c r="L2107" s="32">
        <f>Data!$D2107/10^6</f>
        <v>87.203699999999998</v>
      </c>
    </row>
    <row r="2108" spans="1:12" x14ac:dyDescent="0.25">
      <c r="A2108" s="30" t="s">
        <v>68</v>
      </c>
      <c r="B2108" s="19" t="s">
        <v>399</v>
      </c>
      <c r="C2108" s="19" t="s">
        <v>46</v>
      </c>
      <c r="D2108" s="16">
        <v>156005489</v>
      </c>
      <c r="E2108" s="17">
        <v>45566</v>
      </c>
      <c r="F2108" s="18">
        <f>MONTH(Data!$E2108)</f>
        <v>10</v>
      </c>
      <c r="G2108" s="16">
        <f>YEAR(Data!$E2108)</f>
        <v>2024</v>
      </c>
      <c r="H2108" s="15" t="s">
        <v>22</v>
      </c>
      <c r="I2108" s="15" t="str">
        <f t="shared" si="32"/>
        <v>Sở ban ngành</v>
      </c>
      <c r="J2108" s="15" t="s">
        <v>1285</v>
      </c>
      <c r="K2108" s="15" t="s">
        <v>1271</v>
      </c>
      <c r="L2108" s="32">
        <f>Data!$D2108/10^6</f>
        <v>156.00548900000001</v>
      </c>
    </row>
    <row r="2109" spans="1:12" x14ac:dyDescent="0.25">
      <c r="A2109" s="30" t="s">
        <v>95</v>
      </c>
      <c r="B2109" s="19" t="s">
        <v>563</v>
      </c>
      <c r="C2109" s="19" t="s">
        <v>10</v>
      </c>
      <c r="D2109" s="16">
        <v>30877233</v>
      </c>
      <c r="E2109" s="17">
        <v>45566</v>
      </c>
      <c r="F2109" s="18">
        <f>MONTH(Data!$E2109)</f>
        <v>10</v>
      </c>
      <c r="G2109" s="16">
        <f>YEAR(Data!$E2109)</f>
        <v>2024</v>
      </c>
      <c r="H2109" s="15" t="s">
        <v>35</v>
      </c>
      <c r="I2109" s="15" t="str">
        <f t="shared" si="32"/>
        <v>Sở ban ngành</v>
      </c>
      <c r="J2109" s="15" t="s">
        <v>1284</v>
      </c>
      <c r="K2109" s="15" t="s">
        <v>1263</v>
      </c>
      <c r="L2109" s="32">
        <f>Data!$D2109/10^6</f>
        <v>30.877233</v>
      </c>
    </row>
    <row r="2110" spans="1:12" x14ac:dyDescent="0.25">
      <c r="A2110" s="30" t="s">
        <v>8</v>
      </c>
      <c r="B2110" s="19" t="s">
        <v>590</v>
      </c>
      <c r="C2110" s="19" t="s">
        <v>46</v>
      </c>
      <c r="D2110" s="16">
        <v>68167273</v>
      </c>
      <c r="E2110" s="17">
        <v>45566</v>
      </c>
      <c r="F2110" s="18">
        <f>MONTH(Data!$E2110)</f>
        <v>10</v>
      </c>
      <c r="G2110" s="16">
        <f>YEAR(Data!$E2110)</f>
        <v>2024</v>
      </c>
      <c r="H2110" s="15" t="s">
        <v>11</v>
      </c>
      <c r="I2110" s="15" t="str">
        <f t="shared" si="32"/>
        <v>Sở ban ngành</v>
      </c>
      <c r="J2110" s="15" t="s">
        <v>1285</v>
      </c>
      <c r="K2110" s="15" t="s">
        <v>1271</v>
      </c>
      <c r="L2110" s="32">
        <f>Data!$D2110/10^6</f>
        <v>68.167272999999994</v>
      </c>
    </row>
    <row r="2111" spans="1:12" x14ac:dyDescent="0.25">
      <c r="A2111" s="30" t="s">
        <v>17</v>
      </c>
      <c r="B2111" s="19" t="s">
        <v>569</v>
      </c>
      <c r="C2111" s="19" t="s">
        <v>10</v>
      </c>
      <c r="D2111" s="16">
        <v>21900000</v>
      </c>
      <c r="E2111" s="17">
        <v>45566</v>
      </c>
      <c r="F2111" s="18">
        <f>MONTH(Data!$E2111)</f>
        <v>10</v>
      </c>
      <c r="G2111" s="16">
        <f>YEAR(Data!$E2111)</f>
        <v>2024</v>
      </c>
      <c r="H2111" s="15" t="s">
        <v>11</v>
      </c>
      <c r="I2111" s="15" t="str">
        <f t="shared" si="32"/>
        <v>Sở ban ngành</v>
      </c>
      <c r="J2111" s="15" t="s">
        <v>1284</v>
      </c>
      <c r="K2111" s="15" t="s">
        <v>1267</v>
      </c>
      <c r="L2111" s="32">
        <f>Data!$D2111/10^6</f>
        <v>21.9</v>
      </c>
    </row>
    <row r="2112" spans="1:12" x14ac:dyDescent="0.25">
      <c r="A2112" s="30" t="s">
        <v>33</v>
      </c>
      <c r="B2112" s="19" t="s">
        <v>594</v>
      </c>
      <c r="C2112" s="19" t="s">
        <v>10</v>
      </c>
      <c r="D2112" s="16">
        <v>160233636</v>
      </c>
      <c r="E2112" s="17">
        <v>45566</v>
      </c>
      <c r="F2112" s="18">
        <f>MONTH(Data!$E2112)</f>
        <v>10</v>
      </c>
      <c r="G2112" s="16">
        <f>YEAR(Data!$E2112)</f>
        <v>2024</v>
      </c>
      <c r="H2112" s="15" t="s">
        <v>35</v>
      </c>
      <c r="I2112" s="15" t="str">
        <f t="shared" si="32"/>
        <v>Sở ban ngành</v>
      </c>
      <c r="J2112" s="15" t="s">
        <v>1285</v>
      </c>
      <c r="K2112" s="15" t="s">
        <v>1263</v>
      </c>
      <c r="L2112" s="32">
        <f>Data!$D2112/10^6</f>
        <v>160.23363599999999</v>
      </c>
    </row>
    <row r="2113" spans="1:12" x14ac:dyDescent="0.25">
      <c r="A2113" s="30" t="s">
        <v>17</v>
      </c>
      <c r="B2113" s="19" t="s">
        <v>578</v>
      </c>
      <c r="C2113" s="19" t="s">
        <v>10</v>
      </c>
      <c r="D2113" s="16">
        <v>90500000</v>
      </c>
      <c r="E2113" s="17">
        <v>45566</v>
      </c>
      <c r="F2113" s="18">
        <f>MONTH(Data!$E2113)</f>
        <v>10</v>
      </c>
      <c r="G2113" s="16">
        <f>YEAR(Data!$E2113)</f>
        <v>2024</v>
      </c>
      <c r="H2113" s="15" t="s">
        <v>11</v>
      </c>
      <c r="I2113" s="15" t="str">
        <f t="shared" si="32"/>
        <v>Sở ban ngành</v>
      </c>
      <c r="J2113" s="15" t="s">
        <v>1284</v>
      </c>
      <c r="K2113" s="15" t="s">
        <v>1267</v>
      </c>
      <c r="L2113" s="32">
        <f>Data!$D2113/10^6</f>
        <v>90.5</v>
      </c>
    </row>
    <row r="2114" spans="1:12" x14ac:dyDescent="0.25">
      <c r="A2114" s="30" t="s">
        <v>52</v>
      </c>
      <c r="B2114" s="19" t="s">
        <v>560</v>
      </c>
      <c r="C2114" s="19" t="s">
        <v>10</v>
      </c>
      <c r="D2114" s="16">
        <v>133450000</v>
      </c>
      <c r="E2114" s="17">
        <v>45566</v>
      </c>
      <c r="F2114" s="18">
        <f>MONTH(Data!$E2114)</f>
        <v>10</v>
      </c>
      <c r="G2114" s="16">
        <f>YEAR(Data!$E2114)</f>
        <v>2024</v>
      </c>
      <c r="H2114" s="15" t="s">
        <v>35</v>
      </c>
      <c r="I2114" s="15" t="str">
        <f t="shared" si="32"/>
        <v>Sở ban ngành</v>
      </c>
      <c r="J2114" s="15" t="s">
        <v>1285</v>
      </c>
      <c r="K2114" s="15" t="s">
        <v>1267</v>
      </c>
      <c r="L2114" s="32">
        <f>Data!$D2114/10^6</f>
        <v>133.44999999999999</v>
      </c>
    </row>
    <row r="2115" spans="1:12" x14ac:dyDescent="0.25">
      <c r="A2115" s="30" t="s">
        <v>52</v>
      </c>
      <c r="B2115" s="19" t="s">
        <v>552</v>
      </c>
      <c r="C2115" s="19" t="s">
        <v>10</v>
      </c>
      <c r="D2115" s="16">
        <v>144580000</v>
      </c>
      <c r="E2115" s="17">
        <v>45566</v>
      </c>
      <c r="F2115" s="18">
        <f>MONTH(Data!$E2115)</f>
        <v>10</v>
      </c>
      <c r="G2115" s="16">
        <f>YEAR(Data!$E2115)</f>
        <v>2024</v>
      </c>
      <c r="H2115" s="15" t="s">
        <v>35</v>
      </c>
      <c r="I2115" s="15" t="str">
        <f t="shared" ref="I2115:I2178" si="33">IF(ISNUMBER(SEARCH("Công ty",$B2115)),"Doanh nghiệp",IF(ISNUMBER(SEARCH("Doanh nghiệp",$B2115)),"Doanh nghiệp",IF(ISNUMBER(SEARCH("Tập đoàn",$B2115)),"Doanh nghiệp",
IF(ISNUMBER(SEARCH("Bệnh viện",$B2115)),"Bệnh viện",
IF(ISNUMBER(SEARCH("Ngân hàng",$B2115)),"Ngân hàng",IF(ISNUMBER(SEARCH("trường",$B2115)),"Trường học",IF(ISNUMBER(SEARCH("học viện",$B2115)),"Trường học",
IF(ISNUMBER(SEARCH("Bộ",$B2115)),"Sở ban ngành",IF(ISNUMBER(SEARCH("Đoàn",$B2115)),"Sở ban ngành",IF(ISNUMBER(SEARCH("Phòng",$B2115)),"Sở ban ngành",IF(ISNUMBER(SEARCH("UBND",$B2115)),"Sở ban ngành",IF(ISNUMBER(SEARCH("ủy ban",$B2115)),"Sở ban ngành",IF(ISNUMBER(SEARCH("công an",$B2115)),"Sở ban ngành",IF(ISNUMBER(SEARCH("sở",$B2115)),"Sở ban ngành",IF(ISNUMBER(SEARCH("thôn",$B2115)),"Sở ban ngành",IF(ISNUMBER(SEARCH("xã",$B2115)),"Sở ban ngành",IF(ISNUMBER(SEARCH("quân khu",$B2115)),"Sở ban ngành",IF(ISNUMBER(SEARCH("cục",$B2115)),"Sở ban ngành",IF(ISNUMBER(SEARCH("viện",$B2115)),"Sở ban ngành",IF(ISNUMBER(SEARCH("quỹ",$B2115)),"Sở ban ngành",IF(ISNUMBER(SEARCH("trung tâm",$B2115)),"Sở ban ngành",IF(ISNUMBER(SEARCH("quân chủng",$B2115)),"Sở ban ngành",IF(ISNUMBER(SEARCH("hội",$B2115)),"Sở ban ngành",
"Khác")))))))))))))))))))))))</f>
        <v>Trường học</v>
      </c>
      <c r="J2115" s="15" t="s">
        <v>1284</v>
      </c>
      <c r="K2115" s="15" t="s">
        <v>1267</v>
      </c>
      <c r="L2115" s="32">
        <f>Data!$D2115/10^6</f>
        <v>144.58000000000001</v>
      </c>
    </row>
    <row r="2116" spans="1:12" x14ac:dyDescent="0.25">
      <c r="A2116" s="30" t="s">
        <v>218</v>
      </c>
      <c r="B2116" s="19" t="s">
        <v>550</v>
      </c>
      <c r="C2116" s="19" t="s">
        <v>14</v>
      </c>
      <c r="D2116" s="16">
        <v>322954545</v>
      </c>
      <c r="E2116" s="17">
        <v>45566</v>
      </c>
      <c r="F2116" s="18">
        <f>MONTH(Data!$E2116)</f>
        <v>10</v>
      </c>
      <c r="G2116" s="16">
        <f>YEAR(Data!$E2116)</f>
        <v>2024</v>
      </c>
      <c r="H2116" s="15" t="s">
        <v>15</v>
      </c>
      <c r="I2116" s="15" t="str">
        <f t="shared" si="33"/>
        <v>Trường học</v>
      </c>
      <c r="J2116" s="15" t="s">
        <v>1285</v>
      </c>
      <c r="K2116" s="15" t="s">
        <v>1275</v>
      </c>
      <c r="L2116" s="32">
        <f>Data!$D2116/10^6</f>
        <v>322.954545</v>
      </c>
    </row>
    <row r="2117" spans="1:12" x14ac:dyDescent="0.25">
      <c r="A2117" s="30" t="s">
        <v>218</v>
      </c>
      <c r="B2117" s="19" t="s">
        <v>556</v>
      </c>
      <c r="C2117" s="19" t="s">
        <v>41</v>
      </c>
      <c r="D2117" s="16">
        <v>580901818</v>
      </c>
      <c r="E2117" s="17">
        <v>45566</v>
      </c>
      <c r="F2117" s="18">
        <f>MONTH(Data!$E2117)</f>
        <v>10</v>
      </c>
      <c r="G2117" s="16">
        <f>YEAR(Data!$E2117)</f>
        <v>2024</v>
      </c>
      <c r="H2117" s="15" t="s">
        <v>15</v>
      </c>
      <c r="I2117" s="15" t="str">
        <f t="shared" si="33"/>
        <v>Trường học</v>
      </c>
      <c r="J2117" s="15" t="s">
        <v>1284</v>
      </c>
      <c r="K2117" s="15" t="s">
        <v>1269</v>
      </c>
      <c r="L2117" s="32">
        <f>Data!$D2117/10^6</f>
        <v>580.90181800000005</v>
      </c>
    </row>
    <row r="2118" spans="1:12" x14ac:dyDescent="0.25">
      <c r="A2118" s="30" t="s">
        <v>30</v>
      </c>
      <c r="B2118" s="19" t="s">
        <v>566</v>
      </c>
      <c r="C2118" s="19" t="s">
        <v>10</v>
      </c>
      <c r="D2118" s="16">
        <v>5581818</v>
      </c>
      <c r="E2118" s="17">
        <v>45566</v>
      </c>
      <c r="F2118" s="18">
        <f>MONTH(Data!$E2118)</f>
        <v>10</v>
      </c>
      <c r="G2118" s="16">
        <f>YEAR(Data!$E2118)</f>
        <v>2024</v>
      </c>
      <c r="H2118" s="15" t="s">
        <v>32</v>
      </c>
      <c r="I2118" s="15" t="str">
        <f t="shared" si="33"/>
        <v>Trường học</v>
      </c>
      <c r="J2118" s="15" t="s">
        <v>1285</v>
      </c>
      <c r="K2118" s="15" t="s">
        <v>1262</v>
      </c>
      <c r="L2118" s="32">
        <f>Data!$D2118/10^6</f>
        <v>5.5818180000000002</v>
      </c>
    </row>
    <row r="2119" spans="1:12" x14ac:dyDescent="0.25">
      <c r="A2119" s="30" t="s">
        <v>89</v>
      </c>
      <c r="B2119" s="19" t="s">
        <v>571</v>
      </c>
      <c r="C2119" s="19" t="s">
        <v>149</v>
      </c>
      <c r="D2119" s="16">
        <v>8063636</v>
      </c>
      <c r="E2119" s="17">
        <v>45566</v>
      </c>
      <c r="F2119" s="18">
        <f>MONTH(Data!$E2119)</f>
        <v>10</v>
      </c>
      <c r="G2119" s="16">
        <f>YEAR(Data!$E2119)</f>
        <v>2024</v>
      </c>
      <c r="H2119" s="15" t="s">
        <v>11</v>
      </c>
      <c r="I2119" s="15" t="str">
        <f t="shared" si="33"/>
        <v>Trường học</v>
      </c>
      <c r="J2119" s="15" t="s">
        <v>1284</v>
      </c>
      <c r="K2119" s="15" t="s">
        <v>1267</v>
      </c>
      <c r="L2119" s="32">
        <f>Data!$D2119/10^6</f>
        <v>8.0636360000000007</v>
      </c>
    </row>
    <row r="2120" spans="1:12" x14ac:dyDescent="0.25">
      <c r="A2120" s="30" t="s">
        <v>50</v>
      </c>
      <c r="B2120" s="19" t="s">
        <v>589</v>
      </c>
      <c r="C2120" s="19" t="s">
        <v>14</v>
      </c>
      <c r="D2120" s="16">
        <v>34545455</v>
      </c>
      <c r="E2120" s="17">
        <v>45566</v>
      </c>
      <c r="F2120" s="18">
        <f>MONTH(Data!$E2120)</f>
        <v>10</v>
      </c>
      <c r="G2120" s="16">
        <f>YEAR(Data!$E2120)</f>
        <v>2024</v>
      </c>
      <c r="H2120" s="15" t="s">
        <v>35</v>
      </c>
      <c r="I2120" s="15" t="str">
        <f t="shared" si="33"/>
        <v>Trường học</v>
      </c>
      <c r="J2120" s="15" t="s">
        <v>1285</v>
      </c>
      <c r="K2120" s="15" t="s">
        <v>1275</v>
      </c>
      <c r="L2120" s="32">
        <f>Data!$D2120/10^6</f>
        <v>34.545454999999997</v>
      </c>
    </row>
    <row r="2121" spans="1:12" x14ac:dyDescent="0.25">
      <c r="A2121" s="30" t="s">
        <v>50</v>
      </c>
      <c r="B2121" s="19" t="s">
        <v>426</v>
      </c>
      <c r="C2121" s="19" t="s">
        <v>14</v>
      </c>
      <c r="D2121" s="16">
        <v>34545455</v>
      </c>
      <c r="E2121" s="17">
        <v>45566</v>
      </c>
      <c r="F2121" s="18">
        <f>MONTH(Data!$E2121)</f>
        <v>10</v>
      </c>
      <c r="G2121" s="16">
        <f>YEAR(Data!$E2121)</f>
        <v>2024</v>
      </c>
      <c r="H2121" s="15" t="s">
        <v>35</v>
      </c>
      <c r="I2121" s="15" t="str">
        <f t="shared" si="33"/>
        <v>Trường học</v>
      </c>
      <c r="J2121" s="15" t="s">
        <v>1284</v>
      </c>
      <c r="K2121" s="15" t="s">
        <v>1275</v>
      </c>
      <c r="L2121" s="32">
        <f>Data!$D2121/10^6</f>
        <v>34.545454999999997</v>
      </c>
    </row>
    <row r="2122" spans="1:12" x14ac:dyDescent="0.25">
      <c r="A2122" s="30" t="s">
        <v>50</v>
      </c>
      <c r="B2122" s="19" t="s">
        <v>427</v>
      </c>
      <c r="C2122" s="19" t="s">
        <v>14</v>
      </c>
      <c r="D2122" s="16">
        <v>51818182</v>
      </c>
      <c r="E2122" s="17">
        <v>45566</v>
      </c>
      <c r="F2122" s="18">
        <f>MONTH(Data!$E2122)</f>
        <v>10</v>
      </c>
      <c r="G2122" s="16">
        <f>YEAR(Data!$E2122)</f>
        <v>2024</v>
      </c>
      <c r="H2122" s="15" t="s">
        <v>35</v>
      </c>
      <c r="I2122" s="15" t="str">
        <f t="shared" si="33"/>
        <v>Trường học</v>
      </c>
      <c r="J2122" s="15" t="s">
        <v>1285</v>
      </c>
      <c r="K2122" s="15" t="s">
        <v>1275</v>
      </c>
      <c r="L2122" s="32">
        <f>Data!$D2122/10^6</f>
        <v>51.818182</v>
      </c>
    </row>
    <row r="2123" spans="1:12" x14ac:dyDescent="0.25">
      <c r="A2123" s="30" t="s">
        <v>50</v>
      </c>
      <c r="B2123" s="19" t="s">
        <v>414</v>
      </c>
      <c r="C2123" s="19" t="s">
        <v>14</v>
      </c>
      <c r="D2123" s="16">
        <v>34545455</v>
      </c>
      <c r="E2123" s="17">
        <v>45566</v>
      </c>
      <c r="F2123" s="18">
        <f>MONTH(Data!$E2123)</f>
        <v>10</v>
      </c>
      <c r="G2123" s="16">
        <f>YEAR(Data!$E2123)</f>
        <v>2024</v>
      </c>
      <c r="H2123" s="15" t="s">
        <v>35</v>
      </c>
      <c r="I2123" s="15" t="str">
        <f t="shared" si="33"/>
        <v>Trường học</v>
      </c>
      <c r="J2123" s="15" t="s">
        <v>1284</v>
      </c>
      <c r="K2123" s="15" t="s">
        <v>1275</v>
      </c>
      <c r="L2123" s="32">
        <f>Data!$D2123/10^6</f>
        <v>34.545454999999997</v>
      </c>
    </row>
    <row r="2124" spans="1:12" x14ac:dyDescent="0.25">
      <c r="A2124" s="30" t="s">
        <v>50</v>
      </c>
      <c r="B2124" s="19" t="s">
        <v>413</v>
      </c>
      <c r="C2124" s="19" t="s">
        <v>14</v>
      </c>
      <c r="D2124" s="16">
        <v>34545455</v>
      </c>
      <c r="E2124" s="17">
        <v>45566</v>
      </c>
      <c r="F2124" s="18">
        <f>MONTH(Data!$E2124)</f>
        <v>10</v>
      </c>
      <c r="G2124" s="16">
        <f>YEAR(Data!$E2124)</f>
        <v>2024</v>
      </c>
      <c r="H2124" s="15" t="s">
        <v>35</v>
      </c>
      <c r="I2124" s="15" t="str">
        <f t="shared" si="33"/>
        <v>Trường học</v>
      </c>
      <c r="J2124" s="15" t="s">
        <v>1285</v>
      </c>
      <c r="K2124" s="15" t="s">
        <v>1275</v>
      </c>
      <c r="L2124" s="32">
        <f>Data!$D2124/10^6</f>
        <v>34.545454999999997</v>
      </c>
    </row>
    <row r="2125" spans="1:12" x14ac:dyDescent="0.25">
      <c r="A2125" s="30" t="s">
        <v>43</v>
      </c>
      <c r="B2125" s="19" t="s">
        <v>582</v>
      </c>
      <c r="C2125" s="19" t="s">
        <v>14</v>
      </c>
      <c r="D2125" s="16">
        <v>88909091</v>
      </c>
      <c r="E2125" s="17">
        <v>45566</v>
      </c>
      <c r="F2125" s="18">
        <f>MONTH(Data!$E2125)</f>
        <v>10</v>
      </c>
      <c r="G2125" s="16">
        <f>YEAR(Data!$E2125)</f>
        <v>2024</v>
      </c>
      <c r="H2125" s="15" t="s">
        <v>35</v>
      </c>
      <c r="I2125" s="15" t="str">
        <f t="shared" si="33"/>
        <v>Trường học</v>
      </c>
      <c r="J2125" s="15" t="s">
        <v>1284</v>
      </c>
      <c r="K2125" s="15" t="s">
        <v>1264</v>
      </c>
      <c r="L2125" s="32">
        <f>Data!$D2125/10^6</f>
        <v>88.909091000000004</v>
      </c>
    </row>
    <row r="2126" spans="1:12" x14ac:dyDescent="0.25">
      <c r="A2126" s="30" t="s">
        <v>30</v>
      </c>
      <c r="B2126" s="19" t="s">
        <v>595</v>
      </c>
      <c r="C2126" s="19" t="s">
        <v>10</v>
      </c>
      <c r="D2126" s="16">
        <v>5181818</v>
      </c>
      <c r="E2126" s="17">
        <v>45566</v>
      </c>
      <c r="F2126" s="18">
        <f>MONTH(Data!$E2126)</f>
        <v>10</v>
      </c>
      <c r="G2126" s="16">
        <f>YEAR(Data!$E2126)</f>
        <v>2024</v>
      </c>
      <c r="H2126" s="15" t="s">
        <v>32</v>
      </c>
      <c r="I2126" s="15" t="str">
        <f t="shared" si="33"/>
        <v>Trường học</v>
      </c>
      <c r="J2126" s="15" t="s">
        <v>1285</v>
      </c>
      <c r="K2126" s="15" t="s">
        <v>1262</v>
      </c>
      <c r="L2126" s="32">
        <f>Data!$D2126/10^6</f>
        <v>5.1818179999999998</v>
      </c>
    </row>
    <row r="2127" spans="1:12" x14ac:dyDescent="0.25">
      <c r="A2127" s="30" t="s">
        <v>47</v>
      </c>
      <c r="B2127" s="15" t="s">
        <v>1256</v>
      </c>
      <c r="C2127" s="19" t="s">
        <v>10</v>
      </c>
      <c r="D2127" s="16">
        <v>10527636</v>
      </c>
      <c r="E2127" s="17">
        <v>45566</v>
      </c>
      <c r="F2127" s="18">
        <f>MONTH(Data!$E2127)</f>
        <v>10</v>
      </c>
      <c r="G2127" s="16">
        <f>YEAR(Data!$E2127)</f>
        <v>2024</v>
      </c>
      <c r="H2127" s="15" t="s">
        <v>29</v>
      </c>
      <c r="I2127" s="15" t="str">
        <f t="shared" si="33"/>
        <v>Trường học</v>
      </c>
      <c r="J2127" s="15" t="s">
        <v>1284</v>
      </c>
      <c r="K2127" s="15" t="s">
        <v>1263</v>
      </c>
      <c r="L2127" s="32">
        <f>Data!$D2127/10^6</f>
        <v>10.527635999999999</v>
      </c>
    </row>
    <row r="2128" spans="1:12" x14ac:dyDescent="0.25">
      <c r="A2128" s="30" t="s">
        <v>79</v>
      </c>
      <c r="B2128" s="19" t="s">
        <v>577</v>
      </c>
      <c r="C2128" s="19" t="s">
        <v>10</v>
      </c>
      <c r="D2128" s="16">
        <v>61097000</v>
      </c>
      <c r="E2128" s="17">
        <v>45566</v>
      </c>
      <c r="F2128" s="18">
        <f>MONTH(Data!$E2128)</f>
        <v>10</v>
      </c>
      <c r="G2128" s="16">
        <f>YEAR(Data!$E2128)</f>
        <v>2024</v>
      </c>
      <c r="H2128" s="15" t="s">
        <v>15</v>
      </c>
      <c r="I2128" s="15" t="str">
        <f t="shared" si="33"/>
        <v>Trường học</v>
      </c>
      <c r="J2128" s="15" t="s">
        <v>1285</v>
      </c>
      <c r="K2128" s="15" t="s">
        <v>1262</v>
      </c>
      <c r="L2128" s="32">
        <f>Data!$D2128/10^6</f>
        <v>61.097000000000001</v>
      </c>
    </row>
    <row r="2129" spans="1:12" x14ac:dyDescent="0.25">
      <c r="A2129" s="30" t="s">
        <v>74</v>
      </c>
      <c r="B2129" s="19" t="s">
        <v>596</v>
      </c>
      <c r="C2129" s="19" t="s">
        <v>41</v>
      </c>
      <c r="D2129" s="16">
        <v>89392727</v>
      </c>
      <c r="E2129" s="17">
        <v>45566</v>
      </c>
      <c r="F2129" s="18">
        <f>MONTH(Data!$E2129)</f>
        <v>10</v>
      </c>
      <c r="G2129" s="16">
        <f>YEAR(Data!$E2129)</f>
        <v>2024</v>
      </c>
      <c r="H2129" s="15" t="s">
        <v>11</v>
      </c>
      <c r="I2129" s="15" t="str">
        <f t="shared" si="33"/>
        <v>Trường học</v>
      </c>
      <c r="J2129" s="15" t="s">
        <v>1284</v>
      </c>
      <c r="K2129" s="15" t="s">
        <v>1269</v>
      </c>
      <c r="L2129" s="32">
        <f>Data!$D2129/10^6</f>
        <v>89.392726999999994</v>
      </c>
    </row>
    <row r="2130" spans="1:12" x14ac:dyDescent="0.25">
      <c r="A2130" s="30" t="s">
        <v>50</v>
      </c>
      <c r="B2130" s="19" t="s">
        <v>562</v>
      </c>
      <c r="C2130" s="19" t="s">
        <v>14</v>
      </c>
      <c r="D2130" s="16">
        <v>15800000</v>
      </c>
      <c r="E2130" s="17">
        <v>45566</v>
      </c>
      <c r="F2130" s="18">
        <f>MONTH(Data!$E2130)</f>
        <v>10</v>
      </c>
      <c r="G2130" s="16">
        <f>YEAR(Data!$E2130)</f>
        <v>2024</v>
      </c>
      <c r="H2130" s="15" t="s">
        <v>35</v>
      </c>
      <c r="I2130" s="15" t="str">
        <f t="shared" si="33"/>
        <v>Trường học</v>
      </c>
      <c r="J2130" s="15" t="s">
        <v>1285</v>
      </c>
      <c r="K2130" s="15" t="s">
        <v>1275</v>
      </c>
      <c r="L2130" s="32">
        <f>Data!$D2130/10^6</f>
        <v>15.8</v>
      </c>
    </row>
    <row r="2131" spans="1:12" x14ac:dyDescent="0.25">
      <c r="A2131" s="30" t="s">
        <v>85</v>
      </c>
      <c r="B2131" s="19" t="s">
        <v>600</v>
      </c>
      <c r="C2131" s="19" t="s">
        <v>10</v>
      </c>
      <c r="D2131" s="16">
        <v>10309091</v>
      </c>
      <c r="E2131" s="17">
        <v>45566</v>
      </c>
      <c r="F2131" s="18">
        <f>MONTH(Data!$E2131)</f>
        <v>10</v>
      </c>
      <c r="G2131" s="16">
        <f>YEAR(Data!$E2131)</f>
        <v>2024</v>
      </c>
      <c r="H2131" s="15" t="s">
        <v>15</v>
      </c>
      <c r="I2131" s="15" t="str">
        <f t="shared" si="33"/>
        <v>Trường học</v>
      </c>
      <c r="J2131" s="15" t="s">
        <v>1284</v>
      </c>
      <c r="K2131" s="15" t="s">
        <v>1263</v>
      </c>
      <c r="L2131" s="32">
        <f>Data!$D2131/10^6</f>
        <v>10.309091</v>
      </c>
    </row>
    <row r="2132" spans="1:12" x14ac:dyDescent="0.25">
      <c r="A2132" s="30" t="s">
        <v>30</v>
      </c>
      <c r="B2132" s="19" t="s">
        <v>564</v>
      </c>
      <c r="C2132" s="19" t="s">
        <v>10</v>
      </c>
      <c r="D2132" s="16">
        <v>18709091</v>
      </c>
      <c r="E2132" s="17">
        <v>45566</v>
      </c>
      <c r="F2132" s="18">
        <f>MONTH(Data!$E2132)</f>
        <v>10</v>
      </c>
      <c r="G2132" s="16">
        <f>YEAR(Data!$E2132)</f>
        <v>2024</v>
      </c>
      <c r="H2132" s="15" t="s">
        <v>32</v>
      </c>
      <c r="I2132" s="15" t="str">
        <f t="shared" si="33"/>
        <v>Trường học</v>
      </c>
      <c r="J2132" s="15" t="s">
        <v>1285</v>
      </c>
      <c r="K2132" s="15" t="s">
        <v>1262</v>
      </c>
      <c r="L2132" s="32">
        <f>Data!$D2132/10^6</f>
        <v>18.709091000000001</v>
      </c>
    </row>
    <row r="2133" spans="1:12" x14ac:dyDescent="0.25">
      <c r="A2133" s="30" t="s">
        <v>89</v>
      </c>
      <c r="B2133" s="19" t="s">
        <v>555</v>
      </c>
      <c r="C2133" s="19" t="s">
        <v>149</v>
      </c>
      <c r="D2133" s="16">
        <v>10900000</v>
      </c>
      <c r="E2133" s="17">
        <v>45566</v>
      </c>
      <c r="F2133" s="18">
        <f>MONTH(Data!$E2133)</f>
        <v>10</v>
      </c>
      <c r="G2133" s="16">
        <f>YEAR(Data!$E2133)</f>
        <v>2024</v>
      </c>
      <c r="H2133" s="15" t="s">
        <v>11</v>
      </c>
      <c r="I2133" s="15" t="str">
        <f t="shared" si="33"/>
        <v>Trường học</v>
      </c>
      <c r="J2133" s="15" t="s">
        <v>1284</v>
      </c>
      <c r="K2133" s="15" t="s">
        <v>1262</v>
      </c>
      <c r="L2133" s="32">
        <f>Data!$D2133/10^6</f>
        <v>10.9</v>
      </c>
    </row>
    <row r="2134" spans="1:12" x14ac:dyDescent="0.25">
      <c r="A2134" s="30" t="s">
        <v>17</v>
      </c>
      <c r="B2134" s="19" t="s">
        <v>554</v>
      </c>
      <c r="C2134" s="19" t="s">
        <v>10</v>
      </c>
      <c r="D2134" s="16">
        <v>39980000</v>
      </c>
      <c r="E2134" s="17">
        <v>45566</v>
      </c>
      <c r="F2134" s="18">
        <f>MONTH(Data!$E2134)</f>
        <v>10</v>
      </c>
      <c r="G2134" s="16">
        <f>YEAR(Data!$E2134)</f>
        <v>2024</v>
      </c>
      <c r="H2134" s="15" t="s">
        <v>11</v>
      </c>
      <c r="I2134" s="15" t="str">
        <f t="shared" si="33"/>
        <v>Trường học</v>
      </c>
      <c r="J2134" s="15" t="s">
        <v>1285</v>
      </c>
      <c r="K2134" s="15" t="s">
        <v>1262</v>
      </c>
      <c r="L2134" s="32">
        <f>Data!$D2134/10^6</f>
        <v>39.979999999999997</v>
      </c>
    </row>
    <row r="2135" spans="1:12" x14ac:dyDescent="0.25">
      <c r="A2135" s="30" t="s">
        <v>36</v>
      </c>
      <c r="B2135" s="19" t="s">
        <v>504</v>
      </c>
      <c r="C2135" s="19" t="s">
        <v>10</v>
      </c>
      <c r="D2135" s="16">
        <v>10636364</v>
      </c>
      <c r="E2135" s="17">
        <v>45566</v>
      </c>
      <c r="F2135" s="18">
        <f>MONTH(Data!$E2135)</f>
        <v>10</v>
      </c>
      <c r="G2135" s="16">
        <f>YEAR(Data!$E2135)</f>
        <v>2024</v>
      </c>
      <c r="H2135" s="15" t="s">
        <v>15</v>
      </c>
      <c r="I2135" s="15" t="str">
        <f t="shared" si="33"/>
        <v>Trường học</v>
      </c>
      <c r="J2135" s="15" t="s">
        <v>1284</v>
      </c>
      <c r="K2135" s="15" t="s">
        <v>1263</v>
      </c>
      <c r="L2135" s="32">
        <f>Data!$D2135/10^6</f>
        <v>10.636364</v>
      </c>
    </row>
    <row r="2136" spans="1:12" x14ac:dyDescent="0.25">
      <c r="A2136" s="30" t="s">
        <v>30</v>
      </c>
      <c r="B2136" s="19" t="s">
        <v>557</v>
      </c>
      <c r="C2136" s="19" t="s">
        <v>10</v>
      </c>
      <c r="D2136" s="16">
        <v>17370909</v>
      </c>
      <c r="E2136" s="17">
        <v>45566</v>
      </c>
      <c r="F2136" s="18">
        <f>MONTH(Data!$E2136)</f>
        <v>10</v>
      </c>
      <c r="G2136" s="16">
        <f>YEAR(Data!$E2136)</f>
        <v>2024</v>
      </c>
      <c r="H2136" s="15" t="s">
        <v>32</v>
      </c>
      <c r="I2136" s="15" t="str">
        <f t="shared" si="33"/>
        <v>Trường học</v>
      </c>
      <c r="J2136" s="15" t="s">
        <v>1285</v>
      </c>
      <c r="K2136" s="15" t="s">
        <v>1262</v>
      </c>
      <c r="L2136" s="32">
        <f>Data!$D2136/10^6</f>
        <v>17.370909000000001</v>
      </c>
    </row>
    <row r="2137" spans="1:12" x14ac:dyDescent="0.25">
      <c r="A2137" s="30" t="s">
        <v>30</v>
      </c>
      <c r="B2137" s="19" t="s">
        <v>514</v>
      </c>
      <c r="C2137" s="19" t="s">
        <v>14</v>
      </c>
      <c r="D2137" s="16">
        <v>29727273</v>
      </c>
      <c r="E2137" s="17">
        <v>45566</v>
      </c>
      <c r="F2137" s="18">
        <f>MONTH(Data!$E2137)</f>
        <v>10</v>
      </c>
      <c r="G2137" s="16">
        <f>YEAR(Data!$E2137)</f>
        <v>2024</v>
      </c>
      <c r="H2137" s="15" t="s">
        <v>32</v>
      </c>
      <c r="I2137" s="15" t="str">
        <f t="shared" si="33"/>
        <v>Trường học</v>
      </c>
      <c r="J2137" s="15" t="s">
        <v>1284</v>
      </c>
      <c r="K2137" s="15" t="s">
        <v>1275</v>
      </c>
      <c r="L2137" s="32">
        <f>Data!$D2137/10^6</f>
        <v>29.727273</v>
      </c>
    </row>
    <row r="2138" spans="1:12" x14ac:dyDescent="0.25">
      <c r="A2138" s="30" t="s">
        <v>30</v>
      </c>
      <c r="B2138" s="19" t="s">
        <v>514</v>
      </c>
      <c r="C2138" s="19" t="s">
        <v>14</v>
      </c>
      <c r="D2138" s="16">
        <v>31518182</v>
      </c>
      <c r="E2138" s="17">
        <v>45566</v>
      </c>
      <c r="F2138" s="18">
        <f>MONTH(Data!$E2138)</f>
        <v>10</v>
      </c>
      <c r="G2138" s="16">
        <f>YEAR(Data!$E2138)</f>
        <v>2024</v>
      </c>
      <c r="H2138" s="15" t="s">
        <v>32</v>
      </c>
      <c r="I2138" s="15" t="str">
        <f t="shared" si="33"/>
        <v>Trường học</v>
      </c>
      <c r="J2138" s="15" t="s">
        <v>1285</v>
      </c>
      <c r="K2138" s="15" t="s">
        <v>1275</v>
      </c>
      <c r="L2138" s="32">
        <f>Data!$D2138/10^6</f>
        <v>31.518181999999999</v>
      </c>
    </row>
    <row r="2139" spans="1:12" x14ac:dyDescent="0.25">
      <c r="A2139" s="30" t="s">
        <v>62</v>
      </c>
      <c r="B2139" s="19" t="s">
        <v>553</v>
      </c>
      <c r="C2139" s="19" t="s">
        <v>10</v>
      </c>
      <c r="D2139" s="16">
        <v>13738636</v>
      </c>
      <c r="E2139" s="17">
        <v>45566</v>
      </c>
      <c r="F2139" s="18">
        <f>MONTH(Data!$E2139)</f>
        <v>10</v>
      </c>
      <c r="G2139" s="16">
        <f>YEAR(Data!$E2139)</f>
        <v>2024</v>
      </c>
      <c r="H2139" s="15" t="s">
        <v>15</v>
      </c>
      <c r="I2139" s="15" t="str">
        <f t="shared" si="33"/>
        <v>Trường học</v>
      </c>
      <c r="J2139" s="15" t="s">
        <v>1284</v>
      </c>
      <c r="K2139" s="15" t="s">
        <v>1262</v>
      </c>
      <c r="L2139" s="32">
        <f>Data!$D2139/10^6</f>
        <v>13.738636</v>
      </c>
    </row>
    <row r="2140" spans="1:12" x14ac:dyDescent="0.25">
      <c r="A2140" s="30" t="s">
        <v>36</v>
      </c>
      <c r="B2140" s="19" t="s">
        <v>576</v>
      </c>
      <c r="C2140" s="19" t="s">
        <v>149</v>
      </c>
      <c r="D2140" s="16">
        <v>36750000</v>
      </c>
      <c r="E2140" s="17">
        <v>45566</v>
      </c>
      <c r="F2140" s="18">
        <f>MONTH(Data!$E2140)</f>
        <v>10</v>
      </c>
      <c r="G2140" s="16">
        <f>YEAR(Data!$E2140)</f>
        <v>2024</v>
      </c>
      <c r="H2140" s="15" t="s">
        <v>15</v>
      </c>
      <c r="I2140" s="15" t="str">
        <f t="shared" si="33"/>
        <v>Trường học</v>
      </c>
      <c r="J2140" s="15" t="s">
        <v>1285</v>
      </c>
      <c r="K2140" s="15" t="s">
        <v>1266</v>
      </c>
      <c r="L2140" s="32">
        <f>Data!$D2140/10^6</f>
        <v>36.75</v>
      </c>
    </row>
    <row r="2141" spans="1:12" x14ac:dyDescent="0.25">
      <c r="A2141" s="30" t="s">
        <v>43</v>
      </c>
      <c r="B2141" s="19" t="s">
        <v>585</v>
      </c>
      <c r="C2141" s="19" t="s">
        <v>14</v>
      </c>
      <c r="D2141" s="16">
        <v>280485123</v>
      </c>
      <c r="E2141" s="17">
        <v>45566</v>
      </c>
      <c r="F2141" s="18">
        <f>MONTH(Data!$E2141)</f>
        <v>10</v>
      </c>
      <c r="G2141" s="16">
        <f>YEAR(Data!$E2141)</f>
        <v>2024</v>
      </c>
      <c r="H2141" s="15" t="s">
        <v>35</v>
      </c>
      <c r="I2141" s="15" t="str">
        <f t="shared" si="33"/>
        <v>Trường học</v>
      </c>
      <c r="J2141" s="15" t="s">
        <v>1284</v>
      </c>
      <c r="K2141" s="15" t="s">
        <v>1264</v>
      </c>
      <c r="L2141" s="32">
        <f>Data!$D2141/10^6</f>
        <v>280.48512299999999</v>
      </c>
    </row>
    <row r="2142" spans="1:12" x14ac:dyDescent="0.25">
      <c r="A2142" s="30" t="s">
        <v>74</v>
      </c>
      <c r="B2142" s="19" t="s">
        <v>565</v>
      </c>
      <c r="C2142" s="19" t="s">
        <v>10</v>
      </c>
      <c r="D2142" s="16">
        <v>25252327</v>
      </c>
      <c r="E2142" s="17">
        <v>45566</v>
      </c>
      <c r="F2142" s="18">
        <f>MONTH(Data!$E2142)</f>
        <v>10</v>
      </c>
      <c r="G2142" s="16">
        <f>YEAR(Data!$E2142)</f>
        <v>2024</v>
      </c>
      <c r="H2142" s="15" t="s">
        <v>11</v>
      </c>
      <c r="I2142" s="15" t="str">
        <f t="shared" si="33"/>
        <v>Trường học</v>
      </c>
      <c r="J2142" s="15" t="s">
        <v>1285</v>
      </c>
      <c r="K2142" s="15" t="s">
        <v>1262</v>
      </c>
      <c r="L2142" s="32">
        <f>Data!$D2142/10^6</f>
        <v>25.252327000000001</v>
      </c>
    </row>
    <row r="2143" spans="1:12" x14ac:dyDescent="0.25">
      <c r="A2143" s="30" t="s">
        <v>43</v>
      </c>
      <c r="B2143" s="19" t="s">
        <v>581</v>
      </c>
      <c r="C2143" s="19" t="s">
        <v>14</v>
      </c>
      <c r="D2143" s="16">
        <v>130739862</v>
      </c>
      <c r="E2143" s="17">
        <v>45566</v>
      </c>
      <c r="F2143" s="18">
        <f>MONTH(Data!$E2143)</f>
        <v>10</v>
      </c>
      <c r="G2143" s="16">
        <f>YEAR(Data!$E2143)</f>
        <v>2024</v>
      </c>
      <c r="H2143" s="15" t="s">
        <v>35</v>
      </c>
      <c r="I2143" s="15" t="str">
        <f t="shared" si="33"/>
        <v>Trường học</v>
      </c>
      <c r="J2143" s="15" t="s">
        <v>1284</v>
      </c>
      <c r="K2143" s="15" t="s">
        <v>1264</v>
      </c>
      <c r="L2143" s="32">
        <f>Data!$D2143/10^6</f>
        <v>130.73986199999999</v>
      </c>
    </row>
    <row r="2144" spans="1:12" x14ac:dyDescent="0.25">
      <c r="A2144" s="30" t="s">
        <v>74</v>
      </c>
      <c r="B2144" s="19" t="s">
        <v>159</v>
      </c>
      <c r="C2144" s="19" t="s">
        <v>149</v>
      </c>
      <c r="D2144" s="16">
        <v>32141236</v>
      </c>
      <c r="E2144" s="17">
        <v>45566</v>
      </c>
      <c r="F2144" s="18">
        <f>MONTH(Data!$E2144)</f>
        <v>10</v>
      </c>
      <c r="G2144" s="16">
        <f>YEAR(Data!$E2144)</f>
        <v>2024</v>
      </c>
      <c r="H2144" s="15" t="s">
        <v>11</v>
      </c>
      <c r="I2144" s="15" t="str">
        <f t="shared" si="33"/>
        <v>Trường học</v>
      </c>
      <c r="J2144" s="15" t="s">
        <v>1285</v>
      </c>
      <c r="K2144" s="15" t="s">
        <v>1263</v>
      </c>
      <c r="L2144" s="32">
        <f>Data!$D2144/10^6</f>
        <v>32.141235999999999</v>
      </c>
    </row>
    <row r="2145" spans="1:12" x14ac:dyDescent="0.25">
      <c r="A2145" s="30" t="s">
        <v>74</v>
      </c>
      <c r="B2145" s="19" t="s">
        <v>536</v>
      </c>
      <c r="C2145" s="19" t="s">
        <v>10</v>
      </c>
      <c r="D2145" s="16">
        <v>80000000</v>
      </c>
      <c r="E2145" s="17">
        <v>45566</v>
      </c>
      <c r="F2145" s="18">
        <f>MONTH(Data!$E2145)</f>
        <v>10</v>
      </c>
      <c r="G2145" s="16">
        <f>YEAR(Data!$E2145)</f>
        <v>2024</v>
      </c>
      <c r="H2145" s="15" t="s">
        <v>11</v>
      </c>
      <c r="I2145" s="15" t="str">
        <f t="shared" si="33"/>
        <v>Trường học</v>
      </c>
      <c r="J2145" s="15" t="s">
        <v>1284</v>
      </c>
      <c r="K2145" s="15" t="s">
        <v>1267</v>
      </c>
      <c r="L2145" s="32">
        <f>Data!$D2145/10^6</f>
        <v>80</v>
      </c>
    </row>
    <row r="2146" spans="1:12" x14ac:dyDescent="0.25">
      <c r="A2146" s="30" t="s">
        <v>72</v>
      </c>
      <c r="B2146" s="19" t="s">
        <v>112</v>
      </c>
      <c r="C2146" s="19" t="s">
        <v>10</v>
      </c>
      <c r="D2146" s="16">
        <v>964209400</v>
      </c>
      <c r="E2146" s="17">
        <v>45597</v>
      </c>
      <c r="F2146" s="18">
        <f>MONTH(Data!$E2146)</f>
        <v>11</v>
      </c>
      <c r="G2146" s="16">
        <f>YEAR(Data!$E2146)</f>
        <v>2024</v>
      </c>
      <c r="H2146" s="15" t="s">
        <v>22</v>
      </c>
      <c r="I2146" s="15" t="str">
        <f t="shared" si="33"/>
        <v>Bệnh viện</v>
      </c>
      <c r="J2146" s="15" t="s">
        <v>1285</v>
      </c>
      <c r="K2146" s="15" t="s">
        <v>1280</v>
      </c>
      <c r="L2146" s="32">
        <f>Data!$D2146/10^6</f>
        <v>964.20939999999996</v>
      </c>
    </row>
    <row r="2147" spans="1:12" x14ac:dyDescent="0.25">
      <c r="A2147" s="30" t="s">
        <v>30</v>
      </c>
      <c r="B2147" s="19" t="s">
        <v>607</v>
      </c>
      <c r="C2147" s="19" t="s">
        <v>10</v>
      </c>
      <c r="D2147" s="16">
        <v>8909091</v>
      </c>
      <c r="E2147" s="17">
        <v>45597</v>
      </c>
      <c r="F2147" s="18">
        <f>MONTH(Data!$E2147)</f>
        <v>11</v>
      </c>
      <c r="G2147" s="16">
        <f>YEAR(Data!$E2147)</f>
        <v>2024</v>
      </c>
      <c r="H2147" s="15" t="s">
        <v>32</v>
      </c>
      <c r="I2147" s="15" t="str">
        <f t="shared" si="33"/>
        <v>Bệnh viện</v>
      </c>
      <c r="J2147" s="15" t="s">
        <v>1284</v>
      </c>
      <c r="K2147" s="15" t="s">
        <v>1262</v>
      </c>
      <c r="L2147" s="32">
        <f>Data!$D2147/10^6</f>
        <v>8.9090910000000001</v>
      </c>
    </row>
    <row r="2148" spans="1:12" x14ac:dyDescent="0.25">
      <c r="A2148" s="30" t="s">
        <v>8</v>
      </c>
      <c r="B2148" s="19" t="s">
        <v>611</v>
      </c>
      <c r="C2148" s="19" t="s">
        <v>10</v>
      </c>
      <c r="D2148" s="16">
        <v>35938182</v>
      </c>
      <c r="E2148" s="17">
        <v>45597</v>
      </c>
      <c r="F2148" s="18">
        <f>MONTH(Data!$E2148)</f>
        <v>11</v>
      </c>
      <c r="G2148" s="16">
        <f>YEAR(Data!$E2148)</f>
        <v>2024</v>
      </c>
      <c r="H2148" s="15" t="s">
        <v>11</v>
      </c>
      <c r="I2148" s="15" t="str">
        <f t="shared" si="33"/>
        <v>Bệnh viện</v>
      </c>
      <c r="J2148" s="15" t="s">
        <v>1285</v>
      </c>
      <c r="K2148" s="15" t="s">
        <v>1262</v>
      </c>
      <c r="L2148" s="32">
        <f>Data!$D2148/10^6</f>
        <v>35.938181999999998</v>
      </c>
    </row>
    <row r="2149" spans="1:12" x14ac:dyDescent="0.25">
      <c r="A2149" s="30" t="s">
        <v>107</v>
      </c>
      <c r="B2149" s="15" t="s">
        <v>1049</v>
      </c>
      <c r="C2149" s="19" t="s">
        <v>46</v>
      </c>
      <c r="D2149" s="16">
        <v>2324028867</v>
      </c>
      <c r="E2149" s="17">
        <v>45597</v>
      </c>
      <c r="F2149" s="18">
        <f>MONTH(Data!$E2149)</f>
        <v>11</v>
      </c>
      <c r="G2149" s="16">
        <f>YEAR(Data!$E2149)</f>
        <v>2024</v>
      </c>
      <c r="H2149" s="15" t="s">
        <v>42</v>
      </c>
      <c r="I2149" s="15" t="str">
        <f t="shared" si="33"/>
        <v>Doanh nghiệp</v>
      </c>
      <c r="J2149" s="15" t="s">
        <v>1284</v>
      </c>
      <c r="K2149" s="15" t="s">
        <v>1265</v>
      </c>
      <c r="L2149" s="32">
        <f>Data!$D2149/10^6</f>
        <v>2324.028867</v>
      </c>
    </row>
    <row r="2150" spans="1:12" x14ac:dyDescent="0.25">
      <c r="A2150" s="30" t="s">
        <v>107</v>
      </c>
      <c r="B2150" s="15" t="s">
        <v>1050</v>
      </c>
      <c r="C2150" s="19" t="s">
        <v>149</v>
      </c>
      <c r="D2150" s="16">
        <v>942257509</v>
      </c>
      <c r="E2150" s="17">
        <v>45597</v>
      </c>
      <c r="F2150" s="18">
        <f>MONTH(Data!$E2150)</f>
        <v>11</v>
      </c>
      <c r="G2150" s="16">
        <f>YEAR(Data!$E2150)</f>
        <v>2024</v>
      </c>
      <c r="H2150" s="15" t="s">
        <v>42</v>
      </c>
      <c r="I2150" s="15" t="str">
        <f t="shared" si="33"/>
        <v>Doanh nghiệp</v>
      </c>
      <c r="J2150" s="15" t="s">
        <v>1285</v>
      </c>
      <c r="K2150" s="15" t="s">
        <v>1265</v>
      </c>
      <c r="L2150" s="32">
        <f>Data!$D2150/10^6</f>
        <v>942.25750900000003</v>
      </c>
    </row>
    <row r="2151" spans="1:12" x14ac:dyDescent="0.25">
      <c r="A2151" s="30" t="s">
        <v>50</v>
      </c>
      <c r="B2151" s="15" t="s">
        <v>1051</v>
      </c>
      <c r="C2151" s="19" t="s">
        <v>14</v>
      </c>
      <c r="D2151" s="16">
        <v>12545455</v>
      </c>
      <c r="E2151" s="17">
        <v>45597</v>
      </c>
      <c r="F2151" s="18">
        <f>MONTH(Data!$E2151)</f>
        <v>11</v>
      </c>
      <c r="G2151" s="16">
        <f>YEAR(Data!$E2151)</f>
        <v>2024</v>
      </c>
      <c r="H2151" s="15" t="s">
        <v>35</v>
      </c>
      <c r="I2151" s="15" t="str">
        <f t="shared" si="33"/>
        <v>Doanh nghiệp</v>
      </c>
      <c r="J2151" s="15" t="s">
        <v>1284</v>
      </c>
      <c r="K2151" s="15" t="s">
        <v>1264</v>
      </c>
      <c r="L2151" s="32">
        <f>Data!$D2151/10^6</f>
        <v>12.545455</v>
      </c>
    </row>
    <row r="2152" spans="1:12" x14ac:dyDescent="0.25">
      <c r="A2152" s="30" t="s">
        <v>157</v>
      </c>
      <c r="B2152" s="15" t="s">
        <v>1059</v>
      </c>
      <c r="C2152" s="19" t="s">
        <v>46</v>
      </c>
      <c r="D2152" s="16">
        <v>1439111000</v>
      </c>
      <c r="E2152" s="17">
        <v>45597</v>
      </c>
      <c r="F2152" s="18">
        <f>MONTH(Data!$E2152)</f>
        <v>11</v>
      </c>
      <c r="G2152" s="16">
        <f>YEAR(Data!$E2152)</f>
        <v>2024</v>
      </c>
      <c r="H2152" s="15" t="s">
        <v>32</v>
      </c>
      <c r="I2152" s="15" t="str">
        <f t="shared" si="33"/>
        <v>Doanh nghiệp</v>
      </c>
      <c r="J2152" s="15" t="s">
        <v>1285</v>
      </c>
      <c r="K2152" s="15" t="s">
        <v>1265</v>
      </c>
      <c r="L2152" s="32">
        <f>Data!$D2152/10^6</f>
        <v>1439.1110000000001</v>
      </c>
    </row>
    <row r="2153" spans="1:12" x14ac:dyDescent="0.25">
      <c r="A2153" s="30" t="s">
        <v>85</v>
      </c>
      <c r="B2153" s="15" t="s">
        <v>1049</v>
      </c>
      <c r="C2153" s="19" t="s">
        <v>46</v>
      </c>
      <c r="D2153" s="16">
        <v>297462597</v>
      </c>
      <c r="E2153" s="17">
        <v>45597</v>
      </c>
      <c r="F2153" s="18">
        <f>MONTH(Data!$E2153)</f>
        <v>11</v>
      </c>
      <c r="G2153" s="16">
        <f>YEAR(Data!$E2153)</f>
        <v>2024</v>
      </c>
      <c r="H2153" s="15" t="s">
        <v>15</v>
      </c>
      <c r="I2153" s="15" t="str">
        <f t="shared" si="33"/>
        <v>Doanh nghiệp</v>
      </c>
      <c r="J2153" s="15" t="s">
        <v>1284</v>
      </c>
      <c r="K2153" s="15" t="s">
        <v>1265</v>
      </c>
      <c r="L2153" s="32">
        <f>Data!$D2153/10^6</f>
        <v>297.46259700000002</v>
      </c>
    </row>
    <row r="2154" spans="1:12" x14ac:dyDescent="0.25">
      <c r="A2154" s="30" t="s">
        <v>45</v>
      </c>
      <c r="B2154" s="15" t="s">
        <v>1038</v>
      </c>
      <c r="C2154" s="19" t="s">
        <v>10</v>
      </c>
      <c r="D2154" s="16">
        <v>65550000</v>
      </c>
      <c r="E2154" s="17">
        <v>45597</v>
      </c>
      <c r="F2154" s="18">
        <f>MONTH(Data!$E2154)</f>
        <v>11</v>
      </c>
      <c r="G2154" s="16">
        <f>YEAR(Data!$E2154)</f>
        <v>2024</v>
      </c>
      <c r="H2154" s="15" t="s">
        <v>29</v>
      </c>
      <c r="I2154" s="15" t="str">
        <f t="shared" si="33"/>
        <v>Doanh nghiệp</v>
      </c>
      <c r="J2154" s="15" t="s">
        <v>1285</v>
      </c>
      <c r="K2154" s="15" t="s">
        <v>1262</v>
      </c>
      <c r="L2154" s="32">
        <f>Data!$D2154/10^6</f>
        <v>65.55</v>
      </c>
    </row>
    <row r="2155" spans="1:12" x14ac:dyDescent="0.25">
      <c r="A2155" s="30" t="s">
        <v>23</v>
      </c>
      <c r="B2155" s="15" t="s">
        <v>1055</v>
      </c>
      <c r="C2155" s="19" t="s">
        <v>46</v>
      </c>
      <c r="D2155" s="16">
        <v>47536636</v>
      </c>
      <c r="E2155" s="17">
        <v>45597</v>
      </c>
      <c r="F2155" s="18">
        <f>MONTH(Data!$E2155)</f>
        <v>11</v>
      </c>
      <c r="G2155" s="16">
        <f>YEAR(Data!$E2155)</f>
        <v>2024</v>
      </c>
      <c r="H2155" s="15" t="s">
        <v>25</v>
      </c>
      <c r="I2155" s="15" t="str">
        <f t="shared" si="33"/>
        <v>Doanh nghiệp</v>
      </c>
      <c r="J2155" s="15" t="s">
        <v>1284</v>
      </c>
      <c r="K2155" s="15" t="s">
        <v>1265</v>
      </c>
      <c r="L2155" s="32">
        <f>Data!$D2155/10^6</f>
        <v>47.536636000000001</v>
      </c>
    </row>
    <row r="2156" spans="1:12" x14ac:dyDescent="0.25">
      <c r="A2156" s="30" t="s">
        <v>209</v>
      </c>
      <c r="B2156" s="15" t="s">
        <v>1060</v>
      </c>
      <c r="C2156" s="19" t="s">
        <v>14</v>
      </c>
      <c r="D2156" s="16">
        <v>706406337</v>
      </c>
      <c r="E2156" s="17">
        <v>45597</v>
      </c>
      <c r="F2156" s="18">
        <f>MONTH(Data!$E2156)</f>
        <v>11</v>
      </c>
      <c r="G2156" s="16">
        <f>YEAR(Data!$E2156)</f>
        <v>2024</v>
      </c>
      <c r="H2156" s="15" t="s">
        <v>32</v>
      </c>
      <c r="I2156" s="15" t="str">
        <f t="shared" si="33"/>
        <v>Doanh nghiệp</v>
      </c>
      <c r="J2156" s="15" t="s">
        <v>1285</v>
      </c>
      <c r="K2156" s="15" t="s">
        <v>1264</v>
      </c>
      <c r="L2156" s="32">
        <f>Data!$D2156/10^6</f>
        <v>706.40633700000001</v>
      </c>
    </row>
    <row r="2157" spans="1:12" x14ac:dyDescent="0.25">
      <c r="A2157" s="30" t="s">
        <v>52</v>
      </c>
      <c r="B2157" s="15" t="s">
        <v>1085</v>
      </c>
      <c r="C2157" s="19" t="s">
        <v>10</v>
      </c>
      <c r="D2157" s="16">
        <v>232450000</v>
      </c>
      <c r="E2157" s="17">
        <v>45597</v>
      </c>
      <c r="F2157" s="18">
        <f>MONTH(Data!$E2157)</f>
        <v>11</v>
      </c>
      <c r="G2157" s="16">
        <f>YEAR(Data!$E2157)</f>
        <v>2024</v>
      </c>
      <c r="H2157" s="15" t="s">
        <v>35</v>
      </c>
      <c r="I2157" s="15" t="str">
        <f t="shared" si="33"/>
        <v>Doanh nghiệp</v>
      </c>
      <c r="J2157" s="15" t="s">
        <v>1284</v>
      </c>
      <c r="K2157" s="15" t="s">
        <v>1267</v>
      </c>
      <c r="L2157" s="32">
        <f>Data!$D2157/10^6</f>
        <v>232.45</v>
      </c>
    </row>
    <row r="2158" spans="1:12" x14ac:dyDescent="0.25">
      <c r="A2158" s="30" t="s">
        <v>52</v>
      </c>
      <c r="B2158" s="15" t="s">
        <v>1086</v>
      </c>
      <c r="C2158" s="19" t="s">
        <v>10</v>
      </c>
      <c r="D2158" s="16">
        <v>329150000</v>
      </c>
      <c r="E2158" s="17">
        <v>45597</v>
      </c>
      <c r="F2158" s="18">
        <f>MONTH(Data!$E2158)</f>
        <v>11</v>
      </c>
      <c r="G2158" s="16">
        <f>YEAR(Data!$E2158)</f>
        <v>2024</v>
      </c>
      <c r="H2158" s="15" t="s">
        <v>35</v>
      </c>
      <c r="I2158" s="15" t="str">
        <f t="shared" si="33"/>
        <v>Doanh nghiệp</v>
      </c>
      <c r="J2158" s="15" t="s">
        <v>1285</v>
      </c>
      <c r="K2158" s="15" t="s">
        <v>1267</v>
      </c>
      <c r="L2158" s="32">
        <f>Data!$D2158/10^6</f>
        <v>329.15</v>
      </c>
    </row>
    <row r="2159" spans="1:12" x14ac:dyDescent="0.25">
      <c r="A2159" s="30" t="s">
        <v>59</v>
      </c>
      <c r="B2159" s="15" t="s">
        <v>1107</v>
      </c>
      <c r="C2159" s="19" t="s">
        <v>14</v>
      </c>
      <c r="D2159" s="16">
        <v>42499545</v>
      </c>
      <c r="E2159" s="17">
        <v>45597</v>
      </c>
      <c r="F2159" s="18">
        <f>MONTH(Data!$E2159)</f>
        <v>11</v>
      </c>
      <c r="G2159" s="16">
        <f>YEAR(Data!$E2159)</f>
        <v>2024</v>
      </c>
      <c r="H2159" s="15" t="s">
        <v>22</v>
      </c>
      <c r="I2159" s="15" t="str">
        <f t="shared" si="33"/>
        <v>Doanh nghiệp</v>
      </c>
      <c r="J2159" s="15" t="s">
        <v>1284</v>
      </c>
      <c r="K2159" s="15" t="s">
        <v>1264</v>
      </c>
      <c r="L2159" s="32">
        <f>Data!$D2159/10^6</f>
        <v>42.499544999999998</v>
      </c>
    </row>
    <row r="2160" spans="1:12" x14ac:dyDescent="0.25">
      <c r="A2160" s="30" t="s">
        <v>74</v>
      </c>
      <c r="B2160" s="15" t="s">
        <v>1110</v>
      </c>
      <c r="C2160" s="19" t="s">
        <v>14</v>
      </c>
      <c r="D2160" s="16">
        <v>37407273</v>
      </c>
      <c r="E2160" s="17">
        <v>45597</v>
      </c>
      <c r="F2160" s="18">
        <f>MONTH(Data!$E2160)</f>
        <v>11</v>
      </c>
      <c r="G2160" s="16">
        <f>YEAR(Data!$E2160)</f>
        <v>2024</v>
      </c>
      <c r="H2160" s="15" t="s">
        <v>11</v>
      </c>
      <c r="I2160" s="15" t="str">
        <f t="shared" si="33"/>
        <v>Doanh nghiệp</v>
      </c>
      <c r="J2160" s="15" t="s">
        <v>1285</v>
      </c>
      <c r="K2160" s="15" t="s">
        <v>1264</v>
      </c>
      <c r="L2160" s="32">
        <f>Data!$D2160/10^6</f>
        <v>37.407273000000004</v>
      </c>
    </row>
    <row r="2161" spans="1:12" x14ac:dyDescent="0.25">
      <c r="A2161" s="30" t="s">
        <v>89</v>
      </c>
      <c r="B2161" s="15" t="s">
        <v>1066</v>
      </c>
      <c r="C2161" s="15" t="s">
        <v>10</v>
      </c>
      <c r="D2161" s="16">
        <v>288176458</v>
      </c>
      <c r="E2161" s="17">
        <v>45597</v>
      </c>
      <c r="F2161" s="18">
        <f>MONTH(Data!$E2161)</f>
        <v>11</v>
      </c>
      <c r="G2161" s="16">
        <f>YEAR(Data!$E2161)</f>
        <v>2024</v>
      </c>
      <c r="H2161" s="15" t="s">
        <v>11</v>
      </c>
      <c r="I2161" s="15" t="str">
        <f t="shared" si="33"/>
        <v>Doanh nghiệp</v>
      </c>
      <c r="J2161" s="15" t="s">
        <v>1284</v>
      </c>
      <c r="K2161" s="15" t="s">
        <v>1262</v>
      </c>
      <c r="L2161" s="32">
        <f>Data!$D2161/10^6</f>
        <v>288.17645800000003</v>
      </c>
    </row>
    <row r="2162" spans="1:12" x14ac:dyDescent="0.25">
      <c r="A2162" s="30" t="s">
        <v>43</v>
      </c>
      <c r="B2162" s="15" t="s">
        <v>1094</v>
      </c>
      <c r="C2162" s="19" t="s">
        <v>46</v>
      </c>
      <c r="D2162" s="16">
        <v>17456341286</v>
      </c>
      <c r="E2162" s="17">
        <v>45597</v>
      </c>
      <c r="F2162" s="18">
        <f>MONTH(Data!$E2162)</f>
        <v>11</v>
      </c>
      <c r="G2162" s="16">
        <f>YEAR(Data!$E2162)</f>
        <v>2024</v>
      </c>
      <c r="H2162" s="15" t="s">
        <v>35</v>
      </c>
      <c r="I2162" s="15" t="str">
        <f t="shared" si="33"/>
        <v>Doanh nghiệp</v>
      </c>
      <c r="J2162" s="15" t="s">
        <v>1285</v>
      </c>
      <c r="K2162" s="15" t="s">
        <v>1265</v>
      </c>
      <c r="L2162" s="32">
        <f>Data!$D2162/10^6</f>
        <v>17456.341285999999</v>
      </c>
    </row>
    <row r="2163" spans="1:12" x14ac:dyDescent="0.25">
      <c r="A2163" s="30" t="s">
        <v>74</v>
      </c>
      <c r="B2163" s="15" t="s">
        <v>1117</v>
      </c>
      <c r="C2163" s="19" t="s">
        <v>149</v>
      </c>
      <c r="D2163" s="16">
        <v>160078300</v>
      </c>
      <c r="E2163" s="17">
        <v>45597</v>
      </c>
      <c r="F2163" s="18">
        <f>MONTH(Data!$E2163)</f>
        <v>11</v>
      </c>
      <c r="G2163" s="16">
        <f>YEAR(Data!$E2163)</f>
        <v>2024</v>
      </c>
      <c r="H2163" s="15" t="s">
        <v>11</v>
      </c>
      <c r="I2163" s="15" t="str">
        <f t="shared" si="33"/>
        <v>Doanh nghiệp</v>
      </c>
      <c r="J2163" s="15" t="s">
        <v>1284</v>
      </c>
      <c r="K2163" s="15" t="s">
        <v>1263</v>
      </c>
      <c r="L2163" s="32">
        <f>Data!$D2163/10^6</f>
        <v>160.07830000000001</v>
      </c>
    </row>
    <row r="2164" spans="1:12" x14ac:dyDescent="0.25">
      <c r="A2164" s="30" t="s">
        <v>74</v>
      </c>
      <c r="B2164" s="15" t="s">
        <v>1118</v>
      </c>
      <c r="C2164" s="19" t="s">
        <v>14</v>
      </c>
      <c r="D2164" s="16">
        <v>74439214</v>
      </c>
      <c r="E2164" s="17">
        <v>45597</v>
      </c>
      <c r="F2164" s="18">
        <f>MONTH(Data!$E2164)</f>
        <v>11</v>
      </c>
      <c r="G2164" s="16">
        <f>YEAR(Data!$E2164)</f>
        <v>2024</v>
      </c>
      <c r="H2164" s="15" t="s">
        <v>11</v>
      </c>
      <c r="I2164" s="15" t="str">
        <f t="shared" si="33"/>
        <v>Doanh nghiệp</v>
      </c>
      <c r="J2164" s="15" t="s">
        <v>1285</v>
      </c>
      <c r="K2164" s="15" t="s">
        <v>1266</v>
      </c>
      <c r="L2164" s="32">
        <f>Data!$D2164/10^6</f>
        <v>74.439214000000007</v>
      </c>
    </row>
    <row r="2165" spans="1:12" x14ac:dyDescent="0.25">
      <c r="A2165" s="30" t="s">
        <v>56</v>
      </c>
      <c r="B2165" s="15" t="s">
        <v>1035</v>
      </c>
      <c r="C2165" s="19" t="s">
        <v>14</v>
      </c>
      <c r="D2165" s="16">
        <v>310485455</v>
      </c>
      <c r="E2165" s="17">
        <v>45597</v>
      </c>
      <c r="F2165" s="18">
        <f>MONTH(Data!$E2165)</f>
        <v>11</v>
      </c>
      <c r="G2165" s="16">
        <f>YEAR(Data!$E2165)</f>
        <v>2024</v>
      </c>
      <c r="H2165" s="15" t="s">
        <v>25</v>
      </c>
      <c r="I2165" s="15" t="str">
        <f t="shared" si="33"/>
        <v>Doanh nghiệp</v>
      </c>
      <c r="J2165" s="15" t="s">
        <v>1284</v>
      </c>
      <c r="K2165" s="15" t="s">
        <v>1273</v>
      </c>
      <c r="L2165" s="32">
        <f>Data!$D2165/10^6</f>
        <v>310.485455</v>
      </c>
    </row>
    <row r="2166" spans="1:12" x14ac:dyDescent="0.25">
      <c r="A2166" s="30" t="s">
        <v>23</v>
      </c>
      <c r="B2166" s="15" t="s">
        <v>1041</v>
      </c>
      <c r="C2166" s="19" t="s">
        <v>149</v>
      </c>
      <c r="D2166" s="16">
        <v>25463636</v>
      </c>
      <c r="E2166" s="17">
        <v>45597</v>
      </c>
      <c r="F2166" s="18">
        <f>MONTH(Data!$E2166)</f>
        <v>11</v>
      </c>
      <c r="G2166" s="16">
        <f>YEAR(Data!$E2166)</f>
        <v>2024</v>
      </c>
      <c r="H2166" s="15" t="s">
        <v>25</v>
      </c>
      <c r="I2166" s="15" t="str">
        <f t="shared" si="33"/>
        <v>Doanh nghiệp</v>
      </c>
      <c r="J2166" s="15" t="s">
        <v>1285</v>
      </c>
      <c r="K2166" s="15" t="s">
        <v>1262</v>
      </c>
      <c r="L2166" s="32">
        <f>Data!$D2166/10^6</f>
        <v>25.463636000000001</v>
      </c>
    </row>
    <row r="2167" spans="1:12" x14ac:dyDescent="0.25">
      <c r="A2167" s="30" t="s">
        <v>21</v>
      </c>
      <c r="B2167" s="15" t="s">
        <v>1070</v>
      </c>
      <c r="C2167" s="19" t="s">
        <v>46</v>
      </c>
      <c r="D2167" s="16">
        <v>293385000</v>
      </c>
      <c r="E2167" s="17">
        <v>45597</v>
      </c>
      <c r="F2167" s="18">
        <f>MONTH(Data!$E2167)</f>
        <v>11</v>
      </c>
      <c r="G2167" s="16">
        <f>YEAR(Data!$E2167)</f>
        <v>2024</v>
      </c>
      <c r="H2167" s="15" t="s">
        <v>22</v>
      </c>
      <c r="I2167" s="15" t="str">
        <f t="shared" si="33"/>
        <v>Doanh nghiệp</v>
      </c>
      <c r="J2167" s="15" t="s">
        <v>1284</v>
      </c>
      <c r="K2167" s="15" t="s">
        <v>1265</v>
      </c>
      <c r="L2167" s="32">
        <f>Data!$D2167/10^6</f>
        <v>293.38499999999999</v>
      </c>
    </row>
    <row r="2168" spans="1:12" x14ac:dyDescent="0.25">
      <c r="A2168" s="30" t="s">
        <v>74</v>
      </c>
      <c r="B2168" s="15" t="s">
        <v>1090</v>
      </c>
      <c r="C2168" s="19" t="s">
        <v>10</v>
      </c>
      <c r="D2168" s="16">
        <v>408031122</v>
      </c>
      <c r="E2168" s="17">
        <v>45597</v>
      </c>
      <c r="F2168" s="18">
        <f>MONTH(Data!$E2168)</f>
        <v>11</v>
      </c>
      <c r="G2168" s="16">
        <f>YEAR(Data!$E2168)</f>
        <v>2024</v>
      </c>
      <c r="H2168" s="15" t="s">
        <v>11</v>
      </c>
      <c r="I2168" s="15" t="str">
        <f t="shared" si="33"/>
        <v>Doanh nghiệp</v>
      </c>
      <c r="J2168" s="15" t="s">
        <v>1285</v>
      </c>
      <c r="K2168" s="15" t="s">
        <v>1263</v>
      </c>
      <c r="L2168" s="32">
        <f>Data!$D2168/10^6</f>
        <v>408.03112199999998</v>
      </c>
    </row>
    <row r="2169" spans="1:12" x14ac:dyDescent="0.25">
      <c r="A2169" s="30" t="s">
        <v>48</v>
      </c>
      <c r="B2169" s="15" t="s">
        <v>1091</v>
      </c>
      <c r="C2169" s="19" t="s">
        <v>149</v>
      </c>
      <c r="D2169" s="16">
        <v>6381818</v>
      </c>
      <c r="E2169" s="17">
        <v>45597</v>
      </c>
      <c r="F2169" s="18">
        <f>MONTH(Data!$E2169)</f>
        <v>11</v>
      </c>
      <c r="G2169" s="16">
        <f>YEAR(Data!$E2169)</f>
        <v>2024</v>
      </c>
      <c r="H2169" s="15" t="s">
        <v>25</v>
      </c>
      <c r="I2169" s="15" t="str">
        <f t="shared" si="33"/>
        <v>Doanh nghiệp</v>
      </c>
      <c r="J2169" s="15" t="s">
        <v>1284</v>
      </c>
      <c r="K2169" s="15" t="s">
        <v>1264</v>
      </c>
      <c r="L2169" s="32">
        <f>Data!$D2169/10^6</f>
        <v>6.381818</v>
      </c>
    </row>
    <row r="2170" spans="1:12" x14ac:dyDescent="0.25">
      <c r="A2170" s="30" t="s">
        <v>100</v>
      </c>
      <c r="B2170" s="15" t="s">
        <v>1114</v>
      </c>
      <c r="C2170" s="19" t="s">
        <v>14</v>
      </c>
      <c r="D2170" s="16">
        <v>18026852078</v>
      </c>
      <c r="E2170" s="17">
        <v>45597</v>
      </c>
      <c r="F2170" s="18">
        <f>MONTH(Data!$E2170)</f>
        <v>11</v>
      </c>
      <c r="G2170" s="16">
        <f>YEAR(Data!$E2170)</f>
        <v>2024</v>
      </c>
      <c r="H2170" s="15" t="s">
        <v>42</v>
      </c>
      <c r="I2170" s="15" t="str">
        <f t="shared" si="33"/>
        <v>Doanh nghiệp</v>
      </c>
      <c r="J2170" s="15" t="s">
        <v>1285</v>
      </c>
      <c r="K2170" s="15" t="s">
        <v>1266</v>
      </c>
      <c r="L2170" s="32">
        <f>Data!$D2170/10^6</f>
        <v>18026.852078</v>
      </c>
    </row>
    <row r="2171" spans="1:12" x14ac:dyDescent="0.25">
      <c r="A2171" s="30" t="s">
        <v>30</v>
      </c>
      <c r="B2171" s="15" t="s">
        <v>1119</v>
      </c>
      <c r="C2171" s="19" t="s">
        <v>46</v>
      </c>
      <c r="D2171" s="16">
        <v>74545455</v>
      </c>
      <c r="E2171" s="17">
        <v>45597</v>
      </c>
      <c r="F2171" s="18">
        <f>MONTH(Data!$E2171)</f>
        <v>11</v>
      </c>
      <c r="G2171" s="16">
        <f>YEAR(Data!$E2171)</f>
        <v>2024</v>
      </c>
      <c r="H2171" s="15" t="s">
        <v>32</v>
      </c>
      <c r="I2171" s="15" t="str">
        <f t="shared" si="33"/>
        <v>Doanh nghiệp</v>
      </c>
      <c r="J2171" s="15" t="s">
        <v>1284</v>
      </c>
      <c r="K2171" s="15" t="s">
        <v>1265</v>
      </c>
      <c r="L2171" s="32">
        <f>Data!$D2171/10^6</f>
        <v>74.545455000000004</v>
      </c>
    </row>
    <row r="2172" spans="1:12" x14ac:dyDescent="0.25">
      <c r="A2172" s="30" t="s">
        <v>30</v>
      </c>
      <c r="B2172" s="15" t="s">
        <v>1030</v>
      </c>
      <c r="C2172" s="19" t="s">
        <v>10</v>
      </c>
      <c r="D2172" s="16">
        <v>22965455</v>
      </c>
      <c r="E2172" s="17">
        <v>45597</v>
      </c>
      <c r="F2172" s="18">
        <f>MONTH(Data!$E2172)</f>
        <v>11</v>
      </c>
      <c r="G2172" s="16">
        <f>YEAR(Data!$E2172)</f>
        <v>2024</v>
      </c>
      <c r="H2172" s="15" t="s">
        <v>32</v>
      </c>
      <c r="I2172" s="15" t="str">
        <f t="shared" si="33"/>
        <v>Doanh nghiệp</v>
      </c>
      <c r="J2172" s="15" t="s">
        <v>1285</v>
      </c>
      <c r="K2172" s="15" t="s">
        <v>1263</v>
      </c>
      <c r="L2172" s="32">
        <f>Data!$D2172/10^6</f>
        <v>22.965454999999999</v>
      </c>
    </row>
    <row r="2173" spans="1:12" x14ac:dyDescent="0.25">
      <c r="A2173" s="30" t="s">
        <v>36</v>
      </c>
      <c r="B2173" s="15" t="s">
        <v>1031</v>
      </c>
      <c r="C2173" s="19" t="s">
        <v>10</v>
      </c>
      <c r="D2173" s="16">
        <v>127841818</v>
      </c>
      <c r="E2173" s="17">
        <v>45597</v>
      </c>
      <c r="F2173" s="18">
        <f>MONTH(Data!$E2173)</f>
        <v>11</v>
      </c>
      <c r="G2173" s="16">
        <f>YEAR(Data!$E2173)</f>
        <v>2024</v>
      </c>
      <c r="H2173" s="15" t="s">
        <v>15</v>
      </c>
      <c r="I2173" s="15" t="str">
        <f t="shared" si="33"/>
        <v>Doanh nghiệp</v>
      </c>
      <c r="J2173" s="15" t="s">
        <v>1284</v>
      </c>
      <c r="K2173" s="15" t="s">
        <v>1263</v>
      </c>
      <c r="L2173" s="32">
        <f>Data!$D2173/10^6</f>
        <v>127.841818</v>
      </c>
    </row>
    <row r="2174" spans="1:12" x14ac:dyDescent="0.25">
      <c r="A2174" s="30" t="s">
        <v>30</v>
      </c>
      <c r="B2174" s="15" t="s">
        <v>1036</v>
      </c>
      <c r="C2174" s="19" t="s">
        <v>10</v>
      </c>
      <c r="D2174" s="16">
        <v>10985455</v>
      </c>
      <c r="E2174" s="17">
        <v>45597</v>
      </c>
      <c r="F2174" s="18">
        <f>MONTH(Data!$E2174)</f>
        <v>11</v>
      </c>
      <c r="G2174" s="16">
        <f>YEAR(Data!$E2174)</f>
        <v>2024</v>
      </c>
      <c r="H2174" s="15" t="s">
        <v>32</v>
      </c>
      <c r="I2174" s="15" t="str">
        <f t="shared" si="33"/>
        <v>Doanh nghiệp</v>
      </c>
      <c r="J2174" s="15" t="s">
        <v>1285</v>
      </c>
      <c r="K2174" s="15" t="s">
        <v>1263</v>
      </c>
      <c r="L2174" s="32">
        <f>Data!$D2174/10^6</f>
        <v>10.985455</v>
      </c>
    </row>
    <row r="2175" spans="1:12" x14ac:dyDescent="0.25">
      <c r="A2175" s="30" t="s">
        <v>8</v>
      </c>
      <c r="B2175" s="15" t="s">
        <v>1050</v>
      </c>
      <c r="C2175" s="19" t="s">
        <v>149</v>
      </c>
      <c r="D2175" s="16">
        <v>6319964</v>
      </c>
      <c r="E2175" s="17">
        <v>45597</v>
      </c>
      <c r="F2175" s="18">
        <f>MONTH(Data!$E2175)</f>
        <v>11</v>
      </c>
      <c r="G2175" s="16">
        <f>YEAR(Data!$E2175)</f>
        <v>2024</v>
      </c>
      <c r="H2175" s="15" t="s">
        <v>11</v>
      </c>
      <c r="I2175" s="15" t="str">
        <f t="shared" si="33"/>
        <v>Doanh nghiệp</v>
      </c>
      <c r="J2175" s="15" t="s">
        <v>1284</v>
      </c>
      <c r="K2175" s="15" t="s">
        <v>1264</v>
      </c>
      <c r="L2175" s="32">
        <f>Data!$D2175/10^6</f>
        <v>6.3199639999999997</v>
      </c>
    </row>
    <row r="2176" spans="1:12" x14ac:dyDescent="0.25">
      <c r="A2176" s="30" t="s">
        <v>218</v>
      </c>
      <c r="B2176" s="15" t="s">
        <v>1058</v>
      </c>
      <c r="C2176" s="19" t="s">
        <v>14</v>
      </c>
      <c r="D2176" s="16">
        <v>105663283</v>
      </c>
      <c r="E2176" s="17">
        <v>45597</v>
      </c>
      <c r="F2176" s="18">
        <f>MONTH(Data!$E2176)</f>
        <v>11</v>
      </c>
      <c r="G2176" s="16">
        <f>YEAR(Data!$E2176)</f>
        <v>2024</v>
      </c>
      <c r="H2176" s="15" t="s">
        <v>15</v>
      </c>
      <c r="I2176" s="15" t="str">
        <f t="shared" si="33"/>
        <v>Doanh nghiệp</v>
      </c>
      <c r="J2176" s="15" t="s">
        <v>1285</v>
      </c>
      <c r="K2176" s="15" t="s">
        <v>1273</v>
      </c>
      <c r="L2176" s="32">
        <f>Data!$D2176/10^6</f>
        <v>105.66328300000001</v>
      </c>
    </row>
    <row r="2177" spans="1:12" x14ac:dyDescent="0.25">
      <c r="A2177" s="30" t="s">
        <v>218</v>
      </c>
      <c r="B2177" s="15" t="s">
        <v>1059</v>
      </c>
      <c r="C2177" s="19" t="s">
        <v>149</v>
      </c>
      <c r="D2177" s="16">
        <v>26454545</v>
      </c>
      <c r="E2177" s="17">
        <v>45597</v>
      </c>
      <c r="F2177" s="18">
        <f>MONTH(Data!$E2177)</f>
        <v>11</v>
      </c>
      <c r="G2177" s="16">
        <f>YEAR(Data!$E2177)</f>
        <v>2024</v>
      </c>
      <c r="H2177" s="15" t="s">
        <v>15</v>
      </c>
      <c r="I2177" s="15" t="str">
        <f t="shared" si="33"/>
        <v>Doanh nghiệp</v>
      </c>
      <c r="J2177" s="15" t="s">
        <v>1284</v>
      </c>
      <c r="K2177" s="15" t="s">
        <v>1264</v>
      </c>
      <c r="L2177" s="32">
        <f>Data!$D2177/10^6</f>
        <v>26.454545</v>
      </c>
    </row>
    <row r="2178" spans="1:12" x14ac:dyDescent="0.25">
      <c r="A2178" s="30" t="s">
        <v>47</v>
      </c>
      <c r="B2178" s="15" t="s">
        <v>1061</v>
      </c>
      <c r="C2178" s="19" t="s">
        <v>10</v>
      </c>
      <c r="D2178" s="16">
        <v>5311727</v>
      </c>
      <c r="E2178" s="17">
        <v>45597</v>
      </c>
      <c r="F2178" s="18">
        <f>MONTH(Data!$E2178)</f>
        <v>11</v>
      </c>
      <c r="G2178" s="16">
        <f>YEAR(Data!$E2178)</f>
        <v>2024</v>
      </c>
      <c r="H2178" s="15" t="s">
        <v>29</v>
      </c>
      <c r="I2178" s="15" t="str">
        <f t="shared" si="33"/>
        <v>Doanh nghiệp</v>
      </c>
      <c r="J2178" s="15" t="s">
        <v>1285</v>
      </c>
      <c r="K2178" s="15" t="s">
        <v>1263</v>
      </c>
      <c r="L2178" s="32">
        <f>Data!$D2178/10^6</f>
        <v>5.3117270000000003</v>
      </c>
    </row>
    <row r="2179" spans="1:12" x14ac:dyDescent="0.25">
      <c r="A2179" s="30" t="s">
        <v>30</v>
      </c>
      <c r="B2179" s="15" t="s">
        <v>1068</v>
      </c>
      <c r="C2179" s="19" t="s">
        <v>10</v>
      </c>
      <c r="D2179" s="16">
        <v>10181818</v>
      </c>
      <c r="E2179" s="17">
        <v>45597</v>
      </c>
      <c r="F2179" s="18">
        <f>MONTH(Data!$E2179)</f>
        <v>11</v>
      </c>
      <c r="G2179" s="16">
        <f>YEAR(Data!$E2179)</f>
        <v>2024</v>
      </c>
      <c r="H2179" s="15" t="s">
        <v>32</v>
      </c>
      <c r="I2179" s="15" t="str">
        <f t="shared" ref="I2179:I2242" si="34">IF(ISNUMBER(SEARCH("Công ty",$B2179)),"Doanh nghiệp",IF(ISNUMBER(SEARCH("Doanh nghiệp",$B2179)),"Doanh nghiệp",IF(ISNUMBER(SEARCH("Tập đoàn",$B2179)),"Doanh nghiệp",
IF(ISNUMBER(SEARCH("Bệnh viện",$B2179)),"Bệnh viện",
IF(ISNUMBER(SEARCH("Ngân hàng",$B2179)),"Ngân hàng",IF(ISNUMBER(SEARCH("trường",$B2179)),"Trường học",IF(ISNUMBER(SEARCH("học viện",$B2179)),"Trường học",
IF(ISNUMBER(SEARCH("Bộ",$B2179)),"Sở ban ngành",IF(ISNUMBER(SEARCH("Đoàn",$B2179)),"Sở ban ngành",IF(ISNUMBER(SEARCH("Phòng",$B2179)),"Sở ban ngành",IF(ISNUMBER(SEARCH("UBND",$B2179)),"Sở ban ngành",IF(ISNUMBER(SEARCH("ủy ban",$B2179)),"Sở ban ngành",IF(ISNUMBER(SEARCH("công an",$B2179)),"Sở ban ngành",IF(ISNUMBER(SEARCH("sở",$B2179)),"Sở ban ngành",IF(ISNUMBER(SEARCH("thôn",$B2179)),"Sở ban ngành",IF(ISNUMBER(SEARCH("xã",$B2179)),"Sở ban ngành",IF(ISNUMBER(SEARCH("quân khu",$B2179)),"Sở ban ngành",IF(ISNUMBER(SEARCH("cục",$B2179)),"Sở ban ngành",IF(ISNUMBER(SEARCH("viện",$B2179)),"Sở ban ngành",IF(ISNUMBER(SEARCH("quỹ",$B2179)),"Sở ban ngành",IF(ISNUMBER(SEARCH("trung tâm",$B2179)),"Sở ban ngành",IF(ISNUMBER(SEARCH("quân chủng",$B2179)),"Sở ban ngành",IF(ISNUMBER(SEARCH("hội",$B2179)),"Sở ban ngành",
"Khác")))))))))))))))))))))))</f>
        <v>Doanh nghiệp</v>
      </c>
      <c r="J2179" s="15" t="s">
        <v>1284</v>
      </c>
      <c r="K2179" s="15" t="s">
        <v>1267</v>
      </c>
      <c r="L2179" s="32">
        <f>Data!$D2179/10^6</f>
        <v>10.181818</v>
      </c>
    </row>
    <row r="2180" spans="1:12" x14ac:dyDescent="0.25">
      <c r="A2180" s="30" t="s">
        <v>151</v>
      </c>
      <c r="B2180" s="15" t="s">
        <v>1087</v>
      </c>
      <c r="C2180" s="19" t="s">
        <v>149</v>
      </c>
      <c r="D2180" s="16">
        <v>30371000</v>
      </c>
      <c r="E2180" s="17">
        <v>45597</v>
      </c>
      <c r="F2180" s="18">
        <f>MONTH(Data!$E2180)</f>
        <v>11</v>
      </c>
      <c r="G2180" s="16">
        <f>YEAR(Data!$E2180)</f>
        <v>2024</v>
      </c>
      <c r="H2180" s="15" t="s">
        <v>15</v>
      </c>
      <c r="I2180" s="15" t="str">
        <f t="shared" si="34"/>
        <v>Doanh nghiệp</v>
      </c>
      <c r="J2180" s="15" t="s">
        <v>1285</v>
      </c>
      <c r="K2180" s="15" t="s">
        <v>1262</v>
      </c>
      <c r="L2180" s="32">
        <f>Data!$D2180/10^6</f>
        <v>30.370999999999999</v>
      </c>
    </row>
    <row r="2181" spans="1:12" x14ac:dyDescent="0.25">
      <c r="A2181" s="30" t="s">
        <v>102</v>
      </c>
      <c r="B2181" s="15" t="s">
        <v>1099</v>
      </c>
      <c r="C2181" s="19" t="s">
        <v>10</v>
      </c>
      <c r="D2181" s="16">
        <v>27706773</v>
      </c>
      <c r="E2181" s="17">
        <v>45597</v>
      </c>
      <c r="F2181" s="18">
        <f>MONTH(Data!$E2181)</f>
        <v>11</v>
      </c>
      <c r="G2181" s="16">
        <f>YEAR(Data!$E2181)</f>
        <v>2024</v>
      </c>
      <c r="H2181" s="15" t="s">
        <v>22</v>
      </c>
      <c r="I2181" s="15" t="str">
        <f t="shared" si="34"/>
        <v>Doanh nghiệp</v>
      </c>
      <c r="J2181" s="15" t="s">
        <v>1284</v>
      </c>
      <c r="K2181" s="15" t="s">
        <v>1263</v>
      </c>
      <c r="L2181" s="32">
        <f>Data!$D2181/10^6</f>
        <v>27.706772999999998</v>
      </c>
    </row>
    <row r="2182" spans="1:12" x14ac:dyDescent="0.25">
      <c r="A2182" s="30" t="s">
        <v>59</v>
      </c>
      <c r="B2182" s="15" t="s">
        <v>1100</v>
      </c>
      <c r="C2182" s="19" t="s">
        <v>46</v>
      </c>
      <c r="D2182" s="16">
        <v>5738467149</v>
      </c>
      <c r="E2182" s="17">
        <v>45597</v>
      </c>
      <c r="F2182" s="18">
        <f>MONTH(Data!$E2182)</f>
        <v>11</v>
      </c>
      <c r="G2182" s="16">
        <f>YEAR(Data!$E2182)</f>
        <v>2024</v>
      </c>
      <c r="H2182" s="15" t="s">
        <v>22</v>
      </c>
      <c r="I2182" s="15" t="str">
        <f t="shared" si="34"/>
        <v>Doanh nghiệp</v>
      </c>
      <c r="J2182" s="15" t="s">
        <v>1285</v>
      </c>
      <c r="K2182" s="15" t="s">
        <v>1265</v>
      </c>
      <c r="L2182" s="32">
        <f>Data!$D2182/10^6</f>
        <v>5738.4671490000001</v>
      </c>
    </row>
    <row r="2183" spans="1:12" x14ac:dyDescent="0.25">
      <c r="A2183" s="30" t="s">
        <v>111</v>
      </c>
      <c r="B2183" s="15" t="s">
        <v>1102</v>
      </c>
      <c r="C2183" s="19" t="s">
        <v>46</v>
      </c>
      <c r="D2183" s="16">
        <v>152545455</v>
      </c>
      <c r="E2183" s="17">
        <v>45597</v>
      </c>
      <c r="F2183" s="18">
        <f>MONTH(Data!$E2183)</f>
        <v>11</v>
      </c>
      <c r="G2183" s="16">
        <f>YEAR(Data!$E2183)</f>
        <v>2024</v>
      </c>
      <c r="H2183" s="15" t="s">
        <v>22</v>
      </c>
      <c r="I2183" s="15" t="str">
        <f t="shared" si="34"/>
        <v>Doanh nghiệp</v>
      </c>
      <c r="J2183" s="15" t="s">
        <v>1284</v>
      </c>
      <c r="K2183" s="15" t="s">
        <v>1265</v>
      </c>
      <c r="L2183" s="32">
        <f>Data!$D2183/10^6</f>
        <v>152.545455</v>
      </c>
    </row>
    <row r="2184" spans="1:12" x14ac:dyDescent="0.25">
      <c r="A2184" s="30" t="s">
        <v>51</v>
      </c>
      <c r="B2184" s="15" t="s">
        <v>1112</v>
      </c>
      <c r="C2184" s="19" t="s">
        <v>10</v>
      </c>
      <c r="D2184" s="16">
        <v>25201364</v>
      </c>
      <c r="E2184" s="17">
        <v>45597</v>
      </c>
      <c r="F2184" s="18">
        <f>MONTH(Data!$E2184)</f>
        <v>11</v>
      </c>
      <c r="G2184" s="16">
        <f>YEAR(Data!$E2184)</f>
        <v>2024</v>
      </c>
      <c r="H2184" s="15" t="s">
        <v>42</v>
      </c>
      <c r="I2184" s="15" t="str">
        <f t="shared" si="34"/>
        <v>Doanh nghiệp</v>
      </c>
      <c r="J2184" s="15" t="s">
        <v>1285</v>
      </c>
      <c r="K2184" s="15" t="s">
        <v>1262</v>
      </c>
      <c r="L2184" s="32">
        <f>Data!$D2184/10^6</f>
        <v>25.201364000000002</v>
      </c>
    </row>
    <row r="2185" spans="1:12" x14ac:dyDescent="0.25">
      <c r="A2185" s="30" t="s">
        <v>51</v>
      </c>
      <c r="B2185" s="15" t="s">
        <v>1114</v>
      </c>
      <c r="C2185" s="19" t="s">
        <v>10</v>
      </c>
      <c r="D2185" s="16">
        <v>32841818</v>
      </c>
      <c r="E2185" s="17">
        <v>45597</v>
      </c>
      <c r="F2185" s="18">
        <f>MONTH(Data!$E2185)</f>
        <v>11</v>
      </c>
      <c r="G2185" s="16">
        <f>YEAR(Data!$E2185)</f>
        <v>2024</v>
      </c>
      <c r="H2185" s="15" t="s">
        <v>42</v>
      </c>
      <c r="I2185" s="15" t="str">
        <f t="shared" si="34"/>
        <v>Doanh nghiệp</v>
      </c>
      <c r="J2185" s="15" t="s">
        <v>1284</v>
      </c>
      <c r="K2185" s="15" t="s">
        <v>1262</v>
      </c>
      <c r="L2185" s="32">
        <f>Data!$D2185/10^6</f>
        <v>32.841818000000004</v>
      </c>
    </row>
    <row r="2186" spans="1:12" x14ac:dyDescent="0.25">
      <c r="A2186" s="30" t="s">
        <v>52</v>
      </c>
      <c r="B2186" s="15" t="s">
        <v>1117</v>
      </c>
      <c r="C2186" s="19" t="s">
        <v>46</v>
      </c>
      <c r="D2186" s="16">
        <v>905974800</v>
      </c>
      <c r="E2186" s="17">
        <v>45597</v>
      </c>
      <c r="F2186" s="18">
        <f>MONTH(Data!$E2186)</f>
        <v>11</v>
      </c>
      <c r="G2186" s="16">
        <f>YEAR(Data!$E2186)</f>
        <v>2024</v>
      </c>
      <c r="H2186" s="15" t="s">
        <v>35</v>
      </c>
      <c r="I2186" s="15" t="str">
        <f t="shared" si="34"/>
        <v>Doanh nghiệp</v>
      </c>
      <c r="J2186" s="15" t="s">
        <v>1285</v>
      </c>
      <c r="K2186" s="15" t="s">
        <v>1265</v>
      </c>
      <c r="L2186" s="32">
        <f>Data!$D2186/10^6</f>
        <v>905.97479999999996</v>
      </c>
    </row>
    <row r="2187" spans="1:12" x14ac:dyDescent="0.25">
      <c r="A2187" s="30" t="s">
        <v>78</v>
      </c>
      <c r="B2187" s="15" t="s">
        <v>1028</v>
      </c>
      <c r="C2187" s="15" t="s">
        <v>10</v>
      </c>
      <c r="D2187" s="16">
        <v>450763000</v>
      </c>
      <c r="E2187" s="17">
        <v>45597</v>
      </c>
      <c r="F2187" s="18">
        <f>MONTH(Data!$E2187)</f>
        <v>11</v>
      </c>
      <c r="G2187" s="16">
        <f>YEAR(Data!$E2187)</f>
        <v>2024</v>
      </c>
      <c r="H2187" s="15" t="s">
        <v>15</v>
      </c>
      <c r="I2187" s="15" t="str">
        <f t="shared" si="34"/>
        <v>Doanh nghiệp</v>
      </c>
      <c r="J2187" s="15" t="s">
        <v>1284</v>
      </c>
      <c r="K2187" s="15" t="s">
        <v>1263</v>
      </c>
      <c r="L2187" s="32">
        <f>Data!$D2187/10^6</f>
        <v>450.76299999999998</v>
      </c>
    </row>
    <row r="2188" spans="1:12" x14ac:dyDescent="0.25">
      <c r="A2188" s="30" t="s">
        <v>21</v>
      </c>
      <c r="B2188" s="15" t="s">
        <v>1042</v>
      </c>
      <c r="C2188" s="19" t="s">
        <v>10</v>
      </c>
      <c r="D2188" s="16">
        <v>135109000</v>
      </c>
      <c r="E2188" s="17">
        <v>45597</v>
      </c>
      <c r="F2188" s="18">
        <f>MONTH(Data!$E2188)</f>
        <v>11</v>
      </c>
      <c r="G2188" s="16">
        <f>YEAR(Data!$E2188)</f>
        <v>2024</v>
      </c>
      <c r="H2188" s="15" t="s">
        <v>22</v>
      </c>
      <c r="I2188" s="15" t="str">
        <f t="shared" si="34"/>
        <v>Doanh nghiệp</v>
      </c>
      <c r="J2188" s="15" t="s">
        <v>1285</v>
      </c>
      <c r="K2188" s="15" t="s">
        <v>1267</v>
      </c>
      <c r="L2188" s="32">
        <f>Data!$D2188/10^6</f>
        <v>135.10900000000001</v>
      </c>
    </row>
    <row r="2189" spans="1:12" x14ac:dyDescent="0.25">
      <c r="A2189" s="30" t="s">
        <v>68</v>
      </c>
      <c r="B2189" s="15" t="s">
        <v>1055</v>
      </c>
      <c r="C2189" s="19" t="s">
        <v>10</v>
      </c>
      <c r="D2189" s="16">
        <v>33718300</v>
      </c>
      <c r="E2189" s="17">
        <v>45597</v>
      </c>
      <c r="F2189" s="18">
        <f>MONTH(Data!$E2189)</f>
        <v>11</v>
      </c>
      <c r="G2189" s="16">
        <f>YEAR(Data!$E2189)</f>
        <v>2024</v>
      </c>
      <c r="H2189" s="15" t="s">
        <v>22</v>
      </c>
      <c r="I2189" s="15" t="str">
        <f t="shared" si="34"/>
        <v>Doanh nghiệp</v>
      </c>
      <c r="J2189" s="15" t="s">
        <v>1284</v>
      </c>
      <c r="K2189" s="15" t="s">
        <v>1263</v>
      </c>
      <c r="L2189" s="32">
        <f>Data!$D2189/10^6</f>
        <v>33.718299999999999</v>
      </c>
    </row>
    <row r="2190" spans="1:12" x14ac:dyDescent="0.25">
      <c r="A2190" s="30" t="s">
        <v>130</v>
      </c>
      <c r="B2190" s="15" t="s">
        <v>1063</v>
      </c>
      <c r="C2190" s="19" t="s">
        <v>10</v>
      </c>
      <c r="D2190" s="16">
        <v>35592500</v>
      </c>
      <c r="E2190" s="17">
        <v>45597</v>
      </c>
      <c r="F2190" s="18">
        <f>MONTH(Data!$E2190)</f>
        <v>11</v>
      </c>
      <c r="G2190" s="16">
        <f>YEAR(Data!$E2190)</f>
        <v>2024</v>
      </c>
      <c r="H2190" s="15" t="s">
        <v>22</v>
      </c>
      <c r="I2190" s="15" t="str">
        <f t="shared" si="34"/>
        <v>Doanh nghiệp</v>
      </c>
      <c r="J2190" s="15" t="s">
        <v>1285</v>
      </c>
      <c r="K2190" s="15" t="s">
        <v>1263</v>
      </c>
      <c r="L2190" s="32">
        <f>Data!$D2190/10^6</f>
        <v>35.592500000000001</v>
      </c>
    </row>
    <row r="2191" spans="1:12" x14ac:dyDescent="0.25">
      <c r="A2191" s="30" t="s">
        <v>51</v>
      </c>
      <c r="B2191" s="15" t="s">
        <v>1083</v>
      </c>
      <c r="C2191" s="19" t="s">
        <v>10</v>
      </c>
      <c r="D2191" s="16">
        <v>62165636</v>
      </c>
      <c r="E2191" s="17">
        <v>45597</v>
      </c>
      <c r="F2191" s="18">
        <f>MONTH(Data!$E2191)</f>
        <v>11</v>
      </c>
      <c r="G2191" s="16">
        <f>YEAR(Data!$E2191)</f>
        <v>2024</v>
      </c>
      <c r="H2191" s="15" t="s">
        <v>42</v>
      </c>
      <c r="I2191" s="15" t="str">
        <f t="shared" si="34"/>
        <v>Doanh nghiệp</v>
      </c>
      <c r="J2191" s="15" t="s">
        <v>1284</v>
      </c>
      <c r="K2191" s="15" t="s">
        <v>1262</v>
      </c>
      <c r="L2191" s="32">
        <f>Data!$D2191/10^6</f>
        <v>62.165635999999999</v>
      </c>
    </row>
    <row r="2192" spans="1:12" x14ac:dyDescent="0.25">
      <c r="A2192" s="30" t="s">
        <v>209</v>
      </c>
      <c r="B2192" s="15" t="s">
        <v>1100</v>
      </c>
      <c r="C2192" s="19" t="s">
        <v>14</v>
      </c>
      <c r="D2192" s="16">
        <v>2609852753</v>
      </c>
      <c r="E2192" s="17">
        <v>45597</v>
      </c>
      <c r="F2192" s="18">
        <f>MONTH(Data!$E2192)</f>
        <v>11</v>
      </c>
      <c r="G2192" s="16">
        <f>YEAR(Data!$E2192)</f>
        <v>2024</v>
      </c>
      <c r="H2192" s="15" t="s">
        <v>32</v>
      </c>
      <c r="I2192" s="15" t="str">
        <f t="shared" si="34"/>
        <v>Doanh nghiệp</v>
      </c>
      <c r="J2192" s="15" t="s">
        <v>1285</v>
      </c>
      <c r="K2192" s="15" t="s">
        <v>1273</v>
      </c>
      <c r="L2192" s="32">
        <f>Data!$D2192/10^6</f>
        <v>2609.8527530000001</v>
      </c>
    </row>
    <row r="2193" spans="1:12" x14ac:dyDescent="0.25">
      <c r="A2193" s="30" t="s">
        <v>30</v>
      </c>
      <c r="B2193" s="15" t="s">
        <v>1044</v>
      </c>
      <c r="C2193" s="19" t="s">
        <v>10</v>
      </c>
      <c r="D2193" s="16">
        <v>23804545</v>
      </c>
      <c r="E2193" s="17">
        <v>45597</v>
      </c>
      <c r="F2193" s="18">
        <f>MONTH(Data!$E2193)</f>
        <v>11</v>
      </c>
      <c r="G2193" s="16">
        <f>YEAR(Data!$E2193)</f>
        <v>2024</v>
      </c>
      <c r="H2193" s="15" t="s">
        <v>32</v>
      </c>
      <c r="I2193" s="15" t="str">
        <f t="shared" si="34"/>
        <v>Doanh nghiệp</v>
      </c>
      <c r="J2193" s="15" t="s">
        <v>1284</v>
      </c>
      <c r="K2193" s="15" t="s">
        <v>1263</v>
      </c>
      <c r="L2193" s="32">
        <f>Data!$D2193/10^6</f>
        <v>23.804545000000001</v>
      </c>
    </row>
    <row r="2194" spans="1:12" x14ac:dyDescent="0.25">
      <c r="A2194" s="30" t="s">
        <v>72</v>
      </c>
      <c r="B2194" s="15" t="s">
        <v>1049</v>
      </c>
      <c r="C2194" s="19" t="s">
        <v>149</v>
      </c>
      <c r="D2194" s="16">
        <v>61957091</v>
      </c>
      <c r="E2194" s="17">
        <v>45597</v>
      </c>
      <c r="F2194" s="18">
        <f>MONTH(Data!$E2194)</f>
        <v>11</v>
      </c>
      <c r="G2194" s="16">
        <f>YEAR(Data!$E2194)</f>
        <v>2024</v>
      </c>
      <c r="H2194" s="15" t="s">
        <v>22</v>
      </c>
      <c r="I2194" s="15" t="str">
        <f t="shared" si="34"/>
        <v>Doanh nghiệp</v>
      </c>
      <c r="J2194" s="15" t="s">
        <v>1285</v>
      </c>
      <c r="K2194" s="15" t="s">
        <v>1262</v>
      </c>
      <c r="L2194" s="32">
        <f>Data!$D2194/10^6</f>
        <v>61.957090999999998</v>
      </c>
    </row>
    <row r="2195" spans="1:12" x14ac:dyDescent="0.25">
      <c r="A2195" s="30" t="s">
        <v>107</v>
      </c>
      <c r="B2195" s="15" t="s">
        <v>1054</v>
      </c>
      <c r="C2195" s="19" t="s">
        <v>46</v>
      </c>
      <c r="D2195" s="16">
        <v>8370494224</v>
      </c>
      <c r="E2195" s="17">
        <v>45597</v>
      </c>
      <c r="F2195" s="18">
        <f>MONTH(Data!$E2195)</f>
        <v>11</v>
      </c>
      <c r="G2195" s="16">
        <f>YEAR(Data!$E2195)</f>
        <v>2024</v>
      </c>
      <c r="H2195" s="15" t="s">
        <v>42</v>
      </c>
      <c r="I2195" s="15" t="str">
        <f t="shared" si="34"/>
        <v>Doanh nghiệp</v>
      </c>
      <c r="J2195" s="15" t="s">
        <v>1284</v>
      </c>
      <c r="K2195" s="15" t="s">
        <v>1265</v>
      </c>
      <c r="L2195" s="32">
        <f>Data!$D2195/10^6</f>
        <v>8370.494224</v>
      </c>
    </row>
    <row r="2196" spans="1:12" x14ac:dyDescent="0.25">
      <c r="A2196" s="30" t="s">
        <v>51</v>
      </c>
      <c r="B2196" s="15" t="s">
        <v>1064</v>
      </c>
      <c r="C2196" s="19" t="s">
        <v>10</v>
      </c>
      <c r="D2196" s="16">
        <v>12046909</v>
      </c>
      <c r="E2196" s="17">
        <v>45597</v>
      </c>
      <c r="F2196" s="18">
        <f>MONTH(Data!$E2196)</f>
        <v>11</v>
      </c>
      <c r="G2196" s="16">
        <f>YEAR(Data!$E2196)</f>
        <v>2024</v>
      </c>
      <c r="H2196" s="15" t="s">
        <v>42</v>
      </c>
      <c r="I2196" s="15" t="str">
        <f t="shared" si="34"/>
        <v>Doanh nghiệp</v>
      </c>
      <c r="J2196" s="15" t="s">
        <v>1285</v>
      </c>
      <c r="K2196" s="15" t="s">
        <v>1262</v>
      </c>
      <c r="L2196" s="32">
        <f>Data!$D2196/10^6</f>
        <v>12.046908999999999</v>
      </c>
    </row>
    <row r="2197" spans="1:12" x14ac:dyDescent="0.25">
      <c r="A2197" s="30" t="s">
        <v>51</v>
      </c>
      <c r="B2197" s="15" t="s">
        <v>1065</v>
      </c>
      <c r="C2197" s="19" t="s">
        <v>14</v>
      </c>
      <c r="D2197" s="16">
        <v>192000000</v>
      </c>
      <c r="E2197" s="17">
        <v>45597</v>
      </c>
      <c r="F2197" s="18">
        <f>MONTH(Data!$E2197)</f>
        <v>11</v>
      </c>
      <c r="G2197" s="16">
        <f>YEAR(Data!$E2197)</f>
        <v>2024</v>
      </c>
      <c r="H2197" s="15" t="s">
        <v>42</v>
      </c>
      <c r="I2197" s="15" t="str">
        <f t="shared" si="34"/>
        <v>Doanh nghiệp</v>
      </c>
      <c r="J2197" s="15" t="s">
        <v>1284</v>
      </c>
      <c r="K2197" s="15" t="s">
        <v>1264</v>
      </c>
      <c r="L2197" s="32">
        <f>Data!$D2197/10^6</f>
        <v>192</v>
      </c>
    </row>
    <row r="2198" spans="1:12" x14ac:dyDescent="0.25">
      <c r="A2198" s="30" t="s">
        <v>51</v>
      </c>
      <c r="B2198" s="15" t="s">
        <v>1067</v>
      </c>
      <c r="C2198" s="19" t="s">
        <v>10</v>
      </c>
      <c r="D2198" s="16">
        <v>7200000</v>
      </c>
      <c r="E2198" s="17">
        <v>45597</v>
      </c>
      <c r="F2198" s="18">
        <f>MONTH(Data!$E2198)</f>
        <v>11</v>
      </c>
      <c r="G2198" s="16">
        <f>YEAR(Data!$E2198)</f>
        <v>2024</v>
      </c>
      <c r="H2198" s="15" t="s">
        <v>42</v>
      </c>
      <c r="I2198" s="15" t="str">
        <f t="shared" si="34"/>
        <v>Doanh nghiệp</v>
      </c>
      <c r="J2198" s="15" t="s">
        <v>1285</v>
      </c>
      <c r="K2198" s="15" t="s">
        <v>1262</v>
      </c>
      <c r="L2198" s="32">
        <f>Data!$D2198/10^6</f>
        <v>7.2</v>
      </c>
    </row>
    <row r="2199" spans="1:12" x14ac:dyDescent="0.25">
      <c r="A2199" s="30" t="s">
        <v>107</v>
      </c>
      <c r="B2199" s="15" t="s">
        <v>1068</v>
      </c>
      <c r="C2199" s="19" t="s">
        <v>46</v>
      </c>
      <c r="D2199" s="16">
        <v>60442273</v>
      </c>
      <c r="E2199" s="17">
        <v>45597</v>
      </c>
      <c r="F2199" s="18">
        <f>MONTH(Data!$E2199)</f>
        <v>11</v>
      </c>
      <c r="G2199" s="16">
        <f>YEAR(Data!$E2199)</f>
        <v>2024</v>
      </c>
      <c r="H2199" s="15" t="s">
        <v>42</v>
      </c>
      <c r="I2199" s="15" t="str">
        <f t="shared" si="34"/>
        <v>Doanh nghiệp</v>
      </c>
      <c r="J2199" s="15" t="s">
        <v>1284</v>
      </c>
      <c r="K2199" s="15" t="s">
        <v>1265</v>
      </c>
      <c r="L2199" s="32">
        <f>Data!$D2199/10^6</f>
        <v>60.442273</v>
      </c>
    </row>
    <row r="2200" spans="1:12" x14ac:dyDescent="0.25">
      <c r="A2200" s="30" t="s">
        <v>73</v>
      </c>
      <c r="B2200" s="15" t="s">
        <v>1075</v>
      </c>
      <c r="C2200" s="19" t="s">
        <v>14</v>
      </c>
      <c r="D2200" s="16">
        <v>9860000</v>
      </c>
      <c r="E2200" s="17">
        <v>45597</v>
      </c>
      <c r="F2200" s="18">
        <f>MONTH(Data!$E2200)</f>
        <v>11</v>
      </c>
      <c r="G2200" s="16">
        <f>YEAR(Data!$E2200)</f>
        <v>2024</v>
      </c>
      <c r="H2200" s="15" t="s">
        <v>32</v>
      </c>
      <c r="I2200" s="15" t="str">
        <f t="shared" si="34"/>
        <v>Doanh nghiệp</v>
      </c>
      <c r="J2200" s="15" t="s">
        <v>1285</v>
      </c>
      <c r="K2200" s="15" t="s">
        <v>1264</v>
      </c>
      <c r="L2200" s="32">
        <f>Data!$D2200/10^6</f>
        <v>9.86</v>
      </c>
    </row>
    <row r="2201" spans="1:12" x14ac:dyDescent="0.25">
      <c r="A2201" s="30" t="s">
        <v>50</v>
      </c>
      <c r="B2201" s="15" t="s">
        <v>1101</v>
      </c>
      <c r="C2201" s="19" t="s">
        <v>14</v>
      </c>
      <c r="D2201" s="16">
        <v>34150909</v>
      </c>
      <c r="E2201" s="17">
        <v>45597</v>
      </c>
      <c r="F2201" s="18">
        <f>MONTH(Data!$E2201)</f>
        <v>11</v>
      </c>
      <c r="G2201" s="16">
        <f>YEAR(Data!$E2201)</f>
        <v>2024</v>
      </c>
      <c r="H2201" s="15" t="s">
        <v>35</v>
      </c>
      <c r="I2201" s="15" t="str">
        <f t="shared" si="34"/>
        <v>Doanh nghiệp</v>
      </c>
      <c r="J2201" s="15" t="s">
        <v>1284</v>
      </c>
      <c r="K2201" s="15" t="s">
        <v>1264</v>
      </c>
      <c r="L2201" s="32">
        <f>Data!$D2201/10^6</f>
        <v>34.150908999999999</v>
      </c>
    </row>
    <row r="2202" spans="1:12" x14ac:dyDescent="0.25">
      <c r="A2202" s="30" t="s">
        <v>123</v>
      </c>
      <c r="B2202" s="15" t="s">
        <v>1115</v>
      </c>
      <c r="C2202" s="19" t="s">
        <v>10</v>
      </c>
      <c r="D2202" s="16">
        <v>78181818</v>
      </c>
      <c r="E2202" s="17">
        <v>45597</v>
      </c>
      <c r="F2202" s="18">
        <f>MONTH(Data!$E2202)</f>
        <v>11</v>
      </c>
      <c r="G2202" s="16">
        <f>YEAR(Data!$E2202)</f>
        <v>2024</v>
      </c>
      <c r="H2202" s="15" t="s">
        <v>15</v>
      </c>
      <c r="I2202" s="15" t="str">
        <f t="shared" si="34"/>
        <v>Doanh nghiệp</v>
      </c>
      <c r="J2202" s="15" t="s">
        <v>1285</v>
      </c>
      <c r="K2202" s="15" t="s">
        <v>1263</v>
      </c>
      <c r="L2202" s="32">
        <f>Data!$D2202/10^6</f>
        <v>78.181818000000007</v>
      </c>
    </row>
    <row r="2203" spans="1:12" x14ac:dyDescent="0.25">
      <c r="A2203" s="30" t="s">
        <v>23</v>
      </c>
      <c r="B2203" s="15" t="s">
        <v>1043</v>
      </c>
      <c r="C2203" s="19" t="s">
        <v>46</v>
      </c>
      <c r="D2203" s="16">
        <v>591221551</v>
      </c>
      <c r="E2203" s="17">
        <v>45597</v>
      </c>
      <c r="F2203" s="18">
        <f>MONTH(Data!$E2203)</f>
        <v>11</v>
      </c>
      <c r="G2203" s="16">
        <f>YEAR(Data!$E2203)</f>
        <v>2024</v>
      </c>
      <c r="H2203" s="15" t="s">
        <v>25</v>
      </c>
      <c r="I2203" s="15" t="str">
        <f t="shared" si="34"/>
        <v>Doanh nghiệp</v>
      </c>
      <c r="J2203" s="15" t="s">
        <v>1284</v>
      </c>
      <c r="K2203" s="15" t="s">
        <v>1265</v>
      </c>
      <c r="L2203" s="32">
        <f>Data!$D2203/10^6</f>
        <v>591.22155099999998</v>
      </c>
    </row>
    <row r="2204" spans="1:12" x14ac:dyDescent="0.25">
      <c r="A2204" s="30" t="s">
        <v>55</v>
      </c>
      <c r="B2204" s="15" t="s">
        <v>1052</v>
      </c>
      <c r="C2204" s="19" t="s">
        <v>46</v>
      </c>
      <c r="D2204" s="16">
        <v>275067273</v>
      </c>
      <c r="E2204" s="17">
        <v>45597</v>
      </c>
      <c r="F2204" s="18">
        <f>MONTH(Data!$E2204)</f>
        <v>11</v>
      </c>
      <c r="G2204" s="16">
        <f>YEAR(Data!$E2204)</f>
        <v>2024</v>
      </c>
      <c r="H2204" s="15" t="s">
        <v>15</v>
      </c>
      <c r="I2204" s="15" t="str">
        <f t="shared" si="34"/>
        <v>Doanh nghiệp</v>
      </c>
      <c r="J2204" s="15" t="s">
        <v>1285</v>
      </c>
      <c r="K2204" s="15" t="s">
        <v>1265</v>
      </c>
      <c r="L2204" s="32">
        <f>Data!$D2204/10^6</f>
        <v>275.067273</v>
      </c>
    </row>
    <row r="2205" spans="1:12" x14ac:dyDescent="0.25">
      <c r="A2205" s="30" t="s">
        <v>98</v>
      </c>
      <c r="B2205" s="15" t="s">
        <v>1055</v>
      </c>
      <c r="C2205" s="19" t="s">
        <v>10</v>
      </c>
      <c r="D2205" s="16">
        <v>187200000</v>
      </c>
      <c r="E2205" s="17">
        <v>45597</v>
      </c>
      <c r="F2205" s="18">
        <f>MONTH(Data!$E2205)</f>
        <v>11</v>
      </c>
      <c r="G2205" s="16">
        <f>YEAR(Data!$E2205)</f>
        <v>2024</v>
      </c>
      <c r="H2205" s="15" t="s">
        <v>11</v>
      </c>
      <c r="I2205" s="15" t="str">
        <f t="shared" si="34"/>
        <v>Doanh nghiệp</v>
      </c>
      <c r="J2205" s="15" t="s">
        <v>1284</v>
      </c>
      <c r="K2205" s="15" t="s">
        <v>1267</v>
      </c>
      <c r="L2205" s="32">
        <f>Data!$D2205/10^6</f>
        <v>187.2</v>
      </c>
    </row>
    <row r="2206" spans="1:12" x14ac:dyDescent="0.25">
      <c r="A2206" s="30" t="s">
        <v>52</v>
      </c>
      <c r="B2206" s="15" t="s">
        <v>1057</v>
      </c>
      <c r="C2206" s="19" t="s">
        <v>10</v>
      </c>
      <c r="D2206" s="16">
        <v>2972272727</v>
      </c>
      <c r="E2206" s="17">
        <v>45597</v>
      </c>
      <c r="F2206" s="18">
        <f>MONTH(Data!$E2206)</f>
        <v>11</v>
      </c>
      <c r="G2206" s="16">
        <f>YEAR(Data!$E2206)</f>
        <v>2024</v>
      </c>
      <c r="H2206" s="15" t="s">
        <v>35</v>
      </c>
      <c r="I2206" s="15" t="str">
        <f t="shared" si="34"/>
        <v>Doanh nghiệp</v>
      </c>
      <c r="J2206" s="15" t="s">
        <v>1285</v>
      </c>
      <c r="K2206" s="15" t="s">
        <v>1268</v>
      </c>
      <c r="L2206" s="32">
        <f>Data!$D2206/10^6</f>
        <v>2972.272727</v>
      </c>
    </row>
    <row r="2207" spans="1:12" x14ac:dyDescent="0.25">
      <c r="A2207" s="30" t="s">
        <v>65</v>
      </c>
      <c r="B2207" s="15" t="s">
        <v>1063</v>
      </c>
      <c r="C2207" s="19" t="s">
        <v>10</v>
      </c>
      <c r="D2207" s="16">
        <v>197203636</v>
      </c>
      <c r="E2207" s="17">
        <v>45597</v>
      </c>
      <c r="F2207" s="18">
        <f>MONTH(Data!$E2207)</f>
        <v>11</v>
      </c>
      <c r="G2207" s="16">
        <f>YEAR(Data!$E2207)</f>
        <v>2024</v>
      </c>
      <c r="H2207" s="15" t="s">
        <v>25</v>
      </c>
      <c r="I2207" s="15" t="str">
        <f t="shared" si="34"/>
        <v>Doanh nghiệp</v>
      </c>
      <c r="J2207" s="15" t="s">
        <v>1284</v>
      </c>
      <c r="K2207" s="15" t="s">
        <v>1262</v>
      </c>
      <c r="L2207" s="32">
        <f>Data!$D2207/10^6</f>
        <v>197.20363599999999</v>
      </c>
    </row>
    <row r="2208" spans="1:12" x14ac:dyDescent="0.25">
      <c r="A2208" s="30" t="s">
        <v>119</v>
      </c>
      <c r="B2208" s="15" t="s">
        <v>1090</v>
      </c>
      <c r="C2208" s="19" t="s">
        <v>14</v>
      </c>
      <c r="D2208" s="16">
        <v>434330909</v>
      </c>
      <c r="E2208" s="17">
        <v>45597</v>
      </c>
      <c r="F2208" s="18">
        <f>MONTH(Data!$E2208)</f>
        <v>11</v>
      </c>
      <c r="G2208" s="16">
        <f>YEAR(Data!$E2208)</f>
        <v>2024</v>
      </c>
      <c r="H2208" s="15" t="s">
        <v>35</v>
      </c>
      <c r="I2208" s="15" t="str">
        <f t="shared" si="34"/>
        <v>Doanh nghiệp</v>
      </c>
      <c r="J2208" s="15" t="s">
        <v>1285</v>
      </c>
      <c r="K2208" s="15" t="s">
        <v>1264</v>
      </c>
      <c r="L2208" s="32">
        <f>Data!$D2208/10^6</f>
        <v>434.33090900000002</v>
      </c>
    </row>
    <row r="2209" spans="1:12" x14ac:dyDescent="0.25">
      <c r="A2209" s="30" t="s">
        <v>8</v>
      </c>
      <c r="B2209" s="15" t="s">
        <v>1098</v>
      </c>
      <c r="C2209" s="19" t="s">
        <v>10</v>
      </c>
      <c r="D2209" s="16">
        <v>13926364</v>
      </c>
      <c r="E2209" s="17">
        <v>45597</v>
      </c>
      <c r="F2209" s="18">
        <f>MONTH(Data!$E2209)</f>
        <v>11</v>
      </c>
      <c r="G2209" s="16">
        <f>YEAR(Data!$E2209)</f>
        <v>2024</v>
      </c>
      <c r="H2209" s="15" t="s">
        <v>11</v>
      </c>
      <c r="I2209" s="15" t="str">
        <f t="shared" si="34"/>
        <v>Doanh nghiệp</v>
      </c>
      <c r="J2209" s="15" t="s">
        <v>1284</v>
      </c>
      <c r="K2209" s="15" t="s">
        <v>1263</v>
      </c>
      <c r="L2209" s="32">
        <f>Data!$D2209/10^6</f>
        <v>13.926364</v>
      </c>
    </row>
    <row r="2210" spans="1:12" x14ac:dyDescent="0.25">
      <c r="A2210" s="30" t="s">
        <v>62</v>
      </c>
      <c r="B2210" s="15" t="s">
        <v>1109</v>
      </c>
      <c r="C2210" s="19" t="s">
        <v>14</v>
      </c>
      <c r="D2210" s="16">
        <v>47571636</v>
      </c>
      <c r="E2210" s="17">
        <v>45597</v>
      </c>
      <c r="F2210" s="18">
        <f>MONTH(Data!$E2210)</f>
        <v>11</v>
      </c>
      <c r="G2210" s="16">
        <f>YEAR(Data!$E2210)</f>
        <v>2024</v>
      </c>
      <c r="H2210" s="15" t="s">
        <v>15</v>
      </c>
      <c r="I2210" s="15" t="str">
        <f t="shared" si="34"/>
        <v>Doanh nghiệp</v>
      </c>
      <c r="J2210" s="15" t="s">
        <v>1285</v>
      </c>
      <c r="K2210" s="15" t="s">
        <v>1264</v>
      </c>
      <c r="L2210" s="32">
        <f>Data!$D2210/10^6</f>
        <v>47.571635999999998</v>
      </c>
    </row>
    <row r="2211" spans="1:12" x14ac:dyDescent="0.25">
      <c r="A2211" s="30" t="s">
        <v>55</v>
      </c>
      <c r="B2211" s="15" t="s">
        <v>1116</v>
      </c>
      <c r="C2211" s="19" t="s">
        <v>14</v>
      </c>
      <c r="D2211" s="16">
        <v>125763636</v>
      </c>
      <c r="E2211" s="17">
        <v>45597</v>
      </c>
      <c r="F2211" s="18">
        <f>MONTH(Data!$E2211)</f>
        <v>11</v>
      </c>
      <c r="G2211" s="16">
        <f>YEAR(Data!$E2211)</f>
        <v>2024</v>
      </c>
      <c r="H2211" s="15" t="s">
        <v>15</v>
      </c>
      <c r="I2211" s="15" t="str">
        <f t="shared" si="34"/>
        <v>Doanh nghiệp</v>
      </c>
      <c r="J2211" s="15" t="s">
        <v>1284</v>
      </c>
      <c r="K2211" s="15" t="s">
        <v>1264</v>
      </c>
      <c r="L2211" s="32">
        <f>Data!$D2211/10^6</f>
        <v>125.76363600000001</v>
      </c>
    </row>
    <row r="2212" spans="1:12" x14ac:dyDescent="0.25">
      <c r="A2212" s="30" t="s">
        <v>209</v>
      </c>
      <c r="B2212" s="15" t="s">
        <v>1029</v>
      </c>
      <c r="C2212" s="19" t="s">
        <v>149</v>
      </c>
      <c r="D2212" s="16">
        <v>520391657</v>
      </c>
      <c r="E2212" s="17">
        <v>45597</v>
      </c>
      <c r="F2212" s="18">
        <f>MONTH(Data!$E2212)</f>
        <v>11</v>
      </c>
      <c r="G2212" s="16">
        <f>YEAR(Data!$E2212)</f>
        <v>2024</v>
      </c>
      <c r="H2212" s="15" t="s">
        <v>32</v>
      </c>
      <c r="I2212" s="15" t="str">
        <f t="shared" si="34"/>
        <v>Doanh nghiệp</v>
      </c>
      <c r="J2212" s="15" t="s">
        <v>1285</v>
      </c>
      <c r="K2212" s="15" t="s">
        <v>1266</v>
      </c>
      <c r="L2212" s="32">
        <f>Data!$D2212/10^6</f>
        <v>520.39165700000001</v>
      </c>
    </row>
    <row r="2213" spans="1:12" x14ac:dyDescent="0.25">
      <c r="A2213" s="30" t="s">
        <v>191</v>
      </c>
      <c r="B2213" s="15" t="s">
        <v>1030</v>
      </c>
      <c r="C2213" s="19" t="s">
        <v>46</v>
      </c>
      <c r="D2213" s="16">
        <v>98722727</v>
      </c>
      <c r="E2213" s="17">
        <v>45597</v>
      </c>
      <c r="F2213" s="18">
        <f>MONTH(Data!$E2213)</f>
        <v>11</v>
      </c>
      <c r="G2213" s="16">
        <f>YEAR(Data!$E2213)</f>
        <v>2024</v>
      </c>
      <c r="H2213" s="15" t="s">
        <v>35</v>
      </c>
      <c r="I2213" s="15" t="str">
        <f t="shared" si="34"/>
        <v>Doanh nghiệp</v>
      </c>
      <c r="J2213" s="15" t="s">
        <v>1284</v>
      </c>
      <c r="K2213" s="15" t="s">
        <v>1265</v>
      </c>
      <c r="L2213" s="32">
        <f>Data!$D2213/10^6</f>
        <v>98.722727000000006</v>
      </c>
    </row>
    <row r="2214" spans="1:12" x14ac:dyDescent="0.25">
      <c r="A2214" s="30" t="s">
        <v>107</v>
      </c>
      <c r="B2214" s="15" t="s">
        <v>1042</v>
      </c>
      <c r="C2214" s="19" t="s">
        <v>46</v>
      </c>
      <c r="D2214" s="16">
        <v>1335775513</v>
      </c>
      <c r="E2214" s="17">
        <v>45597</v>
      </c>
      <c r="F2214" s="18">
        <f>MONTH(Data!$E2214)</f>
        <v>11</v>
      </c>
      <c r="G2214" s="16">
        <f>YEAR(Data!$E2214)</f>
        <v>2024</v>
      </c>
      <c r="H2214" s="15" t="s">
        <v>42</v>
      </c>
      <c r="I2214" s="15" t="str">
        <f t="shared" si="34"/>
        <v>Doanh nghiệp</v>
      </c>
      <c r="J2214" s="15" t="s">
        <v>1285</v>
      </c>
      <c r="K2214" s="15" t="s">
        <v>1265</v>
      </c>
      <c r="L2214" s="32">
        <f>Data!$D2214/10^6</f>
        <v>1335.775513</v>
      </c>
    </row>
    <row r="2215" spans="1:12" x14ac:dyDescent="0.25">
      <c r="A2215" s="30" t="s">
        <v>107</v>
      </c>
      <c r="B2215" s="15" t="s">
        <v>1048</v>
      </c>
      <c r="C2215" s="19" t="s">
        <v>46</v>
      </c>
      <c r="D2215" s="16">
        <v>241769091</v>
      </c>
      <c r="E2215" s="17">
        <v>45597</v>
      </c>
      <c r="F2215" s="18">
        <f>MONTH(Data!$E2215)</f>
        <v>11</v>
      </c>
      <c r="G2215" s="16">
        <f>YEAR(Data!$E2215)</f>
        <v>2024</v>
      </c>
      <c r="H2215" s="15" t="s">
        <v>42</v>
      </c>
      <c r="I2215" s="15" t="str">
        <f t="shared" si="34"/>
        <v>Doanh nghiệp</v>
      </c>
      <c r="J2215" s="15" t="s">
        <v>1284</v>
      </c>
      <c r="K2215" s="15" t="s">
        <v>1265</v>
      </c>
      <c r="L2215" s="32">
        <f>Data!$D2215/10^6</f>
        <v>241.769091</v>
      </c>
    </row>
    <row r="2216" spans="1:12" x14ac:dyDescent="0.25">
      <c r="A2216" s="30" t="s">
        <v>160</v>
      </c>
      <c r="B2216" s="15" t="s">
        <v>1100</v>
      </c>
      <c r="C2216" s="19" t="s">
        <v>46</v>
      </c>
      <c r="D2216" s="16">
        <v>23170200</v>
      </c>
      <c r="E2216" s="17">
        <v>45597</v>
      </c>
      <c r="F2216" s="18">
        <f>MONTH(Data!$E2216)</f>
        <v>11</v>
      </c>
      <c r="G2216" s="16">
        <f>YEAR(Data!$E2216)</f>
        <v>2024</v>
      </c>
      <c r="H2216" s="15" t="s">
        <v>35</v>
      </c>
      <c r="I2216" s="15" t="str">
        <f t="shared" si="34"/>
        <v>Doanh nghiệp</v>
      </c>
      <c r="J2216" s="15" t="s">
        <v>1285</v>
      </c>
      <c r="K2216" s="15" t="s">
        <v>1265</v>
      </c>
      <c r="L2216" s="32">
        <f>Data!$D2216/10^6</f>
        <v>23.170200000000001</v>
      </c>
    </row>
    <row r="2217" spans="1:12" x14ac:dyDescent="0.25">
      <c r="A2217" s="30" t="s">
        <v>95</v>
      </c>
      <c r="B2217" s="15" t="s">
        <v>1049</v>
      </c>
      <c r="C2217" s="19" t="s">
        <v>46</v>
      </c>
      <c r="D2217" s="16">
        <v>86250172</v>
      </c>
      <c r="E2217" s="17">
        <v>45597</v>
      </c>
      <c r="F2217" s="18">
        <f>MONTH(Data!$E2217)</f>
        <v>11</v>
      </c>
      <c r="G2217" s="16">
        <f>YEAR(Data!$E2217)</f>
        <v>2024</v>
      </c>
      <c r="H2217" s="15" t="s">
        <v>35</v>
      </c>
      <c r="I2217" s="15" t="str">
        <f t="shared" si="34"/>
        <v>Doanh nghiệp</v>
      </c>
      <c r="J2217" s="15" t="s">
        <v>1284</v>
      </c>
      <c r="K2217" s="15" t="s">
        <v>1265</v>
      </c>
      <c r="L2217" s="32">
        <f>Data!$D2217/10^6</f>
        <v>86.250172000000006</v>
      </c>
    </row>
    <row r="2218" spans="1:12" x14ac:dyDescent="0.25">
      <c r="A2218" s="30" t="s">
        <v>62</v>
      </c>
      <c r="B2218" s="15" t="s">
        <v>1056</v>
      </c>
      <c r="C2218" s="19" t="s">
        <v>10</v>
      </c>
      <c r="D2218" s="16">
        <v>55582836</v>
      </c>
      <c r="E2218" s="17">
        <v>45597</v>
      </c>
      <c r="F2218" s="18">
        <f>MONTH(Data!$E2218)</f>
        <v>11</v>
      </c>
      <c r="G2218" s="16">
        <f>YEAR(Data!$E2218)</f>
        <v>2024</v>
      </c>
      <c r="H2218" s="15" t="s">
        <v>15</v>
      </c>
      <c r="I2218" s="15" t="str">
        <f t="shared" si="34"/>
        <v>Doanh nghiệp</v>
      </c>
      <c r="J2218" s="15" t="s">
        <v>1285</v>
      </c>
      <c r="K2218" s="15" t="s">
        <v>1278</v>
      </c>
      <c r="L2218" s="32">
        <f>Data!$D2218/10^6</f>
        <v>55.582836</v>
      </c>
    </row>
    <row r="2219" spans="1:12" x14ac:dyDescent="0.25">
      <c r="A2219" s="30" t="s">
        <v>30</v>
      </c>
      <c r="B2219" s="15" t="s">
        <v>1100</v>
      </c>
      <c r="C2219" s="19" t="s">
        <v>10</v>
      </c>
      <c r="D2219" s="16">
        <v>13155455</v>
      </c>
      <c r="E2219" s="17">
        <v>45597</v>
      </c>
      <c r="F2219" s="18">
        <f>MONTH(Data!$E2219)</f>
        <v>11</v>
      </c>
      <c r="G2219" s="16">
        <f>YEAR(Data!$E2219)</f>
        <v>2024</v>
      </c>
      <c r="H2219" s="15" t="s">
        <v>32</v>
      </c>
      <c r="I2219" s="15" t="str">
        <f t="shared" si="34"/>
        <v>Doanh nghiệp</v>
      </c>
      <c r="J2219" s="15" t="s">
        <v>1284</v>
      </c>
      <c r="K2219" s="15" t="s">
        <v>1267</v>
      </c>
      <c r="L2219" s="32">
        <f>Data!$D2219/10^6</f>
        <v>13.155455</v>
      </c>
    </row>
    <row r="2220" spans="1:12" x14ac:dyDescent="0.25">
      <c r="A2220" s="30" t="s">
        <v>21</v>
      </c>
      <c r="B2220" s="15" t="s">
        <v>1056</v>
      </c>
      <c r="C2220" s="19" t="s">
        <v>149</v>
      </c>
      <c r="D2220" s="16">
        <v>46813636</v>
      </c>
      <c r="E2220" s="17">
        <v>45597</v>
      </c>
      <c r="F2220" s="18">
        <f>MONTH(Data!$E2220)</f>
        <v>11</v>
      </c>
      <c r="G2220" s="16">
        <f>YEAR(Data!$E2220)</f>
        <v>2024</v>
      </c>
      <c r="H2220" s="15" t="s">
        <v>22</v>
      </c>
      <c r="I2220" s="15" t="str">
        <f t="shared" si="34"/>
        <v>Doanh nghiệp</v>
      </c>
      <c r="J2220" s="15" t="s">
        <v>1285</v>
      </c>
      <c r="K2220" s="15" t="s">
        <v>1263</v>
      </c>
      <c r="L2220" s="32">
        <f>Data!$D2220/10^6</f>
        <v>46.813636000000002</v>
      </c>
    </row>
    <row r="2221" spans="1:12" x14ac:dyDescent="0.25">
      <c r="A2221" s="30" t="s">
        <v>52</v>
      </c>
      <c r="B2221" s="15" t="s">
        <v>1073</v>
      </c>
      <c r="C2221" s="19" t="s">
        <v>14</v>
      </c>
      <c r="D2221" s="16">
        <v>213258866</v>
      </c>
      <c r="E2221" s="17">
        <v>45597</v>
      </c>
      <c r="F2221" s="18">
        <f>MONTH(Data!$E2221)</f>
        <v>11</v>
      </c>
      <c r="G2221" s="16">
        <f>YEAR(Data!$E2221)</f>
        <v>2024</v>
      </c>
      <c r="H2221" s="15" t="s">
        <v>35</v>
      </c>
      <c r="I2221" s="15" t="str">
        <f t="shared" si="34"/>
        <v>Doanh nghiệp</v>
      </c>
      <c r="J2221" s="15" t="s">
        <v>1284</v>
      </c>
      <c r="K2221" s="15" t="s">
        <v>1266</v>
      </c>
      <c r="L2221" s="32">
        <f>Data!$D2221/10^6</f>
        <v>213.25886600000001</v>
      </c>
    </row>
    <row r="2222" spans="1:12" x14ac:dyDescent="0.25">
      <c r="A2222" s="30" t="s">
        <v>85</v>
      </c>
      <c r="B2222" s="15" t="s">
        <v>1080</v>
      </c>
      <c r="C2222" s="19" t="s">
        <v>10</v>
      </c>
      <c r="D2222" s="16">
        <v>10293564</v>
      </c>
      <c r="E2222" s="17">
        <v>45597</v>
      </c>
      <c r="F2222" s="18">
        <f>MONTH(Data!$E2222)</f>
        <v>11</v>
      </c>
      <c r="G2222" s="16">
        <f>YEAR(Data!$E2222)</f>
        <v>2024</v>
      </c>
      <c r="H2222" s="15" t="s">
        <v>15</v>
      </c>
      <c r="I2222" s="15" t="str">
        <f t="shared" si="34"/>
        <v>Doanh nghiệp</v>
      </c>
      <c r="J2222" s="15" t="s">
        <v>1285</v>
      </c>
      <c r="K2222" s="15" t="s">
        <v>1263</v>
      </c>
      <c r="L2222" s="32">
        <f>Data!$D2222/10^6</f>
        <v>10.293564</v>
      </c>
    </row>
    <row r="2223" spans="1:12" x14ac:dyDescent="0.25">
      <c r="A2223" s="30" t="s">
        <v>85</v>
      </c>
      <c r="B2223" s="15" t="s">
        <v>1081</v>
      </c>
      <c r="C2223" s="19" t="s">
        <v>10</v>
      </c>
      <c r="D2223" s="16">
        <v>25136364</v>
      </c>
      <c r="E2223" s="17">
        <v>45597</v>
      </c>
      <c r="F2223" s="18">
        <f>MONTH(Data!$E2223)</f>
        <v>11</v>
      </c>
      <c r="G2223" s="16">
        <f>YEAR(Data!$E2223)</f>
        <v>2024</v>
      </c>
      <c r="H2223" s="15" t="s">
        <v>15</v>
      </c>
      <c r="I2223" s="15" t="str">
        <f t="shared" si="34"/>
        <v>Doanh nghiệp</v>
      </c>
      <c r="J2223" s="15" t="s">
        <v>1284</v>
      </c>
      <c r="K2223" s="15" t="s">
        <v>1263</v>
      </c>
      <c r="L2223" s="32">
        <f>Data!$D2223/10^6</f>
        <v>25.136364</v>
      </c>
    </row>
    <row r="2224" spans="1:12" x14ac:dyDescent="0.25">
      <c r="A2224" s="30" t="s">
        <v>85</v>
      </c>
      <c r="B2224" s="15" t="s">
        <v>1082</v>
      </c>
      <c r="C2224" s="19" t="s">
        <v>10</v>
      </c>
      <c r="D2224" s="16">
        <v>18477273</v>
      </c>
      <c r="E2224" s="17">
        <v>45597</v>
      </c>
      <c r="F2224" s="18">
        <f>MONTH(Data!$E2224)</f>
        <v>11</v>
      </c>
      <c r="G2224" s="16">
        <f>YEAR(Data!$E2224)</f>
        <v>2024</v>
      </c>
      <c r="H2224" s="15" t="s">
        <v>15</v>
      </c>
      <c r="I2224" s="15" t="str">
        <f t="shared" si="34"/>
        <v>Doanh nghiệp</v>
      </c>
      <c r="J2224" s="15" t="s">
        <v>1285</v>
      </c>
      <c r="K2224" s="15" t="s">
        <v>1263</v>
      </c>
      <c r="L2224" s="32">
        <f>Data!$D2224/10^6</f>
        <v>18.477273</v>
      </c>
    </row>
    <row r="2225" spans="1:12" x14ac:dyDescent="0.25">
      <c r="A2225" s="30" t="s">
        <v>92</v>
      </c>
      <c r="B2225" s="15" t="s">
        <v>1092</v>
      </c>
      <c r="C2225" s="19" t="s">
        <v>46</v>
      </c>
      <c r="D2225" s="16">
        <v>120545455</v>
      </c>
      <c r="E2225" s="17">
        <v>45597</v>
      </c>
      <c r="F2225" s="18">
        <f>MONTH(Data!$E2225)</f>
        <v>11</v>
      </c>
      <c r="G2225" s="16">
        <f>YEAR(Data!$E2225)</f>
        <v>2024</v>
      </c>
      <c r="H2225" s="15" t="s">
        <v>29</v>
      </c>
      <c r="I2225" s="15" t="str">
        <f t="shared" si="34"/>
        <v>Doanh nghiệp</v>
      </c>
      <c r="J2225" s="15" t="s">
        <v>1284</v>
      </c>
      <c r="K2225" s="15" t="s">
        <v>1271</v>
      </c>
      <c r="L2225" s="32">
        <f>Data!$D2225/10^6</f>
        <v>120.545455</v>
      </c>
    </row>
    <row r="2226" spans="1:12" x14ac:dyDescent="0.25">
      <c r="A2226" s="30" t="s">
        <v>191</v>
      </c>
      <c r="B2226" s="15" t="s">
        <v>1101</v>
      </c>
      <c r="C2226" s="19" t="s">
        <v>46</v>
      </c>
      <c r="D2226" s="16">
        <v>136365864</v>
      </c>
      <c r="E2226" s="17">
        <v>45597</v>
      </c>
      <c r="F2226" s="18">
        <f>MONTH(Data!$E2226)</f>
        <v>11</v>
      </c>
      <c r="G2226" s="16">
        <f>YEAR(Data!$E2226)</f>
        <v>2024</v>
      </c>
      <c r="H2226" s="15" t="s">
        <v>35</v>
      </c>
      <c r="I2226" s="15" t="str">
        <f t="shared" si="34"/>
        <v>Doanh nghiệp</v>
      </c>
      <c r="J2226" s="15" t="s">
        <v>1285</v>
      </c>
      <c r="K2226" s="15" t="s">
        <v>1265</v>
      </c>
      <c r="L2226" s="32">
        <f>Data!$D2226/10^6</f>
        <v>136.36586399999999</v>
      </c>
    </row>
    <row r="2227" spans="1:12" x14ac:dyDescent="0.25">
      <c r="A2227" s="30" t="s">
        <v>21</v>
      </c>
      <c r="B2227" s="15" t="s">
        <v>1111</v>
      </c>
      <c r="C2227" s="19" t="s">
        <v>10</v>
      </c>
      <c r="D2227" s="16">
        <v>89289000</v>
      </c>
      <c r="E2227" s="17">
        <v>45597</v>
      </c>
      <c r="F2227" s="18">
        <f>MONTH(Data!$E2227)</f>
        <v>11</v>
      </c>
      <c r="G2227" s="16">
        <f>YEAR(Data!$E2227)</f>
        <v>2024</v>
      </c>
      <c r="H2227" s="15" t="s">
        <v>22</v>
      </c>
      <c r="I2227" s="15" t="str">
        <f t="shared" si="34"/>
        <v>Doanh nghiệp</v>
      </c>
      <c r="J2227" s="15" t="s">
        <v>1284</v>
      </c>
      <c r="K2227" s="15" t="s">
        <v>1263</v>
      </c>
      <c r="L2227" s="32">
        <f>Data!$D2227/10^6</f>
        <v>89.289000000000001</v>
      </c>
    </row>
    <row r="2228" spans="1:12" x14ac:dyDescent="0.25">
      <c r="A2228" s="30" t="s">
        <v>21</v>
      </c>
      <c r="B2228" s="15" t="s">
        <v>1112</v>
      </c>
      <c r="C2228" s="19" t="s">
        <v>149</v>
      </c>
      <c r="D2228" s="16">
        <v>32186000</v>
      </c>
      <c r="E2228" s="17">
        <v>45597</v>
      </c>
      <c r="F2228" s="18">
        <f>MONTH(Data!$E2228)</f>
        <v>11</v>
      </c>
      <c r="G2228" s="16">
        <f>YEAR(Data!$E2228)</f>
        <v>2024</v>
      </c>
      <c r="H2228" s="15" t="s">
        <v>22</v>
      </c>
      <c r="I2228" s="15" t="str">
        <f t="shared" si="34"/>
        <v>Doanh nghiệp</v>
      </c>
      <c r="J2228" s="15" t="s">
        <v>1285</v>
      </c>
      <c r="K2228" s="15" t="s">
        <v>1263</v>
      </c>
      <c r="L2228" s="32">
        <f>Data!$D2228/10^6</f>
        <v>32.186</v>
      </c>
    </row>
    <row r="2229" spans="1:12" x14ac:dyDescent="0.25">
      <c r="A2229" s="30" t="s">
        <v>78</v>
      </c>
      <c r="B2229" s="15" t="s">
        <v>1115</v>
      </c>
      <c r="C2229" s="19" t="s">
        <v>149</v>
      </c>
      <c r="D2229" s="16">
        <v>86400000</v>
      </c>
      <c r="E2229" s="17">
        <v>45597</v>
      </c>
      <c r="F2229" s="18">
        <f>MONTH(Data!$E2229)</f>
        <v>11</v>
      </c>
      <c r="G2229" s="16">
        <f>YEAR(Data!$E2229)</f>
        <v>2024</v>
      </c>
      <c r="H2229" s="15" t="s">
        <v>15</v>
      </c>
      <c r="I2229" s="15" t="str">
        <f t="shared" si="34"/>
        <v>Doanh nghiệp</v>
      </c>
      <c r="J2229" s="15" t="s">
        <v>1284</v>
      </c>
      <c r="K2229" s="15" t="s">
        <v>1262</v>
      </c>
      <c r="L2229" s="32">
        <f>Data!$D2229/10^6</f>
        <v>86.4</v>
      </c>
    </row>
    <row r="2230" spans="1:12" x14ac:dyDescent="0.25">
      <c r="A2230" s="30" t="s">
        <v>62</v>
      </c>
      <c r="B2230" s="15" t="s">
        <v>1111</v>
      </c>
      <c r="C2230" s="19" t="s">
        <v>46</v>
      </c>
      <c r="D2230" s="16">
        <v>139090909</v>
      </c>
      <c r="E2230" s="17">
        <v>45597</v>
      </c>
      <c r="F2230" s="18">
        <f>MONTH(Data!$E2230)</f>
        <v>11</v>
      </c>
      <c r="G2230" s="16">
        <f>YEAR(Data!$E2230)</f>
        <v>2024</v>
      </c>
      <c r="H2230" s="15" t="s">
        <v>15</v>
      </c>
      <c r="I2230" s="15" t="str">
        <f t="shared" si="34"/>
        <v>Doanh nghiệp</v>
      </c>
      <c r="J2230" s="15" t="s">
        <v>1285</v>
      </c>
      <c r="K2230" s="15" t="s">
        <v>1265</v>
      </c>
      <c r="L2230" s="32">
        <f>Data!$D2230/10^6</f>
        <v>139.09090900000001</v>
      </c>
    </row>
    <row r="2231" spans="1:12" x14ac:dyDescent="0.25">
      <c r="A2231" s="30" t="s">
        <v>123</v>
      </c>
      <c r="B2231" s="15" t="s">
        <v>1119</v>
      </c>
      <c r="C2231" s="19" t="s">
        <v>14</v>
      </c>
      <c r="D2231" s="16">
        <v>11818182</v>
      </c>
      <c r="E2231" s="17">
        <v>45597</v>
      </c>
      <c r="F2231" s="18">
        <f>MONTH(Data!$E2231)</f>
        <v>11</v>
      </c>
      <c r="G2231" s="16">
        <f>YEAR(Data!$E2231)</f>
        <v>2024</v>
      </c>
      <c r="H2231" s="15" t="s">
        <v>15</v>
      </c>
      <c r="I2231" s="15" t="str">
        <f t="shared" si="34"/>
        <v>Doanh nghiệp</v>
      </c>
      <c r="J2231" s="15" t="s">
        <v>1284</v>
      </c>
      <c r="K2231" s="15" t="s">
        <v>1264</v>
      </c>
      <c r="L2231" s="32">
        <f>Data!$D2231/10^6</f>
        <v>11.818182</v>
      </c>
    </row>
    <row r="2232" spans="1:12" x14ac:dyDescent="0.25">
      <c r="A2232" s="30" t="s">
        <v>130</v>
      </c>
      <c r="B2232" s="15" t="s">
        <v>1145</v>
      </c>
      <c r="C2232" s="19" t="s">
        <v>14</v>
      </c>
      <c r="D2232" s="16">
        <v>3063579855</v>
      </c>
      <c r="E2232" s="17">
        <v>45597</v>
      </c>
      <c r="F2232" s="18">
        <f>MONTH(Data!$E2232)</f>
        <v>11</v>
      </c>
      <c r="G2232" s="16">
        <f>YEAR(Data!$E2232)</f>
        <v>2024</v>
      </c>
      <c r="H2232" s="15" t="s">
        <v>22</v>
      </c>
      <c r="I2232" s="15" t="str">
        <f t="shared" si="34"/>
        <v>Doanh nghiệp</v>
      </c>
      <c r="J2232" s="15" t="s">
        <v>1285</v>
      </c>
      <c r="K2232" s="15" t="s">
        <v>1266</v>
      </c>
      <c r="L2232" s="32">
        <f>Data!$D2232/10^6</f>
        <v>3063.579855</v>
      </c>
    </row>
    <row r="2233" spans="1:12" x14ac:dyDescent="0.25">
      <c r="A2233" s="30" t="s">
        <v>98</v>
      </c>
      <c r="B2233" s="15" t="s">
        <v>1147</v>
      </c>
      <c r="C2233" s="19" t="s">
        <v>46</v>
      </c>
      <c r="D2233" s="16">
        <v>141391591</v>
      </c>
      <c r="E2233" s="17">
        <v>45597</v>
      </c>
      <c r="F2233" s="18">
        <f>MONTH(Data!$E2233)</f>
        <v>11</v>
      </c>
      <c r="G2233" s="16">
        <f>YEAR(Data!$E2233)</f>
        <v>2024</v>
      </c>
      <c r="H2233" s="15" t="s">
        <v>11</v>
      </c>
      <c r="I2233" s="15" t="str">
        <f t="shared" si="34"/>
        <v>Doanh nghiệp</v>
      </c>
      <c r="J2233" s="15" t="s">
        <v>1284</v>
      </c>
      <c r="K2233" s="15" t="s">
        <v>1265</v>
      </c>
      <c r="L2233" s="32">
        <f>Data!$D2233/10^6</f>
        <v>141.39159100000001</v>
      </c>
    </row>
    <row r="2234" spans="1:12" x14ac:dyDescent="0.25">
      <c r="A2234" s="30" t="s">
        <v>36</v>
      </c>
      <c r="B2234" s="15" t="s">
        <v>1142</v>
      </c>
      <c r="C2234" s="19" t="s">
        <v>14</v>
      </c>
      <c r="D2234" s="16">
        <v>14700000</v>
      </c>
      <c r="E2234" s="17">
        <v>45597</v>
      </c>
      <c r="F2234" s="18">
        <f>MONTH(Data!$E2234)</f>
        <v>11</v>
      </c>
      <c r="G2234" s="16">
        <f>YEAR(Data!$E2234)</f>
        <v>2024</v>
      </c>
      <c r="H2234" s="15" t="s">
        <v>15</v>
      </c>
      <c r="I2234" s="15" t="str">
        <f t="shared" si="34"/>
        <v>Doanh nghiệp</v>
      </c>
      <c r="J2234" s="15" t="s">
        <v>1285</v>
      </c>
      <c r="K2234" s="15" t="s">
        <v>1264</v>
      </c>
      <c r="L2234" s="32">
        <f>Data!$D2234/10^6</f>
        <v>14.7</v>
      </c>
    </row>
    <row r="2235" spans="1:12" x14ac:dyDescent="0.25">
      <c r="A2235" s="30" t="s">
        <v>78</v>
      </c>
      <c r="B2235" s="15" t="s">
        <v>1125</v>
      </c>
      <c r="C2235" s="19" t="s">
        <v>14</v>
      </c>
      <c r="D2235" s="16">
        <v>62150000</v>
      </c>
      <c r="E2235" s="17">
        <v>45597</v>
      </c>
      <c r="F2235" s="18">
        <f>MONTH(Data!$E2235)</f>
        <v>11</v>
      </c>
      <c r="G2235" s="16">
        <f>YEAR(Data!$E2235)</f>
        <v>2024</v>
      </c>
      <c r="H2235" s="15" t="s">
        <v>15</v>
      </c>
      <c r="I2235" s="15" t="str">
        <f t="shared" si="34"/>
        <v>Doanh nghiệp</v>
      </c>
      <c r="J2235" s="15" t="s">
        <v>1284</v>
      </c>
      <c r="K2235" s="15" t="s">
        <v>1264</v>
      </c>
      <c r="L2235" s="32">
        <f>Data!$D2235/10^6</f>
        <v>62.15</v>
      </c>
    </row>
    <row r="2236" spans="1:12" x14ac:dyDescent="0.25">
      <c r="A2236" s="30" t="s">
        <v>89</v>
      </c>
      <c r="B2236" s="15" t="s">
        <v>1133</v>
      </c>
      <c r="C2236" s="19" t="s">
        <v>14</v>
      </c>
      <c r="D2236" s="16">
        <v>66363636</v>
      </c>
      <c r="E2236" s="17">
        <v>45597</v>
      </c>
      <c r="F2236" s="18">
        <f>MONTH(Data!$E2236)</f>
        <v>11</v>
      </c>
      <c r="G2236" s="16">
        <f>YEAR(Data!$E2236)</f>
        <v>2024</v>
      </c>
      <c r="H2236" s="15" t="s">
        <v>11</v>
      </c>
      <c r="I2236" s="15" t="str">
        <f t="shared" si="34"/>
        <v>Doanh nghiệp</v>
      </c>
      <c r="J2236" s="15" t="s">
        <v>1285</v>
      </c>
      <c r="K2236" s="15" t="s">
        <v>1275</v>
      </c>
      <c r="L2236" s="32">
        <f>Data!$D2236/10^6</f>
        <v>66.363636</v>
      </c>
    </row>
    <row r="2237" spans="1:12" x14ac:dyDescent="0.25">
      <c r="A2237" s="30" t="s">
        <v>89</v>
      </c>
      <c r="B2237" s="15" t="s">
        <v>1134</v>
      </c>
      <c r="C2237" s="19" t="s">
        <v>14</v>
      </c>
      <c r="D2237" s="16">
        <v>170454545</v>
      </c>
      <c r="E2237" s="17">
        <v>45597</v>
      </c>
      <c r="F2237" s="18">
        <f>MONTH(Data!$E2237)</f>
        <v>11</v>
      </c>
      <c r="G2237" s="16">
        <f>YEAR(Data!$E2237)</f>
        <v>2024</v>
      </c>
      <c r="H2237" s="15" t="s">
        <v>11</v>
      </c>
      <c r="I2237" s="15" t="str">
        <f t="shared" si="34"/>
        <v>Doanh nghiệp</v>
      </c>
      <c r="J2237" s="15" t="s">
        <v>1284</v>
      </c>
      <c r="K2237" s="15" t="s">
        <v>1275</v>
      </c>
      <c r="L2237" s="32">
        <f>Data!$D2237/10^6</f>
        <v>170.454545</v>
      </c>
    </row>
    <row r="2238" spans="1:12" x14ac:dyDescent="0.25">
      <c r="A2238" s="30" t="s">
        <v>55</v>
      </c>
      <c r="B2238" s="15" t="s">
        <v>1150</v>
      </c>
      <c r="C2238" s="19" t="s">
        <v>10</v>
      </c>
      <c r="D2238" s="16">
        <v>36434818</v>
      </c>
      <c r="E2238" s="17">
        <v>45597</v>
      </c>
      <c r="F2238" s="18">
        <f>MONTH(Data!$E2238)</f>
        <v>11</v>
      </c>
      <c r="G2238" s="16">
        <f>YEAR(Data!$E2238)</f>
        <v>2024</v>
      </c>
      <c r="H2238" s="15" t="s">
        <v>15</v>
      </c>
      <c r="I2238" s="15" t="str">
        <f t="shared" si="34"/>
        <v>Doanh nghiệp</v>
      </c>
      <c r="J2238" s="15" t="s">
        <v>1285</v>
      </c>
      <c r="K2238" s="15" t="s">
        <v>1263</v>
      </c>
      <c r="L2238" s="32">
        <f>Data!$D2238/10^6</f>
        <v>36.434818</v>
      </c>
    </row>
    <row r="2239" spans="1:12" x14ac:dyDescent="0.25">
      <c r="A2239" s="30" t="s">
        <v>87</v>
      </c>
      <c r="B2239" s="15" t="s">
        <v>1160</v>
      </c>
      <c r="C2239" s="19" t="s">
        <v>10</v>
      </c>
      <c r="D2239" s="16">
        <v>76020982</v>
      </c>
      <c r="E2239" s="17">
        <v>45597</v>
      </c>
      <c r="F2239" s="18">
        <f>MONTH(Data!$E2239)</f>
        <v>11</v>
      </c>
      <c r="G2239" s="16">
        <f>YEAR(Data!$E2239)</f>
        <v>2024</v>
      </c>
      <c r="H2239" s="15" t="s">
        <v>29</v>
      </c>
      <c r="I2239" s="15" t="str">
        <f t="shared" si="34"/>
        <v>Doanh nghiệp</v>
      </c>
      <c r="J2239" s="15" t="s">
        <v>1284</v>
      </c>
      <c r="K2239" s="15" t="s">
        <v>1262</v>
      </c>
      <c r="L2239" s="32">
        <f>Data!$D2239/10^6</f>
        <v>76.020982000000004</v>
      </c>
    </row>
    <row r="2240" spans="1:12" x14ac:dyDescent="0.25">
      <c r="A2240" s="30" t="s">
        <v>23</v>
      </c>
      <c r="B2240" s="15" t="s">
        <v>1163</v>
      </c>
      <c r="C2240" s="19" t="s">
        <v>14</v>
      </c>
      <c r="D2240" s="16">
        <v>200477455</v>
      </c>
      <c r="E2240" s="17">
        <v>45597</v>
      </c>
      <c r="F2240" s="18">
        <f>MONTH(Data!$E2240)</f>
        <v>11</v>
      </c>
      <c r="G2240" s="16">
        <f>YEAR(Data!$E2240)</f>
        <v>2024</v>
      </c>
      <c r="H2240" s="15" t="s">
        <v>25</v>
      </c>
      <c r="I2240" s="15" t="str">
        <f t="shared" si="34"/>
        <v>Doanh nghiệp</v>
      </c>
      <c r="J2240" s="15" t="s">
        <v>1285</v>
      </c>
      <c r="K2240" s="15" t="s">
        <v>1275</v>
      </c>
      <c r="L2240" s="32">
        <f>Data!$D2240/10^6</f>
        <v>200.47745499999999</v>
      </c>
    </row>
    <row r="2241" spans="1:12" x14ac:dyDescent="0.25">
      <c r="A2241" s="30" t="s">
        <v>160</v>
      </c>
      <c r="B2241" s="15" t="s">
        <v>1170</v>
      </c>
      <c r="C2241" s="19" t="s">
        <v>10</v>
      </c>
      <c r="D2241" s="16">
        <v>515533464</v>
      </c>
      <c r="E2241" s="17">
        <v>45597</v>
      </c>
      <c r="F2241" s="18">
        <f>MONTH(Data!$E2241)</f>
        <v>11</v>
      </c>
      <c r="G2241" s="16">
        <f>YEAR(Data!$E2241)</f>
        <v>2024</v>
      </c>
      <c r="H2241" s="15" t="s">
        <v>35</v>
      </c>
      <c r="I2241" s="15" t="str">
        <f t="shared" si="34"/>
        <v>Doanh nghiệp</v>
      </c>
      <c r="J2241" s="15" t="s">
        <v>1284</v>
      </c>
      <c r="K2241" s="15" t="s">
        <v>1267</v>
      </c>
      <c r="L2241" s="32">
        <f>Data!$D2241/10^6</f>
        <v>515.53346399999998</v>
      </c>
    </row>
    <row r="2242" spans="1:12" x14ac:dyDescent="0.25">
      <c r="A2242" s="30" t="s">
        <v>218</v>
      </c>
      <c r="B2242" s="15" t="s">
        <v>1171</v>
      </c>
      <c r="C2242" s="19" t="s">
        <v>41</v>
      </c>
      <c r="D2242" s="16">
        <v>78900727</v>
      </c>
      <c r="E2242" s="17">
        <v>45597</v>
      </c>
      <c r="F2242" s="18">
        <f>MONTH(Data!$E2242)</f>
        <v>11</v>
      </c>
      <c r="G2242" s="16">
        <f>YEAR(Data!$E2242)</f>
        <v>2024</v>
      </c>
      <c r="H2242" s="15" t="s">
        <v>15</v>
      </c>
      <c r="I2242" s="15" t="str">
        <f t="shared" si="34"/>
        <v>Doanh nghiệp</v>
      </c>
      <c r="J2242" s="15" t="s">
        <v>1285</v>
      </c>
      <c r="K2242" s="15" t="s">
        <v>1269</v>
      </c>
      <c r="L2242" s="32">
        <f>Data!$D2242/10^6</f>
        <v>78.900727000000003</v>
      </c>
    </row>
    <row r="2243" spans="1:12" x14ac:dyDescent="0.25">
      <c r="A2243" s="30" t="s">
        <v>47</v>
      </c>
      <c r="B2243" s="15" t="s">
        <v>1178</v>
      </c>
      <c r="C2243" s="19" t="s">
        <v>14</v>
      </c>
      <c r="D2243" s="16">
        <v>229132909</v>
      </c>
      <c r="E2243" s="17">
        <v>45597</v>
      </c>
      <c r="F2243" s="18">
        <f>MONTH(Data!$E2243)</f>
        <v>11</v>
      </c>
      <c r="G2243" s="16">
        <f>YEAR(Data!$E2243)</f>
        <v>2024</v>
      </c>
      <c r="H2243" s="15" t="s">
        <v>29</v>
      </c>
      <c r="I2243" s="15" t="str">
        <f t="shared" ref="I2243:I2306" si="35">IF(ISNUMBER(SEARCH("Công ty",$B2243)),"Doanh nghiệp",IF(ISNUMBER(SEARCH("Doanh nghiệp",$B2243)),"Doanh nghiệp",IF(ISNUMBER(SEARCH("Tập đoàn",$B2243)),"Doanh nghiệp",
IF(ISNUMBER(SEARCH("Bệnh viện",$B2243)),"Bệnh viện",
IF(ISNUMBER(SEARCH("Ngân hàng",$B2243)),"Ngân hàng",IF(ISNUMBER(SEARCH("trường",$B2243)),"Trường học",IF(ISNUMBER(SEARCH("học viện",$B2243)),"Trường học",
IF(ISNUMBER(SEARCH("Bộ",$B2243)),"Sở ban ngành",IF(ISNUMBER(SEARCH("Đoàn",$B2243)),"Sở ban ngành",IF(ISNUMBER(SEARCH("Phòng",$B2243)),"Sở ban ngành",IF(ISNUMBER(SEARCH("UBND",$B2243)),"Sở ban ngành",IF(ISNUMBER(SEARCH("ủy ban",$B2243)),"Sở ban ngành",IF(ISNUMBER(SEARCH("công an",$B2243)),"Sở ban ngành",IF(ISNUMBER(SEARCH("sở",$B2243)),"Sở ban ngành",IF(ISNUMBER(SEARCH("thôn",$B2243)),"Sở ban ngành",IF(ISNUMBER(SEARCH("xã",$B2243)),"Sở ban ngành",IF(ISNUMBER(SEARCH("quân khu",$B2243)),"Sở ban ngành",IF(ISNUMBER(SEARCH("cục",$B2243)),"Sở ban ngành",IF(ISNUMBER(SEARCH("viện",$B2243)),"Sở ban ngành",IF(ISNUMBER(SEARCH("quỹ",$B2243)),"Sở ban ngành",IF(ISNUMBER(SEARCH("trung tâm",$B2243)),"Sở ban ngành",IF(ISNUMBER(SEARCH("quân chủng",$B2243)),"Sở ban ngành",IF(ISNUMBER(SEARCH("hội",$B2243)),"Sở ban ngành",
"Khác")))))))))))))))))))))))</f>
        <v>Doanh nghiệp</v>
      </c>
      <c r="J2243" s="15" t="s">
        <v>1284</v>
      </c>
      <c r="K2243" s="15" t="s">
        <v>1275</v>
      </c>
      <c r="L2243" s="32">
        <f>Data!$D2243/10^6</f>
        <v>229.13290900000001</v>
      </c>
    </row>
    <row r="2244" spans="1:12" x14ac:dyDescent="0.25">
      <c r="A2244" s="30" t="s">
        <v>54</v>
      </c>
      <c r="B2244" s="15" t="s">
        <v>1191</v>
      </c>
      <c r="C2244" s="19" t="s">
        <v>10</v>
      </c>
      <c r="D2244" s="16">
        <v>72690000</v>
      </c>
      <c r="E2244" s="17">
        <v>45597</v>
      </c>
      <c r="F2244" s="18">
        <f>MONTH(Data!$E2244)</f>
        <v>11</v>
      </c>
      <c r="G2244" s="16">
        <f>YEAR(Data!$E2244)</f>
        <v>2024</v>
      </c>
      <c r="H2244" s="15" t="s">
        <v>15</v>
      </c>
      <c r="I2244" s="15" t="str">
        <f t="shared" si="35"/>
        <v>Doanh nghiệp</v>
      </c>
      <c r="J2244" s="15" t="s">
        <v>1285</v>
      </c>
      <c r="K2244" s="15" t="s">
        <v>1263</v>
      </c>
      <c r="L2244" s="32">
        <f>Data!$D2244/10^6</f>
        <v>72.69</v>
      </c>
    </row>
    <row r="2245" spans="1:12" x14ac:dyDescent="0.25">
      <c r="A2245" s="30" t="s">
        <v>95</v>
      </c>
      <c r="B2245" s="15" t="s">
        <v>1209</v>
      </c>
      <c r="C2245" s="19" t="s">
        <v>41</v>
      </c>
      <c r="D2245" s="16">
        <v>75620000</v>
      </c>
      <c r="E2245" s="17">
        <v>45597</v>
      </c>
      <c r="F2245" s="18">
        <f>MONTH(Data!$E2245)</f>
        <v>11</v>
      </c>
      <c r="G2245" s="16">
        <f>YEAR(Data!$E2245)</f>
        <v>2024</v>
      </c>
      <c r="H2245" s="15" t="s">
        <v>35</v>
      </c>
      <c r="I2245" s="15" t="str">
        <f t="shared" si="35"/>
        <v>Doanh nghiệp</v>
      </c>
      <c r="J2245" s="15" t="s">
        <v>1284</v>
      </c>
      <c r="K2245" s="15" t="s">
        <v>1280</v>
      </c>
      <c r="L2245" s="32">
        <f>Data!$D2245/10^6</f>
        <v>75.62</v>
      </c>
    </row>
    <row r="2246" spans="1:12" x14ac:dyDescent="0.25">
      <c r="A2246" s="30" t="s">
        <v>95</v>
      </c>
      <c r="B2246" s="15" t="s">
        <v>1210</v>
      </c>
      <c r="C2246" s="19" t="s">
        <v>10</v>
      </c>
      <c r="D2246" s="16">
        <v>75337727</v>
      </c>
      <c r="E2246" s="17">
        <v>45597</v>
      </c>
      <c r="F2246" s="18">
        <f>MONTH(Data!$E2246)</f>
        <v>11</v>
      </c>
      <c r="G2246" s="16">
        <f>YEAR(Data!$E2246)</f>
        <v>2024</v>
      </c>
      <c r="H2246" s="15" t="s">
        <v>35</v>
      </c>
      <c r="I2246" s="15" t="str">
        <f t="shared" si="35"/>
        <v>Doanh nghiệp</v>
      </c>
      <c r="J2246" s="15" t="s">
        <v>1285</v>
      </c>
      <c r="K2246" s="15" t="s">
        <v>1280</v>
      </c>
      <c r="L2246" s="32">
        <f>Data!$D2246/10^6</f>
        <v>75.337727000000001</v>
      </c>
    </row>
    <row r="2247" spans="1:12" x14ac:dyDescent="0.25">
      <c r="A2247" s="30" t="s">
        <v>30</v>
      </c>
      <c r="B2247" s="15" t="s">
        <v>1227</v>
      </c>
      <c r="C2247" s="19" t="s">
        <v>149</v>
      </c>
      <c r="D2247" s="16">
        <v>20146909</v>
      </c>
      <c r="E2247" s="17">
        <v>45597</v>
      </c>
      <c r="F2247" s="18">
        <f>MONTH(Data!$E2247)</f>
        <v>11</v>
      </c>
      <c r="G2247" s="16">
        <f>YEAR(Data!$E2247)</f>
        <v>2024</v>
      </c>
      <c r="H2247" s="15" t="s">
        <v>32</v>
      </c>
      <c r="I2247" s="15" t="str">
        <f t="shared" si="35"/>
        <v>Doanh nghiệp</v>
      </c>
      <c r="J2247" s="15" t="s">
        <v>1284</v>
      </c>
      <c r="K2247" s="15" t="s">
        <v>1275</v>
      </c>
      <c r="L2247" s="32">
        <f>Data!$D2247/10^6</f>
        <v>20.146909000000001</v>
      </c>
    </row>
    <row r="2248" spans="1:12" x14ac:dyDescent="0.25">
      <c r="A2248" s="30" t="s">
        <v>74</v>
      </c>
      <c r="B2248" s="15" t="s">
        <v>1240</v>
      </c>
      <c r="C2248" s="19" t="s">
        <v>14</v>
      </c>
      <c r="D2248" s="16">
        <v>5091364</v>
      </c>
      <c r="E2248" s="17">
        <v>45597</v>
      </c>
      <c r="F2248" s="18">
        <f>MONTH(Data!$E2248)</f>
        <v>11</v>
      </c>
      <c r="G2248" s="16">
        <f>YEAR(Data!$E2248)</f>
        <v>2024</v>
      </c>
      <c r="H2248" s="15" t="s">
        <v>11</v>
      </c>
      <c r="I2248" s="15" t="str">
        <f t="shared" si="35"/>
        <v>Doanh nghiệp</v>
      </c>
      <c r="J2248" s="15" t="s">
        <v>1285</v>
      </c>
      <c r="K2248" s="15" t="s">
        <v>1273</v>
      </c>
      <c r="L2248" s="32">
        <f>Data!$D2248/10^6</f>
        <v>5.0913639999999996</v>
      </c>
    </row>
    <row r="2249" spans="1:12" x14ac:dyDescent="0.25">
      <c r="A2249" s="30" t="s">
        <v>116</v>
      </c>
      <c r="B2249" s="15" t="s">
        <v>1248</v>
      </c>
      <c r="C2249" s="19" t="s">
        <v>10</v>
      </c>
      <c r="D2249" s="16">
        <v>19800000</v>
      </c>
      <c r="E2249" s="17">
        <v>45597</v>
      </c>
      <c r="F2249" s="18">
        <f>MONTH(Data!$E2249)</f>
        <v>11</v>
      </c>
      <c r="G2249" s="16">
        <f>YEAR(Data!$E2249)</f>
        <v>2024</v>
      </c>
      <c r="H2249" s="15" t="s">
        <v>15</v>
      </c>
      <c r="I2249" s="15" t="str">
        <f t="shared" si="35"/>
        <v>Doanh nghiệp</v>
      </c>
      <c r="J2249" s="15" t="s">
        <v>1284</v>
      </c>
      <c r="K2249" s="15" t="s">
        <v>1263</v>
      </c>
      <c r="L2249" s="32">
        <f>Data!$D2249/10^6</f>
        <v>19.8</v>
      </c>
    </row>
    <row r="2250" spans="1:12" x14ac:dyDescent="0.25">
      <c r="A2250" s="30" t="s">
        <v>116</v>
      </c>
      <c r="B2250" s="15" t="s">
        <v>1249</v>
      </c>
      <c r="C2250" s="19" t="s">
        <v>10</v>
      </c>
      <c r="D2250" s="16">
        <v>4950000</v>
      </c>
      <c r="E2250" s="17">
        <v>45597</v>
      </c>
      <c r="F2250" s="18">
        <f>MONTH(Data!$E2250)</f>
        <v>11</v>
      </c>
      <c r="G2250" s="16">
        <f>YEAR(Data!$E2250)</f>
        <v>2024</v>
      </c>
      <c r="H2250" s="15" t="s">
        <v>15</v>
      </c>
      <c r="I2250" s="15" t="str">
        <f t="shared" si="35"/>
        <v>Doanh nghiệp</v>
      </c>
      <c r="J2250" s="15" t="s">
        <v>1285</v>
      </c>
      <c r="K2250" s="15" t="s">
        <v>1263</v>
      </c>
      <c r="L2250" s="32">
        <f>Data!$D2250/10^6</f>
        <v>4.95</v>
      </c>
    </row>
    <row r="2251" spans="1:12" x14ac:dyDescent="0.25">
      <c r="A2251" s="30" t="s">
        <v>55</v>
      </c>
      <c r="B2251" s="15" t="s">
        <v>1249</v>
      </c>
      <c r="C2251" s="19" t="s">
        <v>46</v>
      </c>
      <c r="D2251" s="16">
        <v>325930545</v>
      </c>
      <c r="E2251" s="17">
        <v>45597</v>
      </c>
      <c r="F2251" s="18">
        <f>MONTH(Data!$E2251)</f>
        <v>11</v>
      </c>
      <c r="G2251" s="16">
        <f>YEAR(Data!$E2251)</f>
        <v>2024</v>
      </c>
      <c r="H2251" s="15" t="s">
        <v>15</v>
      </c>
      <c r="I2251" s="15" t="str">
        <f t="shared" si="35"/>
        <v>Doanh nghiệp</v>
      </c>
      <c r="J2251" s="15" t="s">
        <v>1284</v>
      </c>
      <c r="K2251" s="15" t="s">
        <v>1265</v>
      </c>
      <c r="L2251" s="32">
        <f>Data!$D2251/10^6</f>
        <v>325.930545</v>
      </c>
    </row>
    <row r="2252" spans="1:12" x14ac:dyDescent="0.25">
      <c r="A2252" s="30" t="s">
        <v>89</v>
      </c>
      <c r="B2252" s="15" t="s">
        <v>1249</v>
      </c>
      <c r="C2252" s="19" t="s">
        <v>46</v>
      </c>
      <c r="D2252" s="16">
        <v>11345455</v>
      </c>
      <c r="E2252" s="17">
        <v>45597</v>
      </c>
      <c r="F2252" s="18">
        <f>MONTH(Data!$E2252)</f>
        <v>11</v>
      </c>
      <c r="G2252" s="16">
        <f>YEAR(Data!$E2252)</f>
        <v>2024</v>
      </c>
      <c r="H2252" s="15" t="s">
        <v>11</v>
      </c>
      <c r="I2252" s="15" t="str">
        <f t="shared" si="35"/>
        <v>Doanh nghiệp</v>
      </c>
      <c r="J2252" s="15" t="s">
        <v>1285</v>
      </c>
      <c r="K2252" s="15" t="s">
        <v>1271</v>
      </c>
      <c r="L2252" s="32">
        <f>Data!$D2252/10^6</f>
        <v>11.345454999999999</v>
      </c>
    </row>
    <row r="2253" spans="1:12" x14ac:dyDescent="0.25">
      <c r="A2253" s="30" t="s">
        <v>62</v>
      </c>
      <c r="B2253" s="15" t="s">
        <v>1248</v>
      </c>
      <c r="C2253" s="19" t="s">
        <v>10</v>
      </c>
      <c r="D2253" s="16">
        <v>4029091</v>
      </c>
      <c r="E2253" s="17">
        <v>45597</v>
      </c>
      <c r="F2253" s="18">
        <f>MONTH(Data!$E2253)</f>
        <v>11</v>
      </c>
      <c r="G2253" s="16">
        <f>YEAR(Data!$E2253)</f>
        <v>2024</v>
      </c>
      <c r="H2253" s="15" t="s">
        <v>15</v>
      </c>
      <c r="I2253" s="15" t="str">
        <f t="shared" si="35"/>
        <v>Doanh nghiệp</v>
      </c>
      <c r="J2253" s="15" t="s">
        <v>1284</v>
      </c>
      <c r="K2253" s="15" t="s">
        <v>1263</v>
      </c>
      <c r="L2253" s="32">
        <f>Data!$D2253/10^6</f>
        <v>4.0290910000000002</v>
      </c>
    </row>
    <row r="2254" spans="1:12" x14ac:dyDescent="0.25">
      <c r="A2254" s="30" t="s">
        <v>130</v>
      </c>
      <c r="B2254" s="15" t="s">
        <v>1248</v>
      </c>
      <c r="C2254" s="19" t="s">
        <v>10</v>
      </c>
      <c r="D2254" s="16">
        <v>63636364</v>
      </c>
      <c r="E2254" s="17">
        <v>45597</v>
      </c>
      <c r="F2254" s="18">
        <f>MONTH(Data!$E2254)</f>
        <v>11</v>
      </c>
      <c r="G2254" s="16">
        <f>YEAR(Data!$E2254)</f>
        <v>2024</v>
      </c>
      <c r="H2254" s="15" t="s">
        <v>22</v>
      </c>
      <c r="I2254" s="15" t="str">
        <f t="shared" si="35"/>
        <v>Doanh nghiệp</v>
      </c>
      <c r="J2254" s="15" t="s">
        <v>1285</v>
      </c>
      <c r="K2254" s="15" t="s">
        <v>1263</v>
      </c>
      <c r="L2254" s="32">
        <f>Data!$D2254/10^6</f>
        <v>63.636364</v>
      </c>
    </row>
    <row r="2255" spans="1:12" x14ac:dyDescent="0.25">
      <c r="A2255" s="30" t="s">
        <v>75</v>
      </c>
      <c r="B2255" s="15" t="s">
        <v>1248</v>
      </c>
      <c r="C2255" s="19" t="s">
        <v>149</v>
      </c>
      <c r="D2255" s="16">
        <v>322779091</v>
      </c>
      <c r="E2255" s="17">
        <v>45597</v>
      </c>
      <c r="F2255" s="18">
        <f>MONTH(Data!$E2255)</f>
        <v>11</v>
      </c>
      <c r="G2255" s="16">
        <f>YEAR(Data!$E2255)</f>
        <v>2024</v>
      </c>
      <c r="H2255" s="15" t="s">
        <v>15</v>
      </c>
      <c r="I2255" s="15" t="str">
        <f t="shared" si="35"/>
        <v>Doanh nghiệp</v>
      </c>
      <c r="J2255" s="15" t="s">
        <v>1284</v>
      </c>
      <c r="K2255" s="15" t="s">
        <v>1267</v>
      </c>
      <c r="L2255" s="32">
        <f>Data!$D2255/10^6</f>
        <v>322.77909099999999</v>
      </c>
    </row>
    <row r="2256" spans="1:12" x14ac:dyDescent="0.25">
      <c r="A2256" s="30" t="s">
        <v>89</v>
      </c>
      <c r="B2256" s="15" t="s">
        <v>1247</v>
      </c>
      <c r="C2256" s="19" t="s">
        <v>149</v>
      </c>
      <c r="D2256" s="16">
        <v>1859400000</v>
      </c>
      <c r="E2256" s="17">
        <v>45597</v>
      </c>
      <c r="F2256" s="18">
        <f>MONTH(Data!$E2256)</f>
        <v>11</v>
      </c>
      <c r="G2256" s="16">
        <f>YEAR(Data!$E2256)</f>
        <v>2024</v>
      </c>
      <c r="H2256" s="15" t="s">
        <v>11</v>
      </c>
      <c r="I2256" s="15" t="str">
        <f t="shared" si="35"/>
        <v>Doanh nghiệp</v>
      </c>
      <c r="J2256" s="15" t="s">
        <v>1285</v>
      </c>
      <c r="K2256" s="15" t="s">
        <v>1275</v>
      </c>
      <c r="L2256" s="32">
        <f>Data!$D2256/10^6</f>
        <v>1859.4</v>
      </c>
    </row>
    <row r="2257" spans="1:12" x14ac:dyDescent="0.25">
      <c r="A2257" s="30" t="s">
        <v>47</v>
      </c>
      <c r="B2257" s="15" t="s">
        <v>1249</v>
      </c>
      <c r="C2257" s="19" t="s">
        <v>46</v>
      </c>
      <c r="D2257" s="16">
        <v>60000000</v>
      </c>
      <c r="E2257" s="17">
        <v>45597</v>
      </c>
      <c r="F2257" s="18">
        <f>MONTH(Data!$E2257)</f>
        <v>11</v>
      </c>
      <c r="G2257" s="16">
        <f>YEAR(Data!$E2257)</f>
        <v>2024</v>
      </c>
      <c r="H2257" s="15" t="s">
        <v>29</v>
      </c>
      <c r="I2257" s="15" t="str">
        <f t="shared" si="35"/>
        <v>Doanh nghiệp</v>
      </c>
      <c r="J2257" s="15" t="s">
        <v>1284</v>
      </c>
      <c r="K2257" s="15" t="s">
        <v>1271</v>
      </c>
      <c r="L2257" s="32">
        <f>Data!$D2257/10^6</f>
        <v>60</v>
      </c>
    </row>
    <row r="2258" spans="1:12" x14ac:dyDescent="0.25">
      <c r="A2258" s="30" t="s">
        <v>92</v>
      </c>
      <c r="B2258" s="19" t="s">
        <v>660</v>
      </c>
      <c r="C2258" s="19" t="s">
        <v>14</v>
      </c>
      <c r="D2258" s="16">
        <v>2218736364</v>
      </c>
      <c r="E2258" s="17">
        <v>45597</v>
      </c>
      <c r="F2258" s="18">
        <f>MONTH(Data!$E2258)</f>
        <v>11</v>
      </c>
      <c r="G2258" s="16">
        <f>YEAR(Data!$E2258)</f>
        <v>2024</v>
      </c>
      <c r="H2258" s="15" t="s">
        <v>29</v>
      </c>
      <c r="I2258" s="15" t="str">
        <f t="shared" si="35"/>
        <v>Sở ban ngành</v>
      </c>
      <c r="J2258" s="15" t="s">
        <v>1285</v>
      </c>
      <c r="K2258" s="15" t="s">
        <v>1273</v>
      </c>
      <c r="L2258" s="32">
        <f>Data!$D2258/10^6</f>
        <v>2218.7363639999999</v>
      </c>
    </row>
    <row r="2259" spans="1:12" x14ac:dyDescent="0.25">
      <c r="A2259" s="30" t="s">
        <v>95</v>
      </c>
      <c r="B2259" s="19" t="s">
        <v>650</v>
      </c>
      <c r="C2259" s="19" t="s">
        <v>149</v>
      </c>
      <c r="D2259" s="16">
        <v>12208909</v>
      </c>
      <c r="E2259" s="17">
        <v>45597</v>
      </c>
      <c r="F2259" s="18">
        <f>MONTH(Data!$E2259)</f>
        <v>11</v>
      </c>
      <c r="G2259" s="16">
        <f>YEAR(Data!$E2259)</f>
        <v>2024</v>
      </c>
      <c r="H2259" s="15" t="s">
        <v>35</v>
      </c>
      <c r="I2259" s="15" t="str">
        <f t="shared" si="35"/>
        <v>Sở ban ngành</v>
      </c>
      <c r="J2259" s="15" t="s">
        <v>1284</v>
      </c>
      <c r="K2259" s="15" t="s">
        <v>1272</v>
      </c>
      <c r="L2259" s="32">
        <f>Data!$D2259/10^6</f>
        <v>12.208909</v>
      </c>
    </row>
    <row r="2260" spans="1:12" x14ac:dyDescent="0.25">
      <c r="A2260" s="30" t="s">
        <v>268</v>
      </c>
      <c r="B2260" s="15" t="s">
        <v>1064</v>
      </c>
      <c r="C2260" s="19" t="s">
        <v>10</v>
      </c>
      <c r="D2260" s="16">
        <v>41750000</v>
      </c>
      <c r="E2260" s="17">
        <v>45597</v>
      </c>
      <c r="F2260" s="18">
        <f>MONTH(Data!$E2260)</f>
        <v>11</v>
      </c>
      <c r="G2260" s="16">
        <f>YEAR(Data!$E2260)</f>
        <v>2024</v>
      </c>
      <c r="H2260" s="15" t="s">
        <v>25</v>
      </c>
      <c r="I2260" s="15" t="str">
        <f t="shared" si="35"/>
        <v>Doanh nghiệp</v>
      </c>
      <c r="J2260" s="15" t="s">
        <v>1285</v>
      </c>
      <c r="K2260" s="15" t="s">
        <v>1263</v>
      </c>
      <c r="L2260" s="32">
        <f>Data!$D2260/10^6</f>
        <v>41.75</v>
      </c>
    </row>
    <row r="2261" spans="1:12" x14ac:dyDescent="0.25">
      <c r="A2261" s="30" t="s">
        <v>87</v>
      </c>
      <c r="B2261" s="15" t="s">
        <v>1108</v>
      </c>
      <c r="C2261" s="19" t="s">
        <v>46</v>
      </c>
      <c r="D2261" s="16">
        <v>132461818</v>
      </c>
      <c r="E2261" s="17">
        <v>45597</v>
      </c>
      <c r="F2261" s="18">
        <f>MONTH(Data!$E2261)</f>
        <v>11</v>
      </c>
      <c r="G2261" s="16">
        <f>YEAR(Data!$E2261)</f>
        <v>2024</v>
      </c>
      <c r="H2261" s="15" t="s">
        <v>29</v>
      </c>
      <c r="I2261" s="15" t="str">
        <f t="shared" si="35"/>
        <v>Doanh nghiệp</v>
      </c>
      <c r="J2261" s="15" t="s">
        <v>1284</v>
      </c>
      <c r="K2261" s="15" t="s">
        <v>1271</v>
      </c>
      <c r="L2261" s="32">
        <f>Data!$D2261/10^6</f>
        <v>132.46181799999999</v>
      </c>
    </row>
    <row r="2262" spans="1:12" x14ac:dyDescent="0.25">
      <c r="A2262" s="30" t="s">
        <v>87</v>
      </c>
      <c r="B2262" s="15" t="s">
        <v>1109</v>
      </c>
      <c r="C2262" s="19" t="s">
        <v>46</v>
      </c>
      <c r="D2262" s="16">
        <v>3890909</v>
      </c>
      <c r="E2262" s="17">
        <v>45597</v>
      </c>
      <c r="F2262" s="18">
        <f>MONTH(Data!$E2262)</f>
        <v>11</v>
      </c>
      <c r="G2262" s="16">
        <f>YEAR(Data!$E2262)</f>
        <v>2024</v>
      </c>
      <c r="H2262" s="15" t="s">
        <v>29</v>
      </c>
      <c r="I2262" s="15" t="str">
        <f t="shared" si="35"/>
        <v>Doanh nghiệp</v>
      </c>
      <c r="J2262" s="15" t="s">
        <v>1285</v>
      </c>
      <c r="K2262" s="15" t="s">
        <v>1271</v>
      </c>
      <c r="L2262" s="32">
        <f>Data!$D2262/10^6</f>
        <v>3.8909090000000002</v>
      </c>
    </row>
    <row r="2263" spans="1:12" x14ac:dyDescent="0.25">
      <c r="A2263" s="30" t="s">
        <v>87</v>
      </c>
      <c r="B2263" s="15" t="s">
        <v>1110</v>
      </c>
      <c r="C2263" s="19" t="s">
        <v>46</v>
      </c>
      <c r="D2263" s="16">
        <v>209783636</v>
      </c>
      <c r="E2263" s="17">
        <v>45597</v>
      </c>
      <c r="F2263" s="18">
        <f>MONTH(Data!$E2263)</f>
        <v>11</v>
      </c>
      <c r="G2263" s="16">
        <f>YEAR(Data!$E2263)</f>
        <v>2024</v>
      </c>
      <c r="H2263" s="15" t="s">
        <v>29</v>
      </c>
      <c r="I2263" s="15" t="str">
        <f t="shared" si="35"/>
        <v>Doanh nghiệp</v>
      </c>
      <c r="J2263" s="15" t="s">
        <v>1284</v>
      </c>
      <c r="K2263" s="15" t="s">
        <v>1271</v>
      </c>
      <c r="L2263" s="32">
        <f>Data!$D2263/10^6</f>
        <v>209.783636</v>
      </c>
    </row>
    <row r="2264" spans="1:12" x14ac:dyDescent="0.25">
      <c r="A2264" s="30" t="s">
        <v>17</v>
      </c>
      <c r="B2264" s="19" t="s">
        <v>635</v>
      </c>
      <c r="C2264" s="19" t="s">
        <v>149</v>
      </c>
      <c r="D2264" s="16">
        <v>85500000</v>
      </c>
      <c r="E2264" s="17">
        <v>45597</v>
      </c>
      <c r="F2264" s="18">
        <f>MONTH(Data!$E2264)</f>
        <v>11</v>
      </c>
      <c r="G2264" s="16">
        <f>YEAR(Data!$E2264)</f>
        <v>2024</v>
      </c>
      <c r="H2264" s="15" t="s">
        <v>11</v>
      </c>
      <c r="I2264" s="15" t="str">
        <f t="shared" si="35"/>
        <v>Sở ban ngành</v>
      </c>
      <c r="J2264" s="15" t="s">
        <v>1285</v>
      </c>
      <c r="K2264" s="15" t="s">
        <v>1263</v>
      </c>
      <c r="L2264" s="32">
        <f>Data!$D2264/10^6</f>
        <v>85.5</v>
      </c>
    </row>
    <row r="2265" spans="1:12" x14ac:dyDescent="0.25">
      <c r="A2265" s="30" t="s">
        <v>56</v>
      </c>
      <c r="B2265" s="19" t="s">
        <v>617</v>
      </c>
      <c r="C2265" s="19" t="s">
        <v>41</v>
      </c>
      <c r="D2265" s="16">
        <v>89015000</v>
      </c>
      <c r="E2265" s="17">
        <v>45597</v>
      </c>
      <c r="F2265" s="18">
        <f>MONTH(Data!$E2265)</f>
        <v>11</v>
      </c>
      <c r="G2265" s="16">
        <f>YEAR(Data!$E2265)</f>
        <v>2024</v>
      </c>
      <c r="H2265" s="15" t="s">
        <v>25</v>
      </c>
      <c r="I2265" s="15" t="str">
        <f t="shared" si="35"/>
        <v>Sở ban ngành</v>
      </c>
      <c r="J2265" s="15" t="s">
        <v>1284</v>
      </c>
      <c r="K2265" s="15" t="s">
        <v>1281</v>
      </c>
      <c r="L2265" s="32">
        <f>Data!$D2265/10^6</f>
        <v>89.015000000000001</v>
      </c>
    </row>
    <row r="2266" spans="1:12" x14ac:dyDescent="0.25">
      <c r="A2266" s="30" t="s">
        <v>79</v>
      </c>
      <c r="B2266" s="19" t="s">
        <v>659</v>
      </c>
      <c r="C2266" s="19" t="s">
        <v>10</v>
      </c>
      <c r="D2266" s="16">
        <v>36363236</v>
      </c>
      <c r="E2266" s="17">
        <v>45597</v>
      </c>
      <c r="F2266" s="18">
        <f>MONTH(Data!$E2266)</f>
        <v>11</v>
      </c>
      <c r="G2266" s="16">
        <f>YEAR(Data!$E2266)</f>
        <v>2024</v>
      </c>
      <c r="H2266" s="15" t="s">
        <v>15</v>
      </c>
      <c r="I2266" s="15" t="str">
        <f t="shared" si="35"/>
        <v>Sở ban ngành</v>
      </c>
      <c r="J2266" s="15" t="s">
        <v>1285</v>
      </c>
      <c r="K2266" s="15" t="s">
        <v>1263</v>
      </c>
      <c r="L2266" s="32">
        <f>Data!$D2266/10^6</f>
        <v>36.363236000000001</v>
      </c>
    </row>
    <row r="2267" spans="1:12" x14ac:dyDescent="0.25">
      <c r="A2267" s="30" t="s">
        <v>89</v>
      </c>
      <c r="B2267" s="15" t="s">
        <v>1027</v>
      </c>
      <c r="C2267" s="19" t="s">
        <v>46</v>
      </c>
      <c r="D2267" s="16">
        <v>36818182</v>
      </c>
      <c r="E2267" s="17">
        <v>45597</v>
      </c>
      <c r="F2267" s="18">
        <f>MONTH(Data!$E2267)</f>
        <v>11</v>
      </c>
      <c r="G2267" s="16">
        <f>YEAR(Data!$E2267)</f>
        <v>2024</v>
      </c>
      <c r="H2267" s="15" t="s">
        <v>11</v>
      </c>
      <c r="I2267" s="15" t="str">
        <f t="shared" si="35"/>
        <v>Doanh nghiệp</v>
      </c>
      <c r="J2267" s="15" t="s">
        <v>1284</v>
      </c>
      <c r="K2267" s="15" t="s">
        <v>1271</v>
      </c>
      <c r="L2267" s="32">
        <f>Data!$D2267/10^6</f>
        <v>36.818182</v>
      </c>
    </row>
    <row r="2268" spans="1:12" x14ac:dyDescent="0.25">
      <c r="A2268" s="30" t="s">
        <v>89</v>
      </c>
      <c r="B2268" s="15" t="s">
        <v>1030</v>
      </c>
      <c r="C2268" s="19" t="s">
        <v>46</v>
      </c>
      <c r="D2268" s="16">
        <v>36818182</v>
      </c>
      <c r="E2268" s="17">
        <v>45597</v>
      </c>
      <c r="F2268" s="18">
        <f>MONTH(Data!$E2268)</f>
        <v>11</v>
      </c>
      <c r="G2268" s="16">
        <f>YEAR(Data!$E2268)</f>
        <v>2024</v>
      </c>
      <c r="H2268" s="15" t="s">
        <v>11</v>
      </c>
      <c r="I2268" s="15" t="str">
        <f t="shared" si="35"/>
        <v>Doanh nghiệp</v>
      </c>
      <c r="J2268" s="15" t="s">
        <v>1285</v>
      </c>
      <c r="K2268" s="15" t="s">
        <v>1271</v>
      </c>
      <c r="L2268" s="32">
        <f>Data!$D2268/10^6</f>
        <v>36.818182</v>
      </c>
    </row>
    <row r="2269" spans="1:12" x14ac:dyDescent="0.25">
      <c r="A2269" s="30" t="s">
        <v>89</v>
      </c>
      <c r="B2269" s="15" t="s">
        <v>1032</v>
      </c>
      <c r="C2269" s="19" t="s">
        <v>46</v>
      </c>
      <c r="D2269" s="16">
        <v>36363636</v>
      </c>
      <c r="E2269" s="17">
        <v>45597</v>
      </c>
      <c r="F2269" s="18">
        <f>MONTH(Data!$E2269)</f>
        <v>11</v>
      </c>
      <c r="G2269" s="16">
        <f>YEAR(Data!$E2269)</f>
        <v>2024</v>
      </c>
      <c r="H2269" s="15" t="s">
        <v>11</v>
      </c>
      <c r="I2269" s="15" t="str">
        <f t="shared" si="35"/>
        <v>Doanh nghiệp</v>
      </c>
      <c r="J2269" s="15" t="s">
        <v>1284</v>
      </c>
      <c r="K2269" s="15" t="s">
        <v>1271</v>
      </c>
      <c r="L2269" s="32">
        <f>Data!$D2269/10^6</f>
        <v>36.363636</v>
      </c>
    </row>
    <row r="2270" spans="1:12" x14ac:dyDescent="0.25">
      <c r="A2270" s="30" t="s">
        <v>89</v>
      </c>
      <c r="B2270" s="15" t="s">
        <v>1035</v>
      </c>
      <c r="C2270" s="19" t="s">
        <v>46</v>
      </c>
      <c r="D2270" s="16">
        <v>36818182</v>
      </c>
      <c r="E2270" s="17">
        <v>45597</v>
      </c>
      <c r="F2270" s="18">
        <f>MONTH(Data!$E2270)</f>
        <v>11</v>
      </c>
      <c r="G2270" s="16">
        <f>YEAR(Data!$E2270)</f>
        <v>2024</v>
      </c>
      <c r="H2270" s="15" t="s">
        <v>11</v>
      </c>
      <c r="I2270" s="15" t="str">
        <f t="shared" si="35"/>
        <v>Doanh nghiệp</v>
      </c>
      <c r="J2270" s="15" t="s">
        <v>1285</v>
      </c>
      <c r="K2270" s="15" t="s">
        <v>1271</v>
      </c>
      <c r="L2270" s="32">
        <f>Data!$D2270/10^6</f>
        <v>36.818182</v>
      </c>
    </row>
    <row r="2271" spans="1:12" x14ac:dyDescent="0.25">
      <c r="A2271" s="30" t="s">
        <v>89</v>
      </c>
      <c r="B2271" s="15" t="s">
        <v>1042</v>
      </c>
      <c r="C2271" s="19" t="s">
        <v>46</v>
      </c>
      <c r="D2271" s="16">
        <v>36256364</v>
      </c>
      <c r="E2271" s="17">
        <v>45597</v>
      </c>
      <c r="F2271" s="18">
        <f>MONTH(Data!$E2271)</f>
        <v>11</v>
      </c>
      <c r="G2271" s="16">
        <f>YEAR(Data!$E2271)</f>
        <v>2024</v>
      </c>
      <c r="H2271" s="15" t="s">
        <v>11</v>
      </c>
      <c r="I2271" s="15" t="str">
        <f t="shared" si="35"/>
        <v>Doanh nghiệp</v>
      </c>
      <c r="J2271" s="15" t="s">
        <v>1284</v>
      </c>
      <c r="K2271" s="15" t="s">
        <v>1271</v>
      </c>
      <c r="L2271" s="32">
        <f>Data!$D2271/10^6</f>
        <v>36.256363999999998</v>
      </c>
    </row>
    <row r="2272" spans="1:12" x14ac:dyDescent="0.25">
      <c r="A2272" s="30" t="s">
        <v>89</v>
      </c>
      <c r="B2272" s="15" t="s">
        <v>1045</v>
      </c>
      <c r="C2272" s="19" t="s">
        <v>46</v>
      </c>
      <c r="D2272" s="16">
        <v>36256364</v>
      </c>
      <c r="E2272" s="17">
        <v>45597</v>
      </c>
      <c r="F2272" s="18">
        <f>MONTH(Data!$E2272)</f>
        <v>11</v>
      </c>
      <c r="G2272" s="16">
        <f>YEAR(Data!$E2272)</f>
        <v>2024</v>
      </c>
      <c r="H2272" s="15" t="s">
        <v>11</v>
      </c>
      <c r="I2272" s="15" t="str">
        <f t="shared" si="35"/>
        <v>Doanh nghiệp</v>
      </c>
      <c r="J2272" s="15" t="s">
        <v>1285</v>
      </c>
      <c r="K2272" s="15" t="s">
        <v>1271</v>
      </c>
      <c r="L2272" s="32">
        <f>Data!$D2272/10^6</f>
        <v>36.256363999999998</v>
      </c>
    </row>
    <row r="2273" spans="1:12" x14ac:dyDescent="0.25">
      <c r="A2273" s="30" t="s">
        <v>45</v>
      </c>
      <c r="B2273" s="15" t="s">
        <v>1045</v>
      </c>
      <c r="C2273" s="19" t="s">
        <v>46</v>
      </c>
      <c r="D2273" s="16">
        <v>28363636</v>
      </c>
      <c r="E2273" s="17">
        <v>45597</v>
      </c>
      <c r="F2273" s="18">
        <f>MONTH(Data!$E2273)</f>
        <v>11</v>
      </c>
      <c r="G2273" s="16">
        <f>YEAR(Data!$E2273)</f>
        <v>2024</v>
      </c>
      <c r="H2273" s="15" t="s">
        <v>29</v>
      </c>
      <c r="I2273" s="15" t="str">
        <f t="shared" si="35"/>
        <v>Doanh nghiệp</v>
      </c>
      <c r="J2273" s="15" t="s">
        <v>1284</v>
      </c>
      <c r="K2273" s="15" t="s">
        <v>1271</v>
      </c>
      <c r="L2273" s="32">
        <f>Data!$D2273/10^6</f>
        <v>28.363636</v>
      </c>
    </row>
    <row r="2274" spans="1:12" x14ac:dyDescent="0.25">
      <c r="A2274" s="30" t="s">
        <v>75</v>
      </c>
      <c r="B2274" s="15" t="s">
        <v>1045</v>
      </c>
      <c r="C2274" s="19" t="s">
        <v>14</v>
      </c>
      <c r="D2274" s="16">
        <v>175600000</v>
      </c>
      <c r="E2274" s="17">
        <v>45597</v>
      </c>
      <c r="F2274" s="18">
        <f>MONTH(Data!$E2274)</f>
        <v>11</v>
      </c>
      <c r="G2274" s="16">
        <f>YEAR(Data!$E2274)</f>
        <v>2024</v>
      </c>
      <c r="H2274" s="15" t="s">
        <v>15</v>
      </c>
      <c r="I2274" s="15" t="str">
        <f t="shared" si="35"/>
        <v>Doanh nghiệp</v>
      </c>
      <c r="J2274" s="15" t="s">
        <v>1285</v>
      </c>
      <c r="K2274" s="15" t="s">
        <v>1275</v>
      </c>
      <c r="L2274" s="32">
        <f>Data!$D2274/10^6</f>
        <v>175.6</v>
      </c>
    </row>
    <row r="2275" spans="1:12" x14ac:dyDescent="0.25">
      <c r="A2275" s="30" t="s">
        <v>37</v>
      </c>
      <c r="B2275" s="19" t="s">
        <v>647</v>
      </c>
      <c r="C2275" s="19" t="s">
        <v>46</v>
      </c>
      <c r="D2275" s="16">
        <v>12727273</v>
      </c>
      <c r="E2275" s="17">
        <v>45597</v>
      </c>
      <c r="F2275" s="18">
        <f>MONTH(Data!$E2275)</f>
        <v>11</v>
      </c>
      <c r="G2275" s="16">
        <f>YEAR(Data!$E2275)</f>
        <v>2024</v>
      </c>
      <c r="H2275" s="15" t="s">
        <v>11</v>
      </c>
      <c r="I2275" s="15" t="str">
        <f t="shared" si="35"/>
        <v>Sở ban ngành</v>
      </c>
      <c r="J2275" s="15" t="s">
        <v>1284</v>
      </c>
      <c r="K2275" s="15" t="s">
        <v>1271</v>
      </c>
      <c r="L2275" s="32">
        <f>Data!$D2275/10^6</f>
        <v>12.727273</v>
      </c>
    </row>
    <row r="2276" spans="1:12" x14ac:dyDescent="0.25">
      <c r="A2276" s="30" t="s">
        <v>30</v>
      </c>
      <c r="B2276" s="19" t="s">
        <v>559</v>
      </c>
      <c r="C2276" s="19" t="s">
        <v>10</v>
      </c>
      <c r="D2276" s="16">
        <v>6231818</v>
      </c>
      <c r="E2276" s="17">
        <v>45597</v>
      </c>
      <c r="F2276" s="18">
        <f>MONTH(Data!$E2276)</f>
        <v>11</v>
      </c>
      <c r="G2276" s="16">
        <f>YEAR(Data!$E2276)</f>
        <v>2024</v>
      </c>
      <c r="H2276" s="15" t="s">
        <v>32</v>
      </c>
      <c r="I2276" s="15" t="str">
        <f t="shared" si="35"/>
        <v>Ngân hàng</v>
      </c>
      <c r="J2276" s="15" t="s">
        <v>1285</v>
      </c>
      <c r="K2276" s="15" t="s">
        <v>1276</v>
      </c>
      <c r="L2276" s="32">
        <f>Data!$D2276/10^6</f>
        <v>6.2318179999999996</v>
      </c>
    </row>
    <row r="2277" spans="1:12" x14ac:dyDescent="0.25">
      <c r="A2277" s="30" t="s">
        <v>27</v>
      </c>
      <c r="B2277" s="19" t="s">
        <v>652</v>
      </c>
      <c r="C2277" s="19" t="s">
        <v>10</v>
      </c>
      <c r="D2277" s="16">
        <v>1928000</v>
      </c>
      <c r="E2277" s="17">
        <v>45597</v>
      </c>
      <c r="F2277" s="18">
        <f>MONTH(Data!$E2277)</f>
        <v>11</v>
      </c>
      <c r="G2277" s="16">
        <f>YEAR(Data!$E2277)</f>
        <v>2024</v>
      </c>
      <c r="H2277" s="15" t="s">
        <v>11</v>
      </c>
      <c r="I2277" s="15" t="str">
        <f t="shared" si="35"/>
        <v>Ngân hàng</v>
      </c>
      <c r="J2277" s="15" t="s">
        <v>1284</v>
      </c>
      <c r="K2277" s="15" t="s">
        <v>1263</v>
      </c>
      <c r="L2277" s="32">
        <f>Data!$D2277/10^6</f>
        <v>1.9279999999999999</v>
      </c>
    </row>
    <row r="2278" spans="1:12" x14ac:dyDescent="0.25">
      <c r="A2278" s="30" t="s">
        <v>37</v>
      </c>
      <c r="B2278" s="19" t="s">
        <v>632</v>
      </c>
      <c r="C2278" s="19" t="s">
        <v>46</v>
      </c>
      <c r="D2278" s="16">
        <v>433636364</v>
      </c>
      <c r="E2278" s="17">
        <v>45597</v>
      </c>
      <c r="F2278" s="18">
        <f>MONTH(Data!$E2278)</f>
        <v>11</v>
      </c>
      <c r="G2278" s="16">
        <f>YEAR(Data!$E2278)</f>
        <v>2024</v>
      </c>
      <c r="H2278" s="15" t="s">
        <v>11</v>
      </c>
      <c r="I2278" s="15" t="str">
        <f t="shared" si="35"/>
        <v>Sở ban ngành</v>
      </c>
      <c r="J2278" s="15" t="s">
        <v>1285</v>
      </c>
      <c r="K2278" s="15" t="s">
        <v>1271</v>
      </c>
      <c r="L2278" s="32">
        <f>Data!$D2278/10^6</f>
        <v>433.63636400000001</v>
      </c>
    </row>
    <row r="2279" spans="1:12" x14ac:dyDescent="0.25">
      <c r="A2279" s="30" t="s">
        <v>37</v>
      </c>
      <c r="B2279" s="19" t="s">
        <v>654</v>
      </c>
      <c r="C2279" s="19" t="s">
        <v>46</v>
      </c>
      <c r="D2279" s="16">
        <v>90245455</v>
      </c>
      <c r="E2279" s="17">
        <v>45597</v>
      </c>
      <c r="F2279" s="18">
        <f>MONTH(Data!$E2279)</f>
        <v>11</v>
      </c>
      <c r="G2279" s="16">
        <f>YEAR(Data!$E2279)</f>
        <v>2024</v>
      </c>
      <c r="H2279" s="15" t="s">
        <v>11</v>
      </c>
      <c r="I2279" s="15" t="str">
        <f t="shared" si="35"/>
        <v>Sở ban ngành</v>
      </c>
      <c r="J2279" s="15" t="s">
        <v>1284</v>
      </c>
      <c r="K2279" s="15" t="s">
        <v>1271</v>
      </c>
      <c r="L2279" s="32">
        <f>Data!$D2279/10^6</f>
        <v>90.245455000000007</v>
      </c>
    </row>
    <row r="2280" spans="1:12" x14ac:dyDescent="0.25">
      <c r="A2280" s="30" t="s">
        <v>65</v>
      </c>
      <c r="B2280" s="19" t="s">
        <v>535</v>
      </c>
      <c r="C2280" s="19" t="s">
        <v>10</v>
      </c>
      <c r="D2280" s="16">
        <v>398209091</v>
      </c>
      <c r="E2280" s="17">
        <v>45597</v>
      </c>
      <c r="F2280" s="18">
        <f>MONTH(Data!$E2280)</f>
        <v>11</v>
      </c>
      <c r="G2280" s="16">
        <f>YEAR(Data!$E2280)</f>
        <v>2024</v>
      </c>
      <c r="H2280" s="15" t="s">
        <v>25</v>
      </c>
      <c r="I2280" s="15" t="str">
        <f t="shared" si="35"/>
        <v>Sở ban ngành</v>
      </c>
      <c r="J2280" s="15" t="s">
        <v>1285</v>
      </c>
      <c r="K2280" s="15" t="s">
        <v>1267</v>
      </c>
      <c r="L2280" s="32">
        <f>Data!$D2280/10^6</f>
        <v>398.209091</v>
      </c>
    </row>
    <row r="2281" spans="1:12" x14ac:dyDescent="0.25">
      <c r="A2281" s="30" t="s">
        <v>130</v>
      </c>
      <c r="B2281" s="19" t="s">
        <v>662</v>
      </c>
      <c r="C2281" s="19" t="s">
        <v>41</v>
      </c>
      <c r="D2281" s="16">
        <v>816000000</v>
      </c>
      <c r="E2281" s="17">
        <v>45597</v>
      </c>
      <c r="F2281" s="18">
        <f>MONTH(Data!$E2281)</f>
        <v>11</v>
      </c>
      <c r="G2281" s="16">
        <f>YEAR(Data!$E2281)</f>
        <v>2024</v>
      </c>
      <c r="H2281" s="15" t="s">
        <v>22</v>
      </c>
      <c r="I2281" s="15" t="str">
        <f t="shared" si="35"/>
        <v>Sở ban ngành</v>
      </c>
      <c r="J2281" s="15" t="s">
        <v>1284</v>
      </c>
      <c r="K2281" s="15" t="s">
        <v>1280</v>
      </c>
      <c r="L2281" s="32">
        <f>Data!$D2281/10^6</f>
        <v>816</v>
      </c>
    </row>
    <row r="2282" spans="1:12" x14ac:dyDescent="0.25">
      <c r="A2282" s="30" t="s">
        <v>109</v>
      </c>
      <c r="B2282" s="19" t="s">
        <v>261</v>
      </c>
      <c r="C2282" s="19" t="s">
        <v>10</v>
      </c>
      <c r="D2282" s="16">
        <v>27100000</v>
      </c>
      <c r="E2282" s="17">
        <v>45597</v>
      </c>
      <c r="F2282" s="18">
        <f>MONTH(Data!$E2282)</f>
        <v>11</v>
      </c>
      <c r="G2282" s="16">
        <f>YEAR(Data!$E2282)</f>
        <v>2024</v>
      </c>
      <c r="H2282" s="15" t="s">
        <v>22</v>
      </c>
      <c r="I2282" s="15" t="str">
        <f t="shared" si="35"/>
        <v>Sở ban ngành</v>
      </c>
      <c r="J2282" s="15" t="s">
        <v>1285</v>
      </c>
      <c r="K2282" s="15" t="s">
        <v>1267</v>
      </c>
      <c r="L2282" s="32">
        <f>Data!$D2282/10^6</f>
        <v>27.1</v>
      </c>
    </row>
    <row r="2283" spans="1:12" x14ac:dyDescent="0.25">
      <c r="A2283" s="30" t="s">
        <v>45</v>
      </c>
      <c r="B2283" s="19" t="s">
        <v>646</v>
      </c>
      <c r="C2283" s="19" t="s">
        <v>10</v>
      </c>
      <c r="D2283" s="16">
        <v>270245455</v>
      </c>
      <c r="E2283" s="17">
        <v>45597</v>
      </c>
      <c r="F2283" s="18">
        <f>MONTH(Data!$E2283)</f>
        <v>11</v>
      </c>
      <c r="G2283" s="16">
        <f>YEAR(Data!$E2283)</f>
        <v>2024</v>
      </c>
      <c r="H2283" s="15" t="s">
        <v>29</v>
      </c>
      <c r="I2283" s="15" t="str">
        <f t="shared" si="35"/>
        <v>Sở ban ngành</v>
      </c>
      <c r="J2283" s="15" t="s">
        <v>1284</v>
      </c>
      <c r="K2283" s="15" t="s">
        <v>1278</v>
      </c>
      <c r="L2283" s="32">
        <f>Data!$D2283/10^6</f>
        <v>270.24545499999999</v>
      </c>
    </row>
    <row r="2284" spans="1:12" x14ac:dyDescent="0.25">
      <c r="A2284" s="30" t="s">
        <v>45</v>
      </c>
      <c r="B2284" s="19" t="s">
        <v>646</v>
      </c>
      <c r="C2284" s="19" t="s">
        <v>10</v>
      </c>
      <c r="D2284" s="16">
        <v>394431818</v>
      </c>
      <c r="E2284" s="17">
        <v>45597</v>
      </c>
      <c r="F2284" s="18">
        <f>MONTH(Data!$E2284)</f>
        <v>11</v>
      </c>
      <c r="G2284" s="16">
        <f>YEAR(Data!$E2284)</f>
        <v>2024</v>
      </c>
      <c r="H2284" s="15" t="s">
        <v>29</v>
      </c>
      <c r="I2284" s="15" t="str">
        <f t="shared" si="35"/>
        <v>Sở ban ngành</v>
      </c>
      <c r="J2284" s="15" t="s">
        <v>1285</v>
      </c>
      <c r="K2284" s="15" t="s">
        <v>1278</v>
      </c>
      <c r="L2284" s="32">
        <f>Data!$D2284/10^6</f>
        <v>394.43181800000002</v>
      </c>
    </row>
    <row r="2285" spans="1:12" x14ac:dyDescent="0.25">
      <c r="A2285" s="30" t="s">
        <v>92</v>
      </c>
      <c r="B2285" s="19" t="s">
        <v>614</v>
      </c>
      <c r="C2285" s="19" t="s">
        <v>10</v>
      </c>
      <c r="D2285" s="16">
        <v>391479091</v>
      </c>
      <c r="E2285" s="17">
        <v>45597</v>
      </c>
      <c r="F2285" s="18">
        <f>MONTH(Data!$E2285)</f>
        <v>11</v>
      </c>
      <c r="G2285" s="16">
        <f>YEAR(Data!$E2285)</f>
        <v>2024</v>
      </c>
      <c r="H2285" s="15" t="s">
        <v>29</v>
      </c>
      <c r="I2285" s="15" t="str">
        <f t="shared" si="35"/>
        <v>Sở ban ngành</v>
      </c>
      <c r="J2285" s="15" t="s">
        <v>1284</v>
      </c>
      <c r="K2285" s="15" t="s">
        <v>1267</v>
      </c>
      <c r="L2285" s="32">
        <f>Data!$D2285/10^6</f>
        <v>391.47909099999998</v>
      </c>
    </row>
    <row r="2286" spans="1:12" x14ac:dyDescent="0.25">
      <c r="A2286" s="30" t="s">
        <v>27</v>
      </c>
      <c r="B2286" s="19" t="s">
        <v>314</v>
      </c>
      <c r="C2286" s="19" t="s">
        <v>149</v>
      </c>
      <c r="D2286" s="16">
        <v>456417170</v>
      </c>
      <c r="E2286" s="17">
        <v>45597</v>
      </c>
      <c r="F2286" s="18">
        <f>MONTH(Data!$E2286)</f>
        <v>11</v>
      </c>
      <c r="G2286" s="16">
        <f>YEAR(Data!$E2286)</f>
        <v>2024</v>
      </c>
      <c r="H2286" s="15" t="s">
        <v>11</v>
      </c>
      <c r="I2286" s="15" t="str">
        <f t="shared" si="35"/>
        <v>Doanh nghiệp</v>
      </c>
      <c r="J2286" s="15" t="s">
        <v>1285</v>
      </c>
      <c r="K2286" s="15" t="s">
        <v>1262</v>
      </c>
      <c r="L2286" s="32">
        <f>Data!$D2286/10^6</f>
        <v>456.41717</v>
      </c>
    </row>
    <row r="2287" spans="1:12" x14ac:dyDescent="0.25">
      <c r="A2287" s="30" t="s">
        <v>48</v>
      </c>
      <c r="B2287" s="19" t="s">
        <v>634</v>
      </c>
      <c r="C2287" s="19" t="s">
        <v>10</v>
      </c>
      <c r="D2287" s="16">
        <v>9011818</v>
      </c>
      <c r="E2287" s="17">
        <v>45597</v>
      </c>
      <c r="F2287" s="18">
        <f>MONTH(Data!$E2287)</f>
        <v>11</v>
      </c>
      <c r="G2287" s="16">
        <f>YEAR(Data!$E2287)</f>
        <v>2024</v>
      </c>
      <c r="H2287" s="15" t="s">
        <v>25</v>
      </c>
      <c r="I2287" s="15" t="str">
        <f t="shared" si="35"/>
        <v>Sở ban ngành</v>
      </c>
      <c r="J2287" s="15" t="s">
        <v>1284</v>
      </c>
      <c r="K2287" s="15" t="s">
        <v>1263</v>
      </c>
      <c r="L2287" s="32">
        <f>Data!$D2287/10^6</f>
        <v>9.0118179999999999</v>
      </c>
    </row>
    <row r="2288" spans="1:12" x14ac:dyDescent="0.25">
      <c r="A2288" s="30" t="s">
        <v>27</v>
      </c>
      <c r="B2288" s="19" t="s">
        <v>657</v>
      </c>
      <c r="C2288" s="19" t="s">
        <v>10</v>
      </c>
      <c r="D2288" s="16">
        <v>157098182</v>
      </c>
      <c r="E2288" s="17">
        <v>45597</v>
      </c>
      <c r="F2288" s="18">
        <f>MONTH(Data!$E2288)</f>
        <v>11</v>
      </c>
      <c r="G2288" s="16">
        <f>YEAR(Data!$E2288)</f>
        <v>2024</v>
      </c>
      <c r="H2288" s="15" t="s">
        <v>11</v>
      </c>
      <c r="I2288" s="15" t="str">
        <f t="shared" si="35"/>
        <v>Sở ban ngành</v>
      </c>
      <c r="J2288" s="15" t="s">
        <v>1285</v>
      </c>
      <c r="K2288" s="15" t="s">
        <v>1262</v>
      </c>
      <c r="L2288" s="32">
        <f>Data!$D2288/10^6</f>
        <v>157.09818200000001</v>
      </c>
    </row>
    <row r="2289" spans="1:12" x14ac:dyDescent="0.25">
      <c r="A2289" s="30" t="s">
        <v>92</v>
      </c>
      <c r="B2289" s="19" t="s">
        <v>661</v>
      </c>
      <c r="C2289" s="19" t="s">
        <v>10</v>
      </c>
      <c r="D2289" s="16">
        <v>518400000</v>
      </c>
      <c r="E2289" s="17">
        <v>45597</v>
      </c>
      <c r="F2289" s="18">
        <f>MONTH(Data!$E2289)</f>
        <v>11</v>
      </c>
      <c r="G2289" s="16">
        <f>YEAR(Data!$E2289)</f>
        <v>2024</v>
      </c>
      <c r="H2289" s="15" t="s">
        <v>29</v>
      </c>
      <c r="I2289" s="15" t="str">
        <f t="shared" si="35"/>
        <v>Sở ban ngành</v>
      </c>
      <c r="J2289" s="15" t="s">
        <v>1284</v>
      </c>
      <c r="K2289" s="15" t="s">
        <v>1267</v>
      </c>
      <c r="L2289" s="32">
        <f>Data!$D2289/10^6</f>
        <v>518.4</v>
      </c>
    </row>
    <row r="2290" spans="1:12" x14ac:dyDescent="0.25">
      <c r="A2290" s="30" t="s">
        <v>72</v>
      </c>
      <c r="B2290" s="19" t="s">
        <v>642</v>
      </c>
      <c r="C2290" s="19" t="s">
        <v>10</v>
      </c>
      <c r="D2290" s="16">
        <v>26265909</v>
      </c>
      <c r="E2290" s="17">
        <v>45597</v>
      </c>
      <c r="F2290" s="18">
        <f>MONTH(Data!$E2290)</f>
        <v>11</v>
      </c>
      <c r="G2290" s="16">
        <f>YEAR(Data!$E2290)</f>
        <v>2024</v>
      </c>
      <c r="H2290" s="15" t="s">
        <v>22</v>
      </c>
      <c r="I2290" s="15" t="str">
        <f t="shared" si="35"/>
        <v>Sở ban ngành</v>
      </c>
      <c r="J2290" s="15" t="s">
        <v>1285</v>
      </c>
      <c r="K2290" s="15" t="s">
        <v>1262</v>
      </c>
      <c r="L2290" s="32">
        <f>Data!$D2290/10^6</f>
        <v>26.265909000000001</v>
      </c>
    </row>
    <row r="2291" spans="1:12" x14ac:dyDescent="0.25">
      <c r="A2291" s="30" t="s">
        <v>109</v>
      </c>
      <c r="B2291" s="19" t="s">
        <v>570</v>
      </c>
      <c r="C2291" s="19" t="s">
        <v>14</v>
      </c>
      <c r="D2291" s="16">
        <v>81419091</v>
      </c>
      <c r="E2291" s="17">
        <v>45597</v>
      </c>
      <c r="F2291" s="18">
        <f>MONTH(Data!$E2291)</f>
        <v>11</v>
      </c>
      <c r="G2291" s="16">
        <f>YEAR(Data!$E2291)</f>
        <v>2024</v>
      </c>
      <c r="H2291" s="15" t="s">
        <v>22</v>
      </c>
      <c r="I2291" s="15" t="str">
        <f t="shared" si="35"/>
        <v>Sở ban ngành</v>
      </c>
      <c r="J2291" s="15" t="s">
        <v>1284</v>
      </c>
      <c r="K2291" s="15" t="s">
        <v>1273</v>
      </c>
      <c r="L2291" s="32">
        <f>Data!$D2291/10^6</f>
        <v>81.419090999999995</v>
      </c>
    </row>
    <row r="2292" spans="1:12" x14ac:dyDescent="0.25">
      <c r="A2292" s="30" t="s">
        <v>17</v>
      </c>
      <c r="B2292" s="19" t="s">
        <v>631</v>
      </c>
      <c r="C2292" s="19" t="s">
        <v>149</v>
      </c>
      <c r="D2292" s="16">
        <v>24745455</v>
      </c>
      <c r="E2292" s="17">
        <v>45597</v>
      </c>
      <c r="F2292" s="18">
        <f>MONTH(Data!$E2292)</f>
        <v>11</v>
      </c>
      <c r="G2292" s="16">
        <f>YEAR(Data!$E2292)</f>
        <v>2024</v>
      </c>
      <c r="H2292" s="15" t="s">
        <v>11</v>
      </c>
      <c r="I2292" s="15" t="str">
        <f t="shared" si="35"/>
        <v>Sở ban ngành</v>
      </c>
      <c r="J2292" s="15" t="s">
        <v>1285</v>
      </c>
      <c r="K2292" s="15" t="s">
        <v>1264</v>
      </c>
      <c r="L2292" s="32">
        <f>Data!$D2292/10^6</f>
        <v>24.745455</v>
      </c>
    </row>
    <row r="2293" spans="1:12" x14ac:dyDescent="0.25">
      <c r="A2293" s="30" t="s">
        <v>59</v>
      </c>
      <c r="B2293" s="19" t="s">
        <v>656</v>
      </c>
      <c r="C2293" s="19" t="s">
        <v>10</v>
      </c>
      <c r="D2293" s="16">
        <v>19900000</v>
      </c>
      <c r="E2293" s="17">
        <v>45597</v>
      </c>
      <c r="F2293" s="18">
        <f>MONTH(Data!$E2293)</f>
        <v>11</v>
      </c>
      <c r="G2293" s="16">
        <f>YEAR(Data!$E2293)</f>
        <v>2024</v>
      </c>
      <c r="H2293" s="15" t="s">
        <v>22</v>
      </c>
      <c r="I2293" s="15" t="str">
        <f t="shared" si="35"/>
        <v>Sở ban ngành</v>
      </c>
      <c r="J2293" s="15" t="s">
        <v>1284</v>
      </c>
      <c r="K2293" s="15" t="s">
        <v>1262</v>
      </c>
      <c r="L2293" s="32">
        <f>Data!$D2293/10^6</f>
        <v>19.899999999999999</v>
      </c>
    </row>
    <row r="2294" spans="1:12" x14ac:dyDescent="0.25">
      <c r="A2294" s="30" t="s">
        <v>89</v>
      </c>
      <c r="B2294" s="19" t="s">
        <v>317</v>
      </c>
      <c r="C2294" s="19" t="s">
        <v>14</v>
      </c>
      <c r="D2294" s="16">
        <v>38682450</v>
      </c>
      <c r="E2294" s="17">
        <v>45597</v>
      </c>
      <c r="F2294" s="18">
        <f>MONTH(Data!$E2294)</f>
        <v>11</v>
      </c>
      <c r="G2294" s="16">
        <f>YEAR(Data!$E2294)</f>
        <v>2024</v>
      </c>
      <c r="H2294" s="15" t="s">
        <v>11</v>
      </c>
      <c r="I2294" s="15" t="str">
        <f t="shared" si="35"/>
        <v>Sở ban ngành</v>
      </c>
      <c r="J2294" s="15" t="s">
        <v>1285</v>
      </c>
      <c r="K2294" s="15" t="s">
        <v>1266</v>
      </c>
      <c r="L2294" s="32">
        <f>Data!$D2294/10^6</f>
        <v>38.682450000000003</v>
      </c>
    </row>
    <row r="2295" spans="1:12" x14ac:dyDescent="0.25">
      <c r="A2295" s="30" t="s">
        <v>68</v>
      </c>
      <c r="B2295" s="19" t="s">
        <v>265</v>
      </c>
      <c r="C2295" s="19" t="s">
        <v>10</v>
      </c>
      <c r="D2295" s="16">
        <v>185502800</v>
      </c>
      <c r="E2295" s="17">
        <v>45597</v>
      </c>
      <c r="F2295" s="18">
        <f>MONTH(Data!$E2295)</f>
        <v>11</v>
      </c>
      <c r="G2295" s="16">
        <f>YEAR(Data!$E2295)</f>
        <v>2024</v>
      </c>
      <c r="H2295" s="15" t="s">
        <v>22</v>
      </c>
      <c r="I2295" s="15" t="str">
        <f t="shared" si="35"/>
        <v>Sở ban ngành</v>
      </c>
      <c r="J2295" s="15" t="s">
        <v>1284</v>
      </c>
      <c r="K2295" s="15" t="s">
        <v>1280</v>
      </c>
      <c r="L2295" s="32">
        <f>Data!$D2295/10^6</f>
        <v>185.50280000000001</v>
      </c>
    </row>
    <row r="2296" spans="1:12" x14ac:dyDescent="0.25">
      <c r="A2296" s="30" t="s">
        <v>8</v>
      </c>
      <c r="B2296" s="19" t="s">
        <v>625</v>
      </c>
      <c r="C2296" s="19" t="s">
        <v>46</v>
      </c>
      <c r="D2296" s="16">
        <v>90689491</v>
      </c>
      <c r="E2296" s="17">
        <v>45597</v>
      </c>
      <c r="F2296" s="18">
        <f>MONTH(Data!$E2296)</f>
        <v>11</v>
      </c>
      <c r="G2296" s="16">
        <f>YEAR(Data!$E2296)</f>
        <v>2024</v>
      </c>
      <c r="H2296" s="15" t="s">
        <v>11</v>
      </c>
      <c r="I2296" s="15" t="str">
        <f t="shared" si="35"/>
        <v>Sở ban ngành</v>
      </c>
      <c r="J2296" s="15" t="s">
        <v>1285</v>
      </c>
      <c r="K2296" s="15" t="s">
        <v>1271</v>
      </c>
      <c r="L2296" s="32">
        <f>Data!$D2296/10^6</f>
        <v>90.689491000000004</v>
      </c>
    </row>
    <row r="2297" spans="1:12" x14ac:dyDescent="0.25">
      <c r="A2297" s="30" t="s">
        <v>37</v>
      </c>
      <c r="B2297" s="19" t="s">
        <v>316</v>
      </c>
      <c r="C2297" s="19" t="s">
        <v>46</v>
      </c>
      <c r="D2297" s="16">
        <v>52272727</v>
      </c>
      <c r="E2297" s="17">
        <v>45597</v>
      </c>
      <c r="F2297" s="18">
        <f>MONTH(Data!$E2297)</f>
        <v>11</v>
      </c>
      <c r="G2297" s="16">
        <f>YEAR(Data!$E2297)</f>
        <v>2024</v>
      </c>
      <c r="H2297" s="15" t="s">
        <v>11</v>
      </c>
      <c r="I2297" s="15" t="str">
        <f t="shared" si="35"/>
        <v>Sở ban ngành</v>
      </c>
      <c r="J2297" s="15" t="s">
        <v>1284</v>
      </c>
      <c r="K2297" s="15" t="s">
        <v>1271</v>
      </c>
      <c r="L2297" s="32">
        <f>Data!$D2297/10^6</f>
        <v>52.272727000000003</v>
      </c>
    </row>
    <row r="2298" spans="1:12" x14ac:dyDescent="0.25">
      <c r="A2298" s="30" t="s">
        <v>268</v>
      </c>
      <c r="B2298" s="19" t="s">
        <v>619</v>
      </c>
      <c r="C2298" s="19" t="s">
        <v>46</v>
      </c>
      <c r="D2298" s="16">
        <v>43982830</v>
      </c>
      <c r="E2298" s="17">
        <v>45597</v>
      </c>
      <c r="F2298" s="18">
        <f>MONTH(Data!$E2298)</f>
        <v>11</v>
      </c>
      <c r="G2298" s="16">
        <f>YEAR(Data!$E2298)</f>
        <v>2024</v>
      </c>
      <c r="H2298" s="15" t="s">
        <v>25</v>
      </c>
      <c r="I2298" s="15" t="str">
        <f t="shared" si="35"/>
        <v>Sở ban ngành</v>
      </c>
      <c r="J2298" s="15" t="s">
        <v>1285</v>
      </c>
      <c r="K2298" s="15" t="s">
        <v>1271</v>
      </c>
      <c r="L2298" s="32">
        <f>Data!$D2298/10^6</f>
        <v>43.98283</v>
      </c>
    </row>
    <row r="2299" spans="1:12" x14ac:dyDescent="0.25">
      <c r="A2299" s="30" t="s">
        <v>268</v>
      </c>
      <c r="B2299" s="19" t="s">
        <v>619</v>
      </c>
      <c r="C2299" s="19" t="s">
        <v>46</v>
      </c>
      <c r="D2299" s="16">
        <v>40067802</v>
      </c>
      <c r="E2299" s="17">
        <v>45597</v>
      </c>
      <c r="F2299" s="18">
        <f>MONTH(Data!$E2299)</f>
        <v>11</v>
      </c>
      <c r="G2299" s="16">
        <f>YEAR(Data!$E2299)</f>
        <v>2024</v>
      </c>
      <c r="H2299" s="15" t="s">
        <v>25</v>
      </c>
      <c r="I2299" s="15" t="str">
        <f t="shared" si="35"/>
        <v>Sở ban ngành</v>
      </c>
      <c r="J2299" s="15" t="s">
        <v>1284</v>
      </c>
      <c r="K2299" s="15" t="s">
        <v>1271</v>
      </c>
      <c r="L2299" s="32">
        <f>Data!$D2299/10^6</f>
        <v>40.067802</v>
      </c>
    </row>
    <row r="2300" spans="1:12" x14ac:dyDescent="0.25">
      <c r="A2300" s="30" t="s">
        <v>74</v>
      </c>
      <c r="B2300" s="19" t="s">
        <v>637</v>
      </c>
      <c r="C2300" s="19" t="s">
        <v>41</v>
      </c>
      <c r="D2300" s="16">
        <v>79427473</v>
      </c>
      <c r="E2300" s="17">
        <v>45597</v>
      </c>
      <c r="F2300" s="18">
        <f>MONTH(Data!$E2300)</f>
        <v>11</v>
      </c>
      <c r="G2300" s="16">
        <f>YEAR(Data!$E2300)</f>
        <v>2024</v>
      </c>
      <c r="H2300" s="15" t="s">
        <v>11</v>
      </c>
      <c r="I2300" s="15" t="str">
        <f t="shared" si="35"/>
        <v>Sở ban ngành</v>
      </c>
      <c r="J2300" s="15" t="s">
        <v>1285</v>
      </c>
      <c r="K2300" s="15" t="s">
        <v>1269</v>
      </c>
      <c r="L2300" s="32">
        <f>Data!$D2300/10^6</f>
        <v>79.427473000000006</v>
      </c>
    </row>
    <row r="2301" spans="1:12" x14ac:dyDescent="0.25">
      <c r="A2301" s="30" t="s">
        <v>74</v>
      </c>
      <c r="B2301" s="19" t="s">
        <v>637</v>
      </c>
      <c r="C2301" s="19" t="s">
        <v>14</v>
      </c>
      <c r="D2301" s="16">
        <v>65018182</v>
      </c>
      <c r="E2301" s="17">
        <v>45597</v>
      </c>
      <c r="F2301" s="18">
        <f>MONTH(Data!$E2301)</f>
        <v>11</v>
      </c>
      <c r="G2301" s="16">
        <f>YEAR(Data!$E2301)</f>
        <v>2024</v>
      </c>
      <c r="H2301" s="15" t="s">
        <v>11</v>
      </c>
      <c r="I2301" s="15" t="str">
        <f t="shared" si="35"/>
        <v>Sở ban ngành</v>
      </c>
      <c r="J2301" s="15" t="s">
        <v>1284</v>
      </c>
      <c r="K2301" s="15" t="s">
        <v>1272</v>
      </c>
      <c r="L2301" s="32">
        <f>Data!$D2301/10^6</f>
        <v>65.018181999999996</v>
      </c>
    </row>
    <row r="2302" spans="1:12" x14ac:dyDescent="0.25">
      <c r="A2302" s="30" t="s">
        <v>37</v>
      </c>
      <c r="B2302" s="19" t="s">
        <v>655</v>
      </c>
      <c r="C2302" s="19" t="s">
        <v>46</v>
      </c>
      <c r="D2302" s="16">
        <v>22727273</v>
      </c>
      <c r="E2302" s="17">
        <v>45597</v>
      </c>
      <c r="F2302" s="18">
        <f>MONTH(Data!$E2302)</f>
        <v>11</v>
      </c>
      <c r="G2302" s="16">
        <f>YEAR(Data!$E2302)</f>
        <v>2024</v>
      </c>
      <c r="H2302" s="15" t="s">
        <v>11</v>
      </c>
      <c r="I2302" s="15" t="str">
        <f t="shared" si="35"/>
        <v>Sở ban ngành</v>
      </c>
      <c r="J2302" s="15" t="s">
        <v>1285</v>
      </c>
      <c r="K2302" s="15" t="s">
        <v>1271</v>
      </c>
      <c r="L2302" s="32">
        <f>Data!$D2302/10^6</f>
        <v>22.727273</v>
      </c>
    </row>
    <row r="2303" spans="1:12" x14ac:dyDescent="0.25">
      <c r="A2303" s="30" t="s">
        <v>89</v>
      </c>
      <c r="B2303" s="19" t="s">
        <v>610</v>
      </c>
      <c r="C2303" s="19" t="s">
        <v>46</v>
      </c>
      <c r="D2303" s="16">
        <v>54511856</v>
      </c>
      <c r="E2303" s="17">
        <v>45597</v>
      </c>
      <c r="F2303" s="18">
        <f>MONTH(Data!$E2303)</f>
        <v>11</v>
      </c>
      <c r="G2303" s="16">
        <f>YEAR(Data!$E2303)</f>
        <v>2024</v>
      </c>
      <c r="H2303" s="15" t="s">
        <v>11</v>
      </c>
      <c r="I2303" s="15" t="str">
        <f t="shared" si="35"/>
        <v>Sở ban ngành</v>
      </c>
      <c r="J2303" s="15" t="s">
        <v>1284</v>
      </c>
      <c r="K2303" s="15" t="s">
        <v>1271</v>
      </c>
      <c r="L2303" s="32">
        <f>Data!$D2303/10^6</f>
        <v>54.511856000000002</v>
      </c>
    </row>
    <row r="2304" spans="1:12" x14ac:dyDescent="0.25">
      <c r="A2304" s="30" t="s">
        <v>17</v>
      </c>
      <c r="B2304" s="19" t="s">
        <v>641</v>
      </c>
      <c r="C2304" s="19" t="s">
        <v>10</v>
      </c>
      <c r="D2304" s="16">
        <v>24110000</v>
      </c>
      <c r="E2304" s="17">
        <v>45597</v>
      </c>
      <c r="F2304" s="18">
        <f>MONTH(Data!$E2304)</f>
        <v>11</v>
      </c>
      <c r="G2304" s="16">
        <f>YEAR(Data!$E2304)</f>
        <v>2024</v>
      </c>
      <c r="H2304" s="15" t="s">
        <v>11</v>
      </c>
      <c r="I2304" s="15" t="str">
        <f t="shared" si="35"/>
        <v>Sở ban ngành</v>
      </c>
      <c r="J2304" s="15" t="s">
        <v>1285</v>
      </c>
      <c r="K2304" s="15" t="s">
        <v>1262</v>
      </c>
      <c r="L2304" s="32">
        <f>Data!$D2304/10^6</f>
        <v>24.11</v>
      </c>
    </row>
    <row r="2305" spans="1:12" x14ac:dyDescent="0.25">
      <c r="A2305" s="30" t="s">
        <v>17</v>
      </c>
      <c r="B2305" s="19" t="s">
        <v>639</v>
      </c>
      <c r="C2305" s="19" t="s">
        <v>10</v>
      </c>
      <c r="D2305" s="16">
        <v>14440000</v>
      </c>
      <c r="E2305" s="17">
        <v>45597</v>
      </c>
      <c r="F2305" s="18">
        <f>MONTH(Data!$E2305)</f>
        <v>11</v>
      </c>
      <c r="G2305" s="16">
        <f>YEAR(Data!$E2305)</f>
        <v>2024</v>
      </c>
      <c r="H2305" s="15" t="s">
        <v>11</v>
      </c>
      <c r="I2305" s="15" t="str">
        <f t="shared" si="35"/>
        <v>Sở ban ngành</v>
      </c>
      <c r="J2305" s="15" t="s">
        <v>1284</v>
      </c>
      <c r="K2305" s="15" t="s">
        <v>1267</v>
      </c>
      <c r="L2305" s="32">
        <f>Data!$D2305/10^6</f>
        <v>14.44</v>
      </c>
    </row>
    <row r="2306" spans="1:12" x14ac:dyDescent="0.25">
      <c r="A2306" s="30" t="s">
        <v>17</v>
      </c>
      <c r="B2306" s="19" t="s">
        <v>643</v>
      </c>
      <c r="C2306" s="19" t="s">
        <v>10</v>
      </c>
      <c r="D2306" s="16">
        <v>2190000</v>
      </c>
      <c r="E2306" s="17">
        <v>45597</v>
      </c>
      <c r="F2306" s="18">
        <f>MONTH(Data!$E2306)</f>
        <v>11</v>
      </c>
      <c r="G2306" s="16">
        <f>YEAR(Data!$E2306)</f>
        <v>2024</v>
      </c>
      <c r="H2306" s="15" t="s">
        <v>11</v>
      </c>
      <c r="I2306" s="15" t="str">
        <f t="shared" si="35"/>
        <v>Sở ban ngành</v>
      </c>
      <c r="J2306" s="15" t="s">
        <v>1285</v>
      </c>
      <c r="K2306" s="15" t="s">
        <v>1267</v>
      </c>
      <c r="L2306" s="32">
        <f>Data!$D2306/10^6</f>
        <v>2.19</v>
      </c>
    </row>
    <row r="2307" spans="1:12" x14ac:dyDescent="0.25">
      <c r="A2307" s="30" t="s">
        <v>36</v>
      </c>
      <c r="B2307" s="19" t="s">
        <v>604</v>
      </c>
      <c r="C2307" s="19" t="s">
        <v>46</v>
      </c>
      <c r="D2307" s="16">
        <v>29000000</v>
      </c>
      <c r="E2307" s="17">
        <v>45597</v>
      </c>
      <c r="F2307" s="18">
        <f>MONTH(Data!$E2307)</f>
        <v>11</v>
      </c>
      <c r="G2307" s="16">
        <f>YEAR(Data!$E2307)</f>
        <v>2024</v>
      </c>
      <c r="H2307" s="15" t="s">
        <v>15</v>
      </c>
      <c r="I2307" s="15" t="str">
        <f t="shared" ref="I2307:I2370" si="36">IF(ISNUMBER(SEARCH("Công ty",$B2307)),"Doanh nghiệp",IF(ISNUMBER(SEARCH("Doanh nghiệp",$B2307)),"Doanh nghiệp",IF(ISNUMBER(SEARCH("Tập đoàn",$B2307)),"Doanh nghiệp",
IF(ISNUMBER(SEARCH("Bệnh viện",$B2307)),"Bệnh viện",
IF(ISNUMBER(SEARCH("Ngân hàng",$B2307)),"Ngân hàng",IF(ISNUMBER(SEARCH("trường",$B2307)),"Trường học",IF(ISNUMBER(SEARCH("học viện",$B2307)),"Trường học",
IF(ISNUMBER(SEARCH("Bộ",$B2307)),"Sở ban ngành",IF(ISNUMBER(SEARCH("Đoàn",$B2307)),"Sở ban ngành",IF(ISNUMBER(SEARCH("Phòng",$B2307)),"Sở ban ngành",IF(ISNUMBER(SEARCH("UBND",$B2307)),"Sở ban ngành",IF(ISNUMBER(SEARCH("ủy ban",$B2307)),"Sở ban ngành",IF(ISNUMBER(SEARCH("công an",$B2307)),"Sở ban ngành",IF(ISNUMBER(SEARCH("sở",$B2307)),"Sở ban ngành",IF(ISNUMBER(SEARCH("thôn",$B2307)),"Sở ban ngành",IF(ISNUMBER(SEARCH("xã",$B2307)),"Sở ban ngành",IF(ISNUMBER(SEARCH("quân khu",$B2307)),"Sở ban ngành",IF(ISNUMBER(SEARCH("cục",$B2307)),"Sở ban ngành",IF(ISNUMBER(SEARCH("viện",$B2307)),"Sở ban ngành",IF(ISNUMBER(SEARCH("quỹ",$B2307)),"Sở ban ngành",IF(ISNUMBER(SEARCH("trung tâm",$B2307)),"Sở ban ngành",IF(ISNUMBER(SEARCH("quân chủng",$B2307)),"Sở ban ngành",IF(ISNUMBER(SEARCH("hội",$B2307)),"Sở ban ngành",
"Khác")))))))))))))))))))))))</f>
        <v>Sở ban ngành</v>
      </c>
      <c r="J2307" s="15" t="s">
        <v>1284</v>
      </c>
      <c r="K2307" s="15" t="s">
        <v>1271</v>
      </c>
      <c r="L2307" s="32">
        <f>Data!$D2307/10^6</f>
        <v>29</v>
      </c>
    </row>
    <row r="2308" spans="1:12" x14ac:dyDescent="0.25">
      <c r="A2308" s="30" t="s">
        <v>130</v>
      </c>
      <c r="B2308" s="19" t="s">
        <v>621</v>
      </c>
      <c r="C2308" s="19" t="s">
        <v>41</v>
      </c>
      <c r="D2308" s="16">
        <v>84960000</v>
      </c>
      <c r="E2308" s="17">
        <v>45597</v>
      </c>
      <c r="F2308" s="18">
        <f>MONTH(Data!$E2308)</f>
        <v>11</v>
      </c>
      <c r="G2308" s="16">
        <f>YEAR(Data!$E2308)</f>
        <v>2024</v>
      </c>
      <c r="H2308" s="15" t="s">
        <v>22</v>
      </c>
      <c r="I2308" s="15" t="str">
        <f t="shared" si="36"/>
        <v>Sở ban ngành</v>
      </c>
      <c r="J2308" s="15" t="s">
        <v>1285</v>
      </c>
      <c r="K2308" s="15" t="s">
        <v>1280</v>
      </c>
      <c r="L2308" s="32">
        <f>Data!$D2308/10^6</f>
        <v>84.96</v>
      </c>
    </row>
    <row r="2309" spans="1:12" x14ac:dyDescent="0.25">
      <c r="A2309" s="30" t="s">
        <v>68</v>
      </c>
      <c r="B2309" s="19" t="s">
        <v>103</v>
      </c>
      <c r="C2309" s="19" t="s">
        <v>41</v>
      </c>
      <c r="D2309" s="16">
        <v>207725500</v>
      </c>
      <c r="E2309" s="17">
        <v>45597</v>
      </c>
      <c r="F2309" s="18">
        <f>MONTH(Data!$E2309)</f>
        <v>11</v>
      </c>
      <c r="G2309" s="16">
        <f>YEAR(Data!$E2309)</f>
        <v>2024</v>
      </c>
      <c r="H2309" s="15" t="s">
        <v>22</v>
      </c>
      <c r="I2309" s="15" t="str">
        <f t="shared" si="36"/>
        <v>Sở ban ngành</v>
      </c>
      <c r="J2309" s="15" t="s">
        <v>1284</v>
      </c>
      <c r="K2309" s="15" t="s">
        <v>1280</v>
      </c>
      <c r="L2309" s="32">
        <f>Data!$D2309/10^6</f>
        <v>207.72550000000001</v>
      </c>
    </row>
    <row r="2310" spans="1:12" x14ac:dyDescent="0.25">
      <c r="A2310" s="30" t="s">
        <v>68</v>
      </c>
      <c r="B2310" s="19" t="s">
        <v>105</v>
      </c>
      <c r="C2310" s="19" t="s">
        <v>41</v>
      </c>
      <c r="D2310" s="16">
        <v>207356900</v>
      </c>
      <c r="E2310" s="17">
        <v>45597</v>
      </c>
      <c r="F2310" s="18">
        <f>MONTH(Data!$E2310)</f>
        <v>11</v>
      </c>
      <c r="G2310" s="16">
        <f>YEAR(Data!$E2310)</f>
        <v>2024</v>
      </c>
      <c r="H2310" s="15" t="s">
        <v>22</v>
      </c>
      <c r="I2310" s="15" t="str">
        <f t="shared" si="36"/>
        <v>Sở ban ngành</v>
      </c>
      <c r="J2310" s="15" t="s">
        <v>1285</v>
      </c>
      <c r="K2310" s="15" t="s">
        <v>1280</v>
      </c>
      <c r="L2310" s="32">
        <f>Data!$D2310/10^6</f>
        <v>207.3569</v>
      </c>
    </row>
    <row r="2311" spans="1:12" x14ac:dyDescent="0.25">
      <c r="A2311" s="30" t="s">
        <v>8</v>
      </c>
      <c r="B2311" s="19" t="s">
        <v>623</v>
      </c>
      <c r="C2311" s="19" t="s">
        <v>46</v>
      </c>
      <c r="D2311" s="16">
        <v>90638982</v>
      </c>
      <c r="E2311" s="17">
        <v>45597</v>
      </c>
      <c r="F2311" s="18">
        <f>MONTH(Data!$E2311)</f>
        <v>11</v>
      </c>
      <c r="G2311" s="16">
        <f>YEAR(Data!$E2311)</f>
        <v>2024</v>
      </c>
      <c r="H2311" s="15" t="s">
        <v>11</v>
      </c>
      <c r="I2311" s="15" t="str">
        <f t="shared" si="36"/>
        <v>Sở ban ngành</v>
      </c>
      <c r="J2311" s="15" t="s">
        <v>1284</v>
      </c>
      <c r="K2311" s="15" t="s">
        <v>1271</v>
      </c>
      <c r="L2311" s="32">
        <f>Data!$D2311/10^6</f>
        <v>90.638981999999999</v>
      </c>
    </row>
    <row r="2312" spans="1:12" x14ac:dyDescent="0.25">
      <c r="A2312" s="30" t="s">
        <v>68</v>
      </c>
      <c r="B2312" s="19" t="s">
        <v>664</v>
      </c>
      <c r="C2312" s="19" t="s">
        <v>41</v>
      </c>
      <c r="D2312" s="16">
        <v>205067700</v>
      </c>
      <c r="E2312" s="17">
        <v>45597</v>
      </c>
      <c r="F2312" s="18">
        <f>MONTH(Data!$E2312)</f>
        <v>11</v>
      </c>
      <c r="G2312" s="16">
        <f>YEAR(Data!$E2312)</f>
        <v>2024</v>
      </c>
      <c r="H2312" s="15" t="s">
        <v>22</v>
      </c>
      <c r="I2312" s="15" t="str">
        <f t="shared" si="36"/>
        <v>Sở ban ngành</v>
      </c>
      <c r="J2312" s="15" t="s">
        <v>1285</v>
      </c>
      <c r="K2312" s="15" t="s">
        <v>1280</v>
      </c>
      <c r="L2312" s="32">
        <f>Data!$D2312/10^6</f>
        <v>205.0677</v>
      </c>
    </row>
    <row r="2313" spans="1:12" x14ac:dyDescent="0.25">
      <c r="A2313" s="30" t="s">
        <v>51</v>
      </c>
      <c r="B2313" s="19" t="s">
        <v>593</v>
      </c>
      <c r="C2313" s="19" t="s">
        <v>14</v>
      </c>
      <c r="D2313" s="16">
        <v>54477000</v>
      </c>
      <c r="E2313" s="17">
        <v>45597</v>
      </c>
      <c r="F2313" s="18">
        <f>MONTH(Data!$E2313)</f>
        <v>11</v>
      </c>
      <c r="G2313" s="16">
        <f>YEAR(Data!$E2313)</f>
        <v>2024</v>
      </c>
      <c r="H2313" s="15" t="s">
        <v>42</v>
      </c>
      <c r="I2313" s="15" t="str">
        <f t="shared" si="36"/>
        <v>Sở ban ngành</v>
      </c>
      <c r="J2313" s="15" t="s">
        <v>1284</v>
      </c>
      <c r="K2313" s="15" t="s">
        <v>1273</v>
      </c>
      <c r="L2313" s="32">
        <f>Data!$D2313/10^6</f>
        <v>54.476999999999997</v>
      </c>
    </row>
    <row r="2314" spans="1:12" x14ac:dyDescent="0.25">
      <c r="A2314" s="30" t="s">
        <v>130</v>
      </c>
      <c r="B2314" s="19" t="s">
        <v>616</v>
      </c>
      <c r="C2314" s="19" t="s">
        <v>149</v>
      </c>
      <c r="D2314" s="16">
        <v>191350000</v>
      </c>
      <c r="E2314" s="17">
        <v>45597</v>
      </c>
      <c r="F2314" s="18">
        <f>MONTH(Data!$E2314)</f>
        <v>11</v>
      </c>
      <c r="G2314" s="16">
        <f>YEAR(Data!$E2314)</f>
        <v>2024</v>
      </c>
      <c r="H2314" s="15" t="s">
        <v>22</v>
      </c>
      <c r="I2314" s="15" t="str">
        <f t="shared" si="36"/>
        <v>Sở ban ngành</v>
      </c>
      <c r="J2314" s="15" t="s">
        <v>1285</v>
      </c>
      <c r="K2314" s="15" t="s">
        <v>1271</v>
      </c>
      <c r="L2314" s="32">
        <f>Data!$D2314/10^6</f>
        <v>191.35</v>
      </c>
    </row>
    <row r="2315" spans="1:12" x14ac:dyDescent="0.25">
      <c r="A2315" s="30" t="s">
        <v>45</v>
      </c>
      <c r="B2315" s="19" t="s">
        <v>644</v>
      </c>
      <c r="C2315" s="19" t="s">
        <v>46</v>
      </c>
      <c r="D2315" s="16">
        <v>136363636</v>
      </c>
      <c r="E2315" s="17">
        <v>45597</v>
      </c>
      <c r="F2315" s="18">
        <f>MONTH(Data!$E2315)</f>
        <v>11</v>
      </c>
      <c r="G2315" s="16">
        <f>YEAR(Data!$E2315)</f>
        <v>2024</v>
      </c>
      <c r="H2315" s="15" t="s">
        <v>29</v>
      </c>
      <c r="I2315" s="15" t="str">
        <f t="shared" si="36"/>
        <v>Sở ban ngành</v>
      </c>
      <c r="J2315" s="15" t="s">
        <v>1284</v>
      </c>
      <c r="K2315" s="15" t="s">
        <v>1265</v>
      </c>
      <c r="L2315" s="32">
        <f>Data!$D2315/10^6</f>
        <v>136.36363600000001</v>
      </c>
    </row>
    <row r="2316" spans="1:12" x14ac:dyDescent="0.25">
      <c r="A2316" s="30" t="s">
        <v>30</v>
      </c>
      <c r="B2316" s="19" t="s">
        <v>620</v>
      </c>
      <c r="C2316" s="19" t="s">
        <v>10</v>
      </c>
      <c r="D2316" s="16">
        <v>109373633</v>
      </c>
      <c r="E2316" s="17">
        <v>45597</v>
      </c>
      <c r="F2316" s="18">
        <f>MONTH(Data!$E2316)</f>
        <v>11</v>
      </c>
      <c r="G2316" s="16">
        <f>YEAR(Data!$E2316)</f>
        <v>2024</v>
      </c>
      <c r="H2316" s="15" t="s">
        <v>32</v>
      </c>
      <c r="I2316" s="15" t="str">
        <f t="shared" si="36"/>
        <v>Sở ban ngành</v>
      </c>
      <c r="J2316" s="15" t="s">
        <v>1285</v>
      </c>
      <c r="K2316" s="15" t="s">
        <v>1263</v>
      </c>
      <c r="L2316" s="32">
        <f>Data!$D2316/10^6</f>
        <v>109.373633</v>
      </c>
    </row>
    <row r="2317" spans="1:12" x14ac:dyDescent="0.25">
      <c r="A2317" s="30" t="s">
        <v>37</v>
      </c>
      <c r="B2317" s="19" t="s">
        <v>1257</v>
      </c>
      <c r="C2317" s="19" t="s">
        <v>46</v>
      </c>
      <c r="D2317" s="16">
        <v>36427273</v>
      </c>
      <c r="E2317" s="17">
        <v>45597</v>
      </c>
      <c r="F2317" s="18">
        <f>MONTH(Data!$E2317)</f>
        <v>11</v>
      </c>
      <c r="G2317" s="16">
        <f>YEAR(Data!$E2317)</f>
        <v>2024</v>
      </c>
      <c r="H2317" s="15" t="s">
        <v>11</v>
      </c>
      <c r="I2317" s="15" t="str">
        <f t="shared" si="36"/>
        <v>Sở ban ngành</v>
      </c>
      <c r="J2317" s="15" t="s">
        <v>1284</v>
      </c>
      <c r="K2317" s="15" t="s">
        <v>1271</v>
      </c>
      <c r="L2317" s="32">
        <f>Data!$D2317/10^6</f>
        <v>36.427273</v>
      </c>
    </row>
    <row r="2318" spans="1:12" x14ac:dyDescent="0.25">
      <c r="A2318" s="30" t="s">
        <v>17</v>
      </c>
      <c r="B2318" s="19" t="s">
        <v>629</v>
      </c>
      <c r="C2318" s="19" t="s">
        <v>41</v>
      </c>
      <c r="D2318" s="16">
        <v>21900000</v>
      </c>
      <c r="E2318" s="17">
        <v>45597</v>
      </c>
      <c r="F2318" s="18">
        <f>MONTH(Data!$E2318)</f>
        <v>11</v>
      </c>
      <c r="G2318" s="16">
        <f>YEAR(Data!$E2318)</f>
        <v>2024</v>
      </c>
      <c r="H2318" s="15" t="s">
        <v>11</v>
      </c>
      <c r="I2318" s="15" t="str">
        <f t="shared" si="36"/>
        <v>Sở ban ngành</v>
      </c>
      <c r="J2318" s="15" t="s">
        <v>1285</v>
      </c>
      <c r="K2318" s="15" t="s">
        <v>1281</v>
      </c>
      <c r="L2318" s="32">
        <f>Data!$D2318/10^6</f>
        <v>21.9</v>
      </c>
    </row>
    <row r="2319" spans="1:12" x14ac:dyDescent="0.25">
      <c r="A2319" s="30" t="s">
        <v>8</v>
      </c>
      <c r="B2319" s="19" t="s">
        <v>624</v>
      </c>
      <c r="C2319" s="19" t="s">
        <v>46</v>
      </c>
      <c r="D2319" s="16">
        <v>90638982</v>
      </c>
      <c r="E2319" s="17">
        <v>45597</v>
      </c>
      <c r="F2319" s="18">
        <f>MONTH(Data!$E2319)</f>
        <v>11</v>
      </c>
      <c r="G2319" s="16">
        <f>YEAR(Data!$E2319)</f>
        <v>2024</v>
      </c>
      <c r="H2319" s="15" t="s">
        <v>11</v>
      </c>
      <c r="I2319" s="15" t="str">
        <f t="shared" si="36"/>
        <v>Sở ban ngành</v>
      </c>
      <c r="J2319" s="15" t="s">
        <v>1284</v>
      </c>
      <c r="K2319" s="15" t="s">
        <v>1271</v>
      </c>
      <c r="L2319" s="32">
        <f>Data!$D2319/10^6</f>
        <v>90.638981999999999</v>
      </c>
    </row>
    <row r="2320" spans="1:12" x14ac:dyDescent="0.25">
      <c r="A2320" s="30" t="s">
        <v>74</v>
      </c>
      <c r="B2320" s="19" t="s">
        <v>538</v>
      </c>
      <c r="C2320" s="19" t="s">
        <v>41</v>
      </c>
      <c r="D2320" s="16">
        <v>72727273</v>
      </c>
      <c r="E2320" s="17">
        <v>45597</v>
      </c>
      <c r="F2320" s="18">
        <f>MONTH(Data!$E2320)</f>
        <v>11</v>
      </c>
      <c r="G2320" s="16">
        <f>YEAR(Data!$E2320)</f>
        <v>2024</v>
      </c>
      <c r="H2320" s="15" t="s">
        <v>11</v>
      </c>
      <c r="I2320" s="15" t="str">
        <f t="shared" si="36"/>
        <v>Sở ban ngành</v>
      </c>
      <c r="J2320" s="15" t="s">
        <v>1285</v>
      </c>
      <c r="K2320" s="15" t="s">
        <v>1269</v>
      </c>
      <c r="L2320" s="32">
        <f>Data!$D2320/10^6</f>
        <v>72.727272999999997</v>
      </c>
    </row>
    <row r="2321" spans="1:12" x14ac:dyDescent="0.25">
      <c r="A2321" s="30" t="s">
        <v>111</v>
      </c>
      <c r="B2321" s="19" t="s">
        <v>609</v>
      </c>
      <c r="C2321" s="19" t="s">
        <v>14</v>
      </c>
      <c r="D2321" s="16">
        <v>81804545</v>
      </c>
      <c r="E2321" s="17">
        <v>45597</v>
      </c>
      <c r="F2321" s="18">
        <f>MONTH(Data!$E2321)</f>
        <v>11</v>
      </c>
      <c r="G2321" s="16">
        <f>YEAR(Data!$E2321)</f>
        <v>2024</v>
      </c>
      <c r="H2321" s="15" t="s">
        <v>22</v>
      </c>
      <c r="I2321" s="15" t="str">
        <f t="shared" si="36"/>
        <v>Sở ban ngành</v>
      </c>
      <c r="J2321" s="15" t="s">
        <v>1284</v>
      </c>
      <c r="K2321" s="15" t="s">
        <v>1272</v>
      </c>
      <c r="L2321" s="32">
        <f>Data!$D2321/10^6</f>
        <v>81.804545000000005</v>
      </c>
    </row>
    <row r="2322" spans="1:12" x14ac:dyDescent="0.25">
      <c r="A2322" s="30" t="s">
        <v>74</v>
      </c>
      <c r="B2322" s="19" t="s">
        <v>484</v>
      </c>
      <c r="C2322" s="19" t="s">
        <v>41</v>
      </c>
      <c r="D2322" s="16">
        <v>72727273</v>
      </c>
      <c r="E2322" s="17">
        <v>45597</v>
      </c>
      <c r="F2322" s="18">
        <f>MONTH(Data!$E2322)</f>
        <v>11</v>
      </c>
      <c r="G2322" s="16">
        <f>YEAR(Data!$E2322)</f>
        <v>2024</v>
      </c>
      <c r="H2322" s="15" t="s">
        <v>11</v>
      </c>
      <c r="I2322" s="15" t="str">
        <f t="shared" si="36"/>
        <v>Sở ban ngành</v>
      </c>
      <c r="J2322" s="15" t="s">
        <v>1285</v>
      </c>
      <c r="K2322" s="15" t="s">
        <v>1269</v>
      </c>
      <c r="L2322" s="32">
        <f>Data!$D2322/10^6</f>
        <v>72.727272999999997</v>
      </c>
    </row>
    <row r="2323" spans="1:12" x14ac:dyDescent="0.25">
      <c r="A2323" s="30" t="s">
        <v>130</v>
      </c>
      <c r="B2323" s="19" t="s">
        <v>622</v>
      </c>
      <c r="C2323" s="19" t="s">
        <v>10</v>
      </c>
      <c r="D2323" s="16">
        <v>89747273</v>
      </c>
      <c r="E2323" s="17">
        <v>45597</v>
      </c>
      <c r="F2323" s="18">
        <f>MONTH(Data!$E2323)</f>
        <v>11</v>
      </c>
      <c r="G2323" s="16">
        <f>YEAR(Data!$E2323)</f>
        <v>2024</v>
      </c>
      <c r="H2323" s="15" t="s">
        <v>22</v>
      </c>
      <c r="I2323" s="15" t="str">
        <f t="shared" si="36"/>
        <v>Sở ban ngành</v>
      </c>
      <c r="J2323" s="15" t="s">
        <v>1284</v>
      </c>
      <c r="K2323" s="15" t="s">
        <v>1263</v>
      </c>
      <c r="L2323" s="32">
        <f>Data!$D2323/10^6</f>
        <v>89.747273000000007</v>
      </c>
    </row>
    <row r="2324" spans="1:12" x14ac:dyDescent="0.25">
      <c r="A2324" s="30" t="s">
        <v>74</v>
      </c>
      <c r="B2324" s="19" t="s">
        <v>618</v>
      </c>
      <c r="C2324" s="19" t="s">
        <v>10</v>
      </c>
      <c r="D2324" s="16">
        <v>11219091</v>
      </c>
      <c r="E2324" s="17">
        <v>45597</v>
      </c>
      <c r="F2324" s="18">
        <f>MONTH(Data!$E2324)</f>
        <v>11</v>
      </c>
      <c r="G2324" s="16">
        <f>YEAR(Data!$E2324)</f>
        <v>2024</v>
      </c>
      <c r="H2324" s="15" t="s">
        <v>11</v>
      </c>
      <c r="I2324" s="15" t="str">
        <f t="shared" si="36"/>
        <v>Sở ban ngành</v>
      </c>
      <c r="J2324" s="15" t="s">
        <v>1285</v>
      </c>
      <c r="K2324" s="15" t="s">
        <v>1263</v>
      </c>
      <c r="L2324" s="32">
        <f>Data!$D2324/10^6</f>
        <v>11.219091000000001</v>
      </c>
    </row>
    <row r="2325" spans="1:12" x14ac:dyDescent="0.25">
      <c r="A2325" s="30" t="s">
        <v>27</v>
      </c>
      <c r="B2325" s="19" t="s">
        <v>320</v>
      </c>
      <c r="C2325" s="19" t="s">
        <v>14</v>
      </c>
      <c r="D2325" s="16">
        <v>36512000</v>
      </c>
      <c r="E2325" s="17">
        <v>45597</v>
      </c>
      <c r="F2325" s="18">
        <f>MONTH(Data!$E2325)</f>
        <v>11</v>
      </c>
      <c r="G2325" s="16">
        <f>YEAR(Data!$E2325)</f>
        <v>2024</v>
      </c>
      <c r="H2325" s="15" t="s">
        <v>11</v>
      </c>
      <c r="I2325" s="15" t="str">
        <f t="shared" si="36"/>
        <v>Sở ban ngành</v>
      </c>
      <c r="J2325" s="15" t="s">
        <v>1284</v>
      </c>
      <c r="K2325" s="15" t="s">
        <v>1271</v>
      </c>
      <c r="L2325" s="32">
        <f>Data!$D2325/10^6</f>
        <v>36.512</v>
      </c>
    </row>
    <row r="2326" spans="1:12" x14ac:dyDescent="0.25">
      <c r="A2326" s="30" t="s">
        <v>21</v>
      </c>
      <c r="B2326" s="19" t="s">
        <v>626</v>
      </c>
      <c r="C2326" s="19" t="s">
        <v>10</v>
      </c>
      <c r="D2326" s="16">
        <v>795454545</v>
      </c>
      <c r="E2326" s="17">
        <v>45597</v>
      </c>
      <c r="F2326" s="18">
        <f>MONTH(Data!$E2326)</f>
        <v>11</v>
      </c>
      <c r="G2326" s="16">
        <f>YEAR(Data!$E2326)</f>
        <v>2024</v>
      </c>
      <c r="H2326" s="15" t="s">
        <v>22</v>
      </c>
      <c r="I2326" s="15" t="str">
        <f t="shared" si="36"/>
        <v>Sở ban ngành</v>
      </c>
      <c r="J2326" s="15" t="s">
        <v>1285</v>
      </c>
      <c r="K2326" s="15" t="s">
        <v>1267</v>
      </c>
      <c r="L2326" s="32">
        <f>Data!$D2326/10^6</f>
        <v>795.45454500000005</v>
      </c>
    </row>
    <row r="2327" spans="1:12" x14ac:dyDescent="0.25">
      <c r="A2327" s="30" t="s">
        <v>21</v>
      </c>
      <c r="B2327" s="19" t="s">
        <v>626</v>
      </c>
      <c r="C2327" s="19" t="s">
        <v>10</v>
      </c>
      <c r="D2327" s="16">
        <v>795454545</v>
      </c>
      <c r="E2327" s="17">
        <v>45597</v>
      </c>
      <c r="F2327" s="18">
        <f>MONTH(Data!$E2327)</f>
        <v>11</v>
      </c>
      <c r="G2327" s="16">
        <f>YEAR(Data!$E2327)</f>
        <v>2024</v>
      </c>
      <c r="H2327" s="15" t="s">
        <v>22</v>
      </c>
      <c r="I2327" s="15" t="str">
        <f t="shared" si="36"/>
        <v>Sở ban ngành</v>
      </c>
      <c r="J2327" s="15" t="s">
        <v>1284</v>
      </c>
      <c r="K2327" s="15" t="s">
        <v>1267</v>
      </c>
      <c r="L2327" s="32">
        <f>Data!$D2327/10^6</f>
        <v>795.45454500000005</v>
      </c>
    </row>
    <row r="2328" spans="1:12" x14ac:dyDescent="0.25">
      <c r="A2328" s="30" t="s">
        <v>30</v>
      </c>
      <c r="B2328" s="19" t="s">
        <v>294</v>
      </c>
      <c r="C2328" s="19" t="s">
        <v>10</v>
      </c>
      <c r="D2328" s="16">
        <v>90181818</v>
      </c>
      <c r="E2328" s="17">
        <v>45597</v>
      </c>
      <c r="F2328" s="18">
        <f>MONTH(Data!$E2328)</f>
        <v>11</v>
      </c>
      <c r="G2328" s="16">
        <f>YEAR(Data!$E2328)</f>
        <v>2024</v>
      </c>
      <c r="H2328" s="15" t="s">
        <v>32</v>
      </c>
      <c r="I2328" s="15" t="str">
        <f t="shared" si="36"/>
        <v>Sở ban ngành</v>
      </c>
      <c r="J2328" s="15" t="s">
        <v>1285</v>
      </c>
      <c r="K2328" s="15" t="s">
        <v>1262</v>
      </c>
      <c r="L2328" s="32">
        <f>Data!$D2328/10^6</f>
        <v>90.181818000000007</v>
      </c>
    </row>
    <row r="2329" spans="1:12" x14ac:dyDescent="0.25">
      <c r="A2329" s="30" t="s">
        <v>85</v>
      </c>
      <c r="B2329" s="19" t="s">
        <v>649</v>
      </c>
      <c r="C2329" s="19" t="s">
        <v>149</v>
      </c>
      <c r="D2329" s="16">
        <v>83754208</v>
      </c>
      <c r="E2329" s="17">
        <v>45597</v>
      </c>
      <c r="F2329" s="18">
        <f>MONTH(Data!$E2329)</f>
        <v>11</v>
      </c>
      <c r="G2329" s="16">
        <f>YEAR(Data!$E2329)</f>
        <v>2024</v>
      </c>
      <c r="H2329" s="15" t="s">
        <v>15</v>
      </c>
      <c r="I2329" s="15" t="str">
        <f t="shared" si="36"/>
        <v>Sở ban ngành</v>
      </c>
      <c r="J2329" s="15" t="s">
        <v>1284</v>
      </c>
      <c r="K2329" s="15" t="s">
        <v>1275</v>
      </c>
      <c r="L2329" s="32">
        <f>Data!$D2329/10^6</f>
        <v>83.754208000000006</v>
      </c>
    </row>
    <row r="2330" spans="1:12" x14ac:dyDescent="0.25">
      <c r="A2330" s="30" t="s">
        <v>73</v>
      </c>
      <c r="B2330" s="19" t="s">
        <v>434</v>
      </c>
      <c r="C2330" s="19" t="s">
        <v>10</v>
      </c>
      <c r="D2330" s="16">
        <v>816754274</v>
      </c>
      <c r="E2330" s="17">
        <v>45597</v>
      </c>
      <c r="F2330" s="18">
        <f>MONTH(Data!$E2330)</f>
        <v>11</v>
      </c>
      <c r="G2330" s="16">
        <f>YEAR(Data!$E2330)</f>
        <v>2024</v>
      </c>
      <c r="H2330" s="15" t="s">
        <v>32</v>
      </c>
      <c r="I2330" s="15" t="str">
        <f t="shared" si="36"/>
        <v>Doanh nghiệp</v>
      </c>
      <c r="J2330" s="15" t="s">
        <v>1285</v>
      </c>
      <c r="K2330" s="15" t="s">
        <v>1263</v>
      </c>
      <c r="L2330" s="32">
        <f>Data!$D2330/10^6</f>
        <v>816.75427400000001</v>
      </c>
    </row>
    <row r="2331" spans="1:12" x14ac:dyDescent="0.25">
      <c r="A2331" s="30" t="s">
        <v>79</v>
      </c>
      <c r="B2331" s="19" t="s">
        <v>658</v>
      </c>
      <c r="C2331" s="19" t="s">
        <v>10</v>
      </c>
      <c r="D2331" s="16">
        <v>22372364</v>
      </c>
      <c r="E2331" s="17">
        <v>45597</v>
      </c>
      <c r="F2331" s="18">
        <f>MONTH(Data!$E2331)</f>
        <v>11</v>
      </c>
      <c r="G2331" s="16">
        <f>YEAR(Data!$E2331)</f>
        <v>2024</v>
      </c>
      <c r="H2331" s="15" t="s">
        <v>15</v>
      </c>
      <c r="I2331" s="15" t="str">
        <f t="shared" si="36"/>
        <v>Trường học</v>
      </c>
      <c r="J2331" s="15" t="s">
        <v>1284</v>
      </c>
      <c r="K2331" s="15" t="s">
        <v>1262</v>
      </c>
      <c r="L2331" s="32">
        <f>Data!$D2331/10^6</f>
        <v>22.372364000000001</v>
      </c>
    </row>
    <row r="2332" spans="1:12" x14ac:dyDescent="0.25">
      <c r="A2332" s="30" t="s">
        <v>52</v>
      </c>
      <c r="B2332" s="19" t="s">
        <v>605</v>
      </c>
      <c r="C2332" s="19" t="s">
        <v>10</v>
      </c>
      <c r="D2332" s="16">
        <v>89650000</v>
      </c>
      <c r="E2332" s="17">
        <v>45597</v>
      </c>
      <c r="F2332" s="18">
        <f>MONTH(Data!$E2332)</f>
        <v>11</v>
      </c>
      <c r="G2332" s="16">
        <f>YEAR(Data!$E2332)</f>
        <v>2024</v>
      </c>
      <c r="H2332" s="15" t="s">
        <v>35</v>
      </c>
      <c r="I2332" s="15" t="str">
        <f t="shared" si="36"/>
        <v>Trường học</v>
      </c>
      <c r="J2332" s="15" t="s">
        <v>1285</v>
      </c>
      <c r="K2332" s="15" t="s">
        <v>1262</v>
      </c>
      <c r="L2332" s="32">
        <f>Data!$D2332/10^6</f>
        <v>89.65</v>
      </c>
    </row>
    <row r="2333" spans="1:12" x14ac:dyDescent="0.25">
      <c r="A2333" s="30" t="s">
        <v>218</v>
      </c>
      <c r="B2333" s="19" t="s">
        <v>603</v>
      </c>
      <c r="C2333" s="19" t="s">
        <v>10</v>
      </c>
      <c r="D2333" s="16">
        <v>90301000</v>
      </c>
      <c r="E2333" s="17">
        <v>45597</v>
      </c>
      <c r="F2333" s="18">
        <f>MONTH(Data!$E2333)</f>
        <v>11</v>
      </c>
      <c r="G2333" s="16">
        <f>YEAR(Data!$E2333)</f>
        <v>2024</v>
      </c>
      <c r="H2333" s="15" t="s">
        <v>15</v>
      </c>
      <c r="I2333" s="15" t="str">
        <f t="shared" si="36"/>
        <v>Trường học</v>
      </c>
      <c r="J2333" s="15" t="s">
        <v>1284</v>
      </c>
      <c r="K2333" s="15" t="s">
        <v>1276</v>
      </c>
      <c r="L2333" s="32">
        <f>Data!$D2333/10^6</f>
        <v>90.301000000000002</v>
      </c>
    </row>
    <row r="2334" spans="1:12" x14ac:dyDescent="0.25">
      <c r="A2334" s="30" t="s">
        <v>52</v>
      </c>
      <c r="B2334" s="19" t="s">
        <v>638</v>
      </c>
      <c r="C2334" s="19" t="s">
        <v>14</v>
      </c>
      <c r="D2334" s="16">
        <v>99275400</v>
      </c>
      <c r="E2334" s="17">
        <v>45597</v>
      </c>
      <c r="F2334" s="18">
        <f>MONTH(Data!$E2334)</f>
        <v>11</v>
      </c>
      <c r="G2334" s="16">
        <f>YEAR(Data!$E2334)</f>
        <v>2024</v>
      </c>
      <c r="H2334" s="15" t="s">
        <v>35</v>
      </c>
      <c r="I2334" s="15" t="str">
        <f t="shared" si="36"/>
        <v>Trường học</v>
      </c>
      <c r="J2334" s="15" t="s">
        <v>1285</v>
      </c>
      <c r="K2334" s="15" t="s">
        <v>1275</v>
      </c>
      <c r="L2334" s="32">
        <f>Data!$D2334/10^6</f>
        <v>99.275400000000005</v>
      </c>
    </row>
    <row r="2335" spans="1:12" x14ac:dyDescent="0.25">
      <c r="A2335" s="30" t="s">
        <v>52</v>
      </c>
      <c r="B2335" s="19" t="s">
        <v>638</v>
      </c>
      <c r="C2335" s="19" t="s">
        <v>10</v>
      </c>
      <c r="D2335" s="16">
        <v>635454545</v>
      </c>
      <c r="E2335" s="17">
        <v>45597</v>
      </c>
      <c r="F2335" s="18">
        <f>MONTH(Data!$E2335)</f>
        <v>11</v>
      </c>
      <c r="G2335" s="16">
        <f>YEAR(Data!$E2335)</f>
        <v>2024</v>
      </c>
      <c r="H2335" s="15" t="s">
        <v>35</v>
      </c>
      <c r="I2335" s="15" t="str">
        <f t="shared" si="36"/>
        <v>Trường học</v>
      </c>
      <c r="J2335" s="15" t="s">
        <v>1284</v>
      </c>
      <c r="K2335" s="15" t="s">
        <v>1267</v>
      </c>
      <c r="L2335" s="32">
        <f>Data!$D2335/10^6</f>
        <v>635.45454500000005</v>
      </c>
    </row>
    <row r="2336" spans="1:12" x14ac:dyDescent="0.25">
      <c r="A2336" s="30" t="s">
        <v>72</v>
      </c>
      <c r="B2336" s="19" t="s">
        <v>613</v>
      </c>
      <c r="C2336" s="19" t="s">
        <v>10</v>
      </c>
      <c r="D2336" s="16">
        <v>560000000</v>
      </c>
      <c r="E2336" s="17">
        <v>45597</v>
      </c>
      <c r="F2336" s="18">
        <f>MONTH(Data!$E2336)</f>
        <v>11</v>
      </c>
      <c r="G2336" s="16">
        <f>YEAR(Data!$E2336)</f>
        <v>2024</v>
      </c>
      <c r="H2336" s="15" t="s">
        <v>22</v>
      </c>
      <c r="I2336" s="15" t="str">
        <f t="shared" si="36"/>
        <v>Trường học</v>
      </c>
      <c r="J2336" s="15" t="s">
        <v>1285</v>
      </c>
      <c r="K2336" s="15" t="s">
        <v>1267</v>
      </c>
      <c r="L2336" s="32">
        <f>Data!$D2336/10^6</f>
        <v>560</v>
      </c>
    </row>
    <row r="2337" spans="1:12" x14ac:dyDescent="0.25">
      <c r="A2337" s="30" t="s">
        <v>37</v>
      </c>
      <c r="B2337" s="19" t="s">
        <v>648</v>
      </c>
      <c r="C2337" s="19" t="s">
        <v>46</v>
      </c>
      <c r="D2337" s="16">
        <v>16947273</v>
      </c>
      <c r="E2337" s="17">
        <v>45597</v>
      </c>
      <c r="F2337" s="18">
        <f>MONTH(Data!$E2337)</f>
        <v>11</v>
      </c>
      <c r="G2337" s="16">
        <f>YEAR(Data!$E2337)</f>
        <v>2024</v>
      </c>
      <c r="H2337" s="15" t="s">
        <v>11</v>
      </c>
      <c r="I2337" s="15" t="str">
        <f t="shared" si="36"/>
        <v>Trường học</v>
      </c>
      <c r="J2337" s="15" t="s">
        <v>1284</v>
      </c>
      <c r="K2337" s="15" t="s">
        <v>1271</v>
      </c>
      <c r="L2337" s="32">
        <f>Data!$D2337/10^6</f>
        <v>16.947272999999999</v>
      </c>
    </row>
    <row r="2338" spans="1:12" x14ac:dyDescent="0.25">
      <c r="A2338" s="30" t="s">
        <v>75</v>
      </c>
      <c r="B2338" s="19" t="s">
        <v>606</v>
      </c>
      <c r="C2338" s="19" t="s">
        <v>149</v>
      </c>
      <c r="D2338" s="16">
        <v>10545455</v>
      </c>
      <c r="E2338" s="17">
        <v>45597</v>
      </c>
      <c r="F2338" s="18">
        <f>MONTH(Data!$E2338)</f>
        <v>11</v>
      </c>
      <c r="G2338" s="16">
        <f>YEAR(Data!$E2338)</f>
        <v>2024</v>
      </c>
      <c r="H2338" s="15" t="s">
        <v>15</v>
      </c>
      <c r="I2338" s="15" t="str">
        <f t="shared" si="36"/>
        <v>Trường học</v>
      </c>
      <c r="J2338" s="15" t="s">
        <v>1285</v>
      </c>
      <c r="K2338" s="15" t="s">
        <v>1262</v>
      </c>
      <c r="L2338" s="32">
        <f>Data!$D2338/10^6</f>
        <v>10.545455</v>
      </c>
    </row>
    <row r="2339" spans="1:12" x14ac:dyDescent="0.25">
      <c r="A2339" s="30" t="s">
        <v>74</v>
      </c>
      <c r="B2339" s="19" t="s">
        <v>640</v>
      </c>
      <c r="C2339" s="19" t="s">
        <v>10</v>
      </c>
      <c r="D2339" s="16">
        <v>44338680</v>
      </c>
      <c r="E2339" s="17">
        <v>45597</v>
      </c>
      <c r="F2339" s="18">
        <f>MONTH(Data!$E2339)</f>
        <v>11</v>
      </c>
      <c r="G2339" s="16">
        <f>YEAR(Data!$E2339)</f>
        <v>2024</v>
      </c>
      <c r="H2339" s="15" t="s">
        <v>11</v>
      </c>
      <c r="I2339" s="15" t="str">
        <f t="shared" si="36"/>
        <v>Trường học</v>
      </c>
      <c r="J2339" s="15" t="s">
        <v>1284</v>
      </c>
      <c r="K2339" s="15" t="s">
        <v>1263</v>
      </c>
      <c r="L2339" s="32">
        <f>Data!$D2339/10^6</f>
        <v>44.338679999999997</v>
      </c>
    </row>
    <row r="2340" spans="1:12" x14ac:dyDescent="0.25">
      <c r="A2340" s="30" t="s">
        <v>89</v>
      </c>
      <c r="B2340" s="19" t="s">
        <v>612</v>
      </c>
      <c r="C2340" s="19" t="s">
        <v>10</v>
      </c>
      <c r="D2340" s="16">
        <v>26928182</v>
      </c>
      <c r="E2340" s="17">
        <v>45597</v>
      </c>
      <c r="F2340" s="18">
        <f>MONTH(Data!$E2340)</f>
        <v>11</v>
      </c>
      <c r="G2340" s="16">
        <f>YEAR(Data!$E2340)</f>
        <v>2024</v>
      </c>
      <c r="H2340" s="15" t="s">
        <v>11</v>
      </c>
      <c r="I2340" s="15" t="str">
        <f t="shared" si="36"/>
        <v>Trường học</v>
      </c>
      <c r="J2340" s="15" t="s">
        <v>1285</v>
      </c>
      <c r="K2340" s="15" t="s">
        <v>1262</v>
      </c>
      <c r="L2340" s="32">
        <f>Data!$D2340/10^6</f>
        <v>26.928182</v>
      </c>
    </row>
    <row r="2341" spans="1:12" x14ac:dyDescent="0.25">
      <c r="A2341" s="30" t="s">
        <v>65</v>
      </c>
      <c r="B2341" s="19" t="s">
        <v>633</v>
      </c>
      <c r="C2341" s="19" t="s">
        <v>10</v>
      </c>
      <c r="D2341" s="16">
        <v>27145455</v>
      </c>
      <c r="E2341" s="17">
        <v>45597</v>
      </c>
      <c r="F2341" s="18">
        <f>MONTH(Data!$E2341)</f>
        <v>11</v>
      </c>
      <c r="G2341" s="16">
        <f>YEAR(Data!$E2341)</f>
        <v>2024</v>
      </c>
      <c r="H2341" s="15" t="s">
        <v>25</v>
      </c>
      <c r="I2341" s="15" t="str">
        <f t="shared" si="36"/>
        <v>Trường học</v>
      </c>
      <c r="J2341" s="15" t="s">
        <v>1284</v>
      </c>
      <c r="K2341" s="15" t="s">
        <v>1263</v>
      </c>
      <c r="L2341" s="32">
        <f>Data!$D2341/10^6</f>
        <v>27.145454999999998</v>
      </c>
    </row>
    <row r="2342" spans="1:12" x14ac:dyDescent="0.25">
      <c r="A2342" s="30" t="s">
        <v>30</v>
      </c>
      <c r="B2342" s="19" t="s">
        <v>663</v>
      </c>
      <c r="C2342" s="19" t="s">
        <v>10</v>
      </c>
      <c r="D2342" s="16">
        <v>25931818</v>
      </c>
      <c r="E2342" s="17">
        <v>45597</v>
      </c>
      <c r="F2342" s="18">
        <f>MONTH(Data!$E2342)</f>
        <v>11</v>
      </c>
      <c r="G2342" s="16">
        <f>YEAR(Data!$E2342)</f>
        <v>2024</v>
      </c>
      <c r="H2342" s="15" t="s">
        <v>32</v>
      </c>
      <c r="I2342" s="15" t="str">
        <f t="shared" si="36"/>
        <v>Trường học</v>
      </c>
      <c r="J2342" s="15" t="s">
        <v>1285</v>
      </c>
      <c r="K2342" s="15" t="s">
        <v>1262</v>
      </c>
      <c r="L2342" s="32">
        <f>Data!$D2342/10^6</f>
        <v>25.931818</v>
      </c>
    </row>
    <row r="2343" spans="1:12" x14ac:dyDescent="0.25">
      <c r="A2343" s="30" t="s">
        <v>75</v>
      </c>
      <c r="B2343" s="19" t="s">
        <v>630</v>
      </c>
      <c r="C2343" s="19" t="s">
        <v>149</v>
      </c>
      <c r="D2343" s="16">
        <v>13409091</v>
      </c>
      <c r="E2343" s="17">
        <v>45597</v>
      </c>
      <c r="F2343" s="18">
        <f>MONTH(Data!$E2343)</f>
        <v>11</v>
      </c>
      <c r="G2343" s="16">
        <f>YEAR(Data!$E2343)</f>
        <v>2024</v>
      </c>
      <c r="H2343" s="15" t="s">
        <v>15</v>
      </c>
      <c r="I2343" s="15" t="str">
        <f t="shared" si="36"/>
        <v>Trường học</v>
      </c>
      <c r="J2343" s="15" t="s">
        <v>1284</v>
      </c>
      <c r="K2343" s="15" t="s">
        <v>1262</v>
      </c>
      <c r="L2343" s="32">
        <f>Data!$D2343/10^6</f>
        <v>13.409091</v>
      </c>
    </row>
    <row r="2344" spans="1:12" x14ac:dyDescent="0.25">
      <c r="A2344" s="30" t="s">
        <v>28</v>
      </c>
      <c r="B2344" s="19" t="s">
        <v>145</v>
      </c>
      <c r="C2344" s="19" t="s">
        <v>10</v>
      </c>
      <c r="D2344" s="16">
        <v>161343483</v>
      </c>
      <c r="E2344" s="17">
        <v>45597</v>
      </c>
      <c r="F2344" s="18">
        <f>MONTH(Data!$E2344)</f>
        <v>11</v>
      </c>
      <c r="G2344" s="16">
        <f>YEAR(Data!$E2344)</f>
        <v>2024</v>
      </c>
      <c r="H2344" s="15" t="s">
        <v>29</v>
      </c>
      <c r="I2344" s="15" t="str">
        <f t="shared" si="36"/>
        <v>Trường học</v>
      </c>
      <c r="J2344" s="15" t="s">
        <v>1285</v>
      </c>
      <c r="K2344" s="15" t="s">
        <v>1267</v>
      </c>
      <c r="L2344" s="32">
        <f>Data!$D2344/10^6</f>
        <v>161.34348299999999</v>
      </c>
    </row>
    <row r="2345" spans="1:12" x14ac:dyDescent="0.25">
      <c r="A2345" s="30" t="s">
        <v>52</v>
      </c>
      <c r="B2345" s="19" t="s">
        <v>645</v>
      </c>
      <c r="C2345" s="19" t="s">
        <v>10</v>
      </c>
      <c r="D2345" s="16">
        <v>44474000</v>
      </c>
      <c r="E2345" s="17">
        <v>45597</v>
      </c>
      <c r="F2345" s="18">
        <f>MONTH(Data!$E2345)</f>
        <v>11</v>
      </c>
      <c r="G2345" s="16">
        <f>YEAR(Data!$E2345)</f>
        <v>2024</v>
      </c>
      <c r="H2345" s="15" t="s">
        <v>35</v>
      </c>
      <c r="I2345" s="15" t="str">
        <f t="shared" si="36"/>
        <v>Trường học</v>
      </c>
      <c r="J2345" s="15" t="s">
        <v>1284</v>
      </c>
      <c r="K2345" s="15" t="s">
        <v>1262</v>
      </c>
      <c r="L2345" s="32">
        <f>Data!$D2345/10^6</f>
        <v>44.473999999999997</v>
      </c>
    </row>
    <row r="2346" spans="1:12" x14ac:dyDescent="0.25">
      <c r="A2346" s="30" t="s">
        <v>17</v>
      </c>
      <c r="B2346" s="19" t="s">
        <v>628</v>
      </c>
      <c r="C2346" s="19" t="s">
        <v>10</v>
      </c>
      <c r="D2346" s="16">
        <v>26503800</v>
      </c>
      <c r="E2346" s="17">
        <v>45597</v>
      </c>
      <c r="F2346" s="18">
        <f>MONTH(Data!$E2346)</f>
        <v>11</v>
      </c>
      <c r="G2346" s="16">
        <f>YEAR(Data!$E2346)</f>
        <v>2024</v>
      </c>
      <c r="H2346" s="15" t="s">
        <v>11</v>
      </c>
      <c r="I2346" s="15" t="str">
        <f t="shared" si="36"/>
        <v>Trường học</v>
      </c>
      <c r="J2346" s="15" t="s">
        <v>1285</v>
      </c>
      <c r="K2346" s="15" t="s">
        <v>1262</v>
      </c>
      <c r="L2346" s="32">
        <f>Data!$D2346/10^6</f>
        <v>26.503799999999998</v>
      </c>
    </row>
    <row r="2347" spans="1:12" x14ac:dyDescent="0.25">
      <c r="A2347" s="30" t="s">
        <v>51</v>
      </c>
      <c r="B2347" s="19" t="s">
        <v>653</v>
      </c>
      <c r="C2347" s="19" t="s">
        <v>14</v>
      </c>
      <c r="D2347" s="16">
        <v>16060000</v>
      </c>
      <c r="E2347" s="17">
        <v>45597</v>
      </c>
      <c r="F2347" s="18">
        <f>MONTH(Data!$E2347)</f>
        <v>11</v>
      </c>
      <c r="G2347" s="16">
        <f>YEAR(Data!$E2347)</f>
        <v>2024</v>
      </c>
      <c r="H2347" s="15" t="s">
        <v>42</v>
      </c>
      <c r="I2347" s="15" t="str">
        <f t="shared" si="36"/>
        <v>Trường học</v>
      </c>
      <c r="J2347" s="15" t="s">
        <v>1284</v>
      </c>
      <c r="K2347" s="15" t="s">
        <v>1273</v>
      </c>
      <c r="L2347" s="32">
        <f>Data!$D2347/10^6</f>
        <v>16.059999999999999</v>
      </c>
    </row>
    <row r="2348" spans="1:12" x14ac:dyDescent="0.25">
      <c r="A2348" s="30" t="s">
        <v>75</v>
      </c>
      <c r="B2348" s="19" t="s">
        <v>602</v>
      </c>
      <c r="C2348" s="19" t="s">
        <v>10</v>
      </c>
      <c r="D2348" s="16">
        <v>15622727</v>
      </c>
      <c r="E2348" s="17">
        <v>45597</v>
      </c>
      <c r="F2348" s="18">
        <f>MONTH(Data!$E2348)</f>
        <v>11</v>
      </c>
      <c r="G2348" s="16">
        <f>YEAR(Data!$E2348)</f>
        <v>2024</v>
      </c>
      <c r="H2348" s="15" t="s">
        <v>15</v>
      </c>
      <c r="I2348" s="15" t="str">
        <f t="shared" si="36"/>
        <v>Trường học</v>
      </c>
      <c r="J2348" s="15" t="s">
        <v>1285</v>
      </c>
      <c r="K2348" s="15" t="s">
        <v>1262</v>
      </c>
      <c r="L2348" s="32">
        <f>Data!$D2348/10^6</f>
        <v>15.622726999999999</v>
      </c>
    </row>
    <row r="2349" spans="1:12" x14ac:dyDescent="0.25">
      <c r="A2349" s="30" t="s">
        <v>68</v>
      </c>
      <c r="B2349" s="19" t="s">
        <v>615</v>
      </c>
      <c r="C2349" s="19" t="s">
        <v>10</v>
      </c>
      <c r="D2349" s="16">
        <v>4254545</v>
      </c>
      <c r="E2349" s="17">
        <v>45597</v>
      </c>
      <c r="F2349" s="18">
        <f>MONTH(Data!$E2349)</f>
        <v>11</v>
      </c>
      <c r="G2349" s="16">
        <f>YEAR(Data!$E2349)</f>
        <v>2024</v>
      </c>
      <c r="H2349" s="15" t="s">
        <v>22</v>
      </c>
      <c r="I2349" s="15" t="str">
        <f t="shared" si="36"/>
        <v>Trường học</v>
      </c>
      <c r="J2349" s="15" t="s">
        <v>1284</v>
      </c>
      <c r="K2349" s="15" t="s">
        <v>1263</v>
      </c>
      <c r="L2349" s="32">
        <f>Data!$D2349/10^6</f>
        <v>4.2545450000000002</v>
      </c>
    </row>
    <row r="2350" spans="1:12" x14ac:dyDescent="0.25">
      <c r="A2350" s="30" t="s">
        <v>17</v>
      </c>
      <c r="B2350" s="19" t="s">
        <v>601</v>
      </c>
      <c r="C2350" s="19" t="s">
        <v>10</v>
      </c>
      <c r="D2350" s="16">
        <v>30185000</v>
      </c>
      <c r="E2350" s="17">
        <v>45597</v>
      </c>
      <c r="F2350" s="18">
        <f>MONTH(Data!$E2350)</f>
        <v>11</v>
      </c>
      <c r="G2350" s="16">
        <f>YEAR(Data!$E2350)</f>
        <v>2024</v>
      </c>
      <c r="H2350" s="15" t="s">
        <v>11</v>
      </c>
      <c r="I2350" s="15" t="str">
        <f t="shared" si="36"/>
        <v>Trường học</v>
      </c>
      <c r="J2350" s="15" t="s">
        <v>1285</v>
      </c>
      <c r="K2350" s="15" t="s">
        <v>1262</v>
      </c>
      <c r="L2350" s="32">
        <f>Data!$D2350/10^6</f>
        <v>30.184999999999999</v>
      </c>
    </row>
    <row r="2351" spans="1:12" x14ac:dyDescent="0.25">
      <c r="A2351" s="30" t="s">
        <v>17</v>
      </c>
      <c r="B2351" s="19" t="s">
        <v>627</v>
      </c>
      <c r="C2351" s="19" t="s">
        <v>10</v>
      </c>
      <c r="D2351" s="16">
        <v>32345000</v>
      </c>
      <c r="E2351" s="17">
        <v>45597</v>
      </c>
      <c r="F2351" s="18">
        <f>MONTH(Data!$E2351)</f>
        <v>11</v>
      </c>
      <c r="G2351" s="16">
        <f>YEAR(Data!$E2351)</f>
        <v>2024</v>
      </c>
      <c r="H2351" s="15" t="s">
        <v>11</v>
      </c>
      <c r="I2351" s="15" t="str">
        <f t="shared" si="36"/>
        <v>Trường học</v>
      </c>
      <c r="J2351" s="15" t="s">
        <v>1284</v>
      </c>
      <c r="K2351" s="15" t="s">
        <v>1262</v>
      </c>
      <c r="L2351" s="32">
        <f>Data!$D2351/10^6</f>
        <v>32.344999999999999</v>
      </c>
    </row>
    <row r="2352" spans="1:12" x14ac:dyDescent="0.25">
      <c r="A2352" s="30" t="s">
        <v>151</v>
      </c>
      <c r="B2352" s="19" t="s">
        <v>651</v>
      </c>
      <c r="C2352" s="19" t="s">
        <v>149</v>
      </c>
      <c r="D2352" s="16">
        <v>23870000</v>
      </c>
      <c r="E2352" s="17">
        <v>45597</v>
      </c>
      <c r="F2352" s="18">
        <f>MONTH(Data!$E2352)</f>
        <v>11</v>
      </c>
      <c r="G2352" s="16">
        <f>YEAR(Data!$E2352)</f>
        <v>2024</v>
      </c>
      <c r="H2352" s="15" t="s">
        <v>15</v>
      </c>
      <c r="I2352" s="15" t="str">
        <f t="shared" si="36"/>
        <v>Trường học</v>
      </c>
      <c r="J2352" s="15" t="s">
        <v>1285</v>
      </c>
      <c r="K2352" s="15" t="s">
        <v>1262</v>
      </c>
      <c r="L2352" s="32">
        <f>Data!$D2352/10^6</f>
        <v>23.87</v>
      </c>
    </row>
    <row r="2353" spans="1:12" x14ac:dyDescent="0.25">
      <c r="A2353" s="30" t="s">
        <v>72</v>
      </c>
      <c r="B2353" s="19" t="s">
        <v>608</v>
      </c>
      <c r="C2353" s="19" t="s">
        <v>10</v>
      </c>
      <c r="D2353" s="16">
        <v>11120909</v>
      </c>
      <c r="E2353" s="17">
        <v>45597</v>
      </c>
      <c r="F2353" s="18">
        <f>MONTH(Data!$E2353)</f>
        <v>11</v>
      </c>
      <c r="G2353" s="16">
        <f>YEAR(Data!$E2353)</f>
        <v>2024</v>
      </c>
      <c r="H2353" s="15" t="s">
        <v>22</v>
      </c>
      <c r="I2353" s="15" t="str">
        <f t="shared" si="36"/>
        <v>Trường học</v>
      </c>
      <c r="J2353" s="15" t="s">
        <v>1284</v>
      </c>
      <c r="K2353" s="15" t="s">
        <v>1262</v>
      </c>
      <c r="L2353" s="32">
        <f>Data!$D2353/10^6</f>
        <v>11.120908999999999</v>
      </c>
    </row>
    <row r="2354" spans="1:12" x14ac:dyDescent="0.25">
      <c r="A2354" s="30" t="s">
        <v>28</v>
      </c>
      <c r="B2354" s="19" t="s">
        <v>636</v>
      </c>
      <c r="C2354" s="19" t="s">
        <v>10</v>
      </c>
      <c r="D2354" s="16">
        <v>124509091</v>
      </c>
      <c r="E2354" s="17">
        <v>45597</v>
      </c>
      <c r="F2354" s="18">
        <f>MONTH(Data!$E2354)</f>
        <v>11</v>
      </c>
      <c r="G2354" s="16">
        <f>YEAR(Data!$E2354)</f>
        <v>2024</v>
      </c>
      <c r="H2354" s="15" t="s">
        <v>29</v>
      </c>
      <c r="I2354" s="15" t="str">
        <f t="shared" si="36"/>
        <v>Trường học</v>
      </c>
      <c r="J2354" s="15" t="s">
        <v>1285</v>
      </c>
      <c r="K2354" s="15" t="s">
        <v>1267</v>
      </c>
      <c r="L2354" s="32">
        <f>Data!$D2354/10^6</f>
        <v>124.509091</v>
      </c>
    </row>
    <row r="2355" spans="1:12" x14ac:dyDescent="0.25">
      <c r="A2355" s="30" t="s">
        <v>218</v>
      </c>
      <c r="B2355" s="19" t="s">
        <v>754</v>
      </c>
      <c r="C2355" s="19" t="s">
        <v>14</v>
      </c>
      <c r="D2355" s="20">
        <v>534666364</v>
      </c>
      <c r="E2355" s="21">
        <v>45627</v>
      </c>
      <c r="F2355" s="18">
        <f>MONTH(Data!$E2355)</f>
        <v>12</v>
      </c>
      <c r="G2355" s="16">
        <f>YEAR(Data!$E2355)</f>
        <v>2024</v>
      </c>
      <c r="H2355" s="19" t="s">
        <v>15</v>
      </c>
      <c r="I2355" s="15" t="str">
        <f t="shared" si="36"/>
        <v>Bệnh viện</v>
      </c>
      <c r="J2355" s="15" t="s">
        <v>1284</v>
      </c>
      <c r="K2355" s="19" t="s">
        <v>1264</v>
      </c>
      <c r="L2355" s="32">
        <f>Data!$D2355/10^6</f>
        <v>534.66636400000004</v>
      </c>
    </row>
    <row r="2356" spans="1:12" x14ac:dyDescent="0.25">
      <c r="A2356" s="30" t="s">
        <v>21</v>
      </c>
      <c r="B2356" s="15" t="s">
        <v>1025</v>
      </c>
      <c r="C2356" s="19" t="s">
        <v>14</v>
      </c>
      <c r="D2356" s="20">
        <v>293385000</v>
      </c>
      <c r="E2356" s="21">
        <v>45627</v>
      </c>
      <c r="F2356" s="18">
        <f>MONTH(Data!$E2356)</f>
        <v>12</v>
      </c>
      <c r="G2356" s="16">
        <f>YEAR(Data!$E2356)</f>
        <v>2024</v>
      </c>
      <c r="H2356" s="19" t="s">
        <v>22</v>
      </c>
      <c r="I2356" s="15" t="str">
        <f t="shared" si="36"/>
        <v>Doanh nghiệp</v>
      </c>
      <c r="J2356" s="15" t="s">
        <v>1285</v>
      </c>
      <c r="K2356" s="19" t="s">
        <v>1272</v>
      </c>
      <c r="L2356" s="32">
        <f>Data!$D2356/10^6</f>
        <v>293.38499999999999</v>
      </c>
    </row>
    <row r="2357" spans="1:12" x14ac:dyDescent="0.25">
      <c r="A2357" s="30" t="s">
        <v>47</v>
      </c>
      <c r="B2357" s="15" t="s">
        <v>1025</v>
      </c>
      <c r="C2357" s="19" t="s">
        <v>46</v>
      </c>
      <c r="D2357" s="20">
        <v>271818182</v>
      </c>
      <c r="E2357" s="21">
        <v>45627</v>
      </c>
      <c r="F2357" s="18">
        <f>MONTH(Data!$E2357)</f>
        <v>12</v>
      </c>
      <c r="G2357" s="16">
        <f>YEAR(Data!$E2357)</f>
        <v>2024</v>
      </c>
      <c r="H2357" s="19" t="s">
        <v>29</v>
      </c>
      <c r="I2357" s="15" t="str">
        <f t="shared" si="36"/>
        <v>Doanh nghiệp</v>
      </c>
      <c r="J2357" s="15" t="s">
        <v>1284</v>
      </c>
      <c r="K2357" s="19" t="s">
        <v>1271</v>
      </c>
      <c r="L2357" s="32">
        <f>Data!$D2357/10^6</f>
        <v>271.81818199999998</v>
      </c>
    </row>
    <row r="2358" spans="1:12" x14ac:dyDescent="0.25">
      <c r="A2358" s="30" t="s">
        <v>218</v>
      </c>
      <c r="B2358" s="15" t="s">
        <v>1025</v>
      </c>
      <c r="C2358" s="19" t="s">
        <v>14</v>
      </c>
      <c r="D2358" s="20">
        <v>250580909</v>
      </c>
      <c r="E2358" s="21">
        <v>45627</v>
      </c>
      <c r="F2358" s="18">
        <f>MONTH(Data!$E2358)</f>
        <v>12</v>
      </c>
      <c r="G2358" s="16">
        <f>YEAR(Data!$E2358)</f>
        <v>2024</v>
      </c>
      <c r="H2358" s="19" t="s">
        <v>15</v>
      </c>
      <c r="I2358" s="15" t="str">
        <f t="shared" si="36"/>
        <v>Doanh nghiệp</v>
      </c>
      <c r="J2358" s="15" t="s">
        <v>1285</v>
      </c>
      <c r="K2358" s="19" t="s">
        <v>1264</v>
      </c>
      <c r="L2358" s="32">
        <f>Data!$D2358/10^6</f>
        <v>250.58090899999999</v>
      </c>
    </row>
    <row r="2359" spans="1:12" x14ac:dyDescent="0.25">
      <c r="A2359" s="30" t="s">
        <v>50</v>
      </c>
      <c r="B2359" s="15" t="s">
        <v>1025</v>
      </c>
      <c r="C2359" s="19" t="s">
        <v>46</v>
      </c>
      <c r="D2359" s="20">
        <v>201994545</v>
      </c>
      <c r="E2359" s="21">
        <v>45627</v>
      </c>
      <c r="F2359" s="18">
        <f>MONTH(Data!$E2359)</f>
        <v>12</v>
      </c>
      <c r="G2359" s="16">
        <f>YEAR(Data!$E2359)</f>
        <v>2024</v>
      </c>
      <c r="H2359" s="19" t="s">
        <v>35</v>
      </c>
      <c r="I2359" s="15" t="str">
        <f t="shared" si="36"/>
        <v>Doanh nghiệp</v>
      </c>
      <c r="J2359" s="15" t="s">
        <v>1284</v>
      </c>
      <c r="K2359" s="19" t="s">
        <v>1265</v>
      </c>
      <c r="L2359" s="32">
        <f>Data!$D2359/10^6</f>
        <v>201.99454499999999</v>
      </c>
    </row>
    <row r="2360" spans="1:12" x14ac:dyDescent="0.25">
      <c r="A2360" s="30" t="s">
        <v>33</v>
      </c>
      <c r="B2360" s="15" t="s">
        <v>1052</v>
      </c>
      <c r="C2360" s="19" t="s">
        <v>14</v>
      </c>
      <c r="D2360" s="20">
        <v>1075213761</v>
      </c>
      <c r="E2360" s="21">
        <v>45627</v>
      </c>
      <c r="F2360" s="18">
        <f>MONTH(Data!$E2360)</f>
        <v>12</v>
      </c>
      <c r="G2360" s="16">
        <f>YEAR(Data!$E2360)</f>
        <v>2024</v>
      </c>
      <c r="H2360" s="19" t="s">
        <v>35</v>
      </c>
      <c r="I2360" s="15" t="str">
        <f t="shared" si="36"/>
        <v>Doanh nghiệp</v>
      </c>
      <c r="J2360" s="15" t="s">
        <v>1285</v>
      </c>
      <c r="K2360" s="19" t="s">
        <v>1266</v>
      </c>
      <c r="L2360" s="32">
        <f>Data!$D2360/10^6</f>
        <v>1075.213761</v>
      </c>
    </row>
    <row r="2361" spans="1:12" x14ac:dyDescent="0.25">
      <c r="A2361" s="30" t="s">
        <v>52</v>
      </c>
      <c r="B2361" s="15" t="s">
        <v>1121</v>
      </c>
      <c r="C2361" s="19" t="s">
        <v>10</v>
      </c>
      <c r="D2361" s="20">
        <v>104800000</v>
      </c>
      <c r="E2361" s="21">
        <v>45627</v>
      </c>
      <c r="F2361" s="18">
        <f>MONTH(Data!$E2361)</f>
        <v>12</v>
      </c>
      <c r="G2361" s="16">
        <f>YEAR(Data!$E2361)</f>
        <v>2024</v>
      </c>
      <c r="H2361" s="19" t="s">
        <v>35</v>
      </c>
      <c r="I2361" s="15" t="str">
        <f t="shared" si="36"/>
        <v>Doanh nghiệp</v>
      </c>
      <c r="J2361" s="15" t="s">
        <v>1284</v>
      </c>
      <c r="K2361" s="19" t="s">
        <v>1267</v>
      </c>
      <c r="L2361" s="32">
        <f>Data!$D2361/10^6</f>
        <v>104.8</v>
      </c>
    </row>
    <row r="2362" spans="1:12" x14ac:dyDescent="0.25">
      <c r="A2362" s="30" t="s">
        <v>160</v>
      </c>
      <c r="B2362" s="15" t="s">
        <v>1051</v>
      </c>
      <c r="C2362" s="19" t="s">
        <v>10</v>
      </c>
      <c r="D2362" s="20">
        <v>33387273</v>
      </c>
      <c r="E2362" s="21">
        <v>45627</v>
      </c>
      <c r="F2362" s="18">
        <f>MONTH(Data!$E2362)</f>
        <v>12</v>
      </c>
      <c r="G2362" s="16">
        <f>YEAR(Data!$E2362)</f>
        <v>2024</v>
      </c>
      <c r="H2362" s="19" t="s">
        <v>35</v>
      </c>
      <c r="I2362" s="15" t="str">
        <f t="shared" si="36"/>
        <v>Doanh nghiệp</v>
      </c>
      <c r="J2362" s="15" t="s">
        <v>1285</v>
      </c>
      <c r="K2362" s="19" t="s">
        <v>1267</v>
      </c>
      <c r="L2362" s="32">
        <f>Data!$D2362/10^6</f>
        <v>33.387273</v>
      </c>
    </row>
    <row r="2363" spans="1:12" x14ac:dyDescent="0.25">
      <c r="A2363" s="30" t="s">
        <v>191</v>
      </c>
      <c r="B2363" s="15" t="s">
        <v>1063</v>
      </c>
      <c r="C2363" s="19" t="s">
        <v>46</v>
      </c>
      <c r="D2363" s="20">
        <v>527361199</v>
      </c>
      <c r="E2363" s="21">
        <v>45627</v>
      </c>
      <c r="F2363" s="18">
        <f>MONTH(Data!$E2363)</f>
        <v>12</v>
      </c>
      <c r="G2363" s="16">
        <f>YEAR(Data!$E2363)</f>
        <v>2024</v>
      </c>
      <c r="H2363" s="19" t="s">
        <v>35</v>
      </c>
      <c r="I2363" s="15" t="str">
        <f t="shared" si="36"/>
        <v>Doanh nghiệp</v>
      </c>
      <c r="J2363" s="15" t="s">
        <v>1284</v>
      </c>
      <c r="K2363" s="19" t="s">
        <v>1265</v>
      </c>
      <c r="L2363" s="32">
        <f>Data!$D2363/10^6</f>
        <v>527.36119900000006</v>
      </c>
    </row>
    <row r="2364" spans="1:12" x14ac:dyDescent="0.25">
      <c r="A2364" s="30" t="s">
        <v>56</v>
      </c>
      <c r="B2364" s="15" t="s">
        <v>1075</v>
      </c>
      <c r="C2364" s="19" t="s">
        <v>149</v>
      </c>
      <c r="D2364" s="20">
        <v>87172864</v>
      </c>
      <c r="E2364" s="21">
        <v>45627</v>
      </c>
      <c r="F2364" s="18">
        <f>MONTH(Data!$E2364)</f>
        <v>12</v>
      </c>
      <c r="G2364" s="16">
        <f>YEAR(Data!$E2364)</f>
        <v>2024</v>
      </c>
      <c r="H2364" s="19" t="s">
        <v>25</v>
      </c>
      <c r="I2364" s="15" t="str">
        <f t="shared" si="36"/>
        <v>Doanh nghiệp</v>
      </c>
      <c r="J2364" s="15" t="s">
        <v>1285</v>
      </c>
      <c r="K2364" s="19" t="s">
        <v>1273</v>
      </c>
      <c r="L2364" s="32">
        <f>Data!$D2364/10^6</f>
        <v>87.172864000000004</v>
      </c>
    </row>
    <row r="2365" spans="1:12" x14ac:dyDescent="0.25">
      <c r="A2365" s="30" t="s">
        <v>52</v>
      </c>
      <c r="B2365" s="15" t="s">
        <v>1076</v>
      </c>
      <c r="C2365" s="19" t="s">
        <v>46</v>
      </c>
      <c r="D2365" s="20">
        <v>11088780300</v>
      </c>
      <c r="E2365" s="21">
        <v>45627</v>
      </c>
      <c r="F2365" s="18">
        <f>MONTH(Data!$E2365)</f>
        <v>12</v>
      </c>
      <c r="G2365" s="16">
        <f>YEAR(Data!$E2365)</f>
        <v>2024</v>
      </c>
      <c r="H2365" s="19" t="s">
        <v>35</v>
      </c>
      <c r="I2365" s="15" t="str">
        <f t="shared" si="36"/>
        <v>Doanh nghiệp</v>
      </c>
      <c r="J2365" s="15" t="s">
        <v>1284</v>
      </c>
      <c r="K2365" s="19" t="s">
        <v>1265</v>
      </c>
      <c r="L2365" s="32">
        <f>Data!$D2365/10^6</f>
        <v>11088.7803</v>
      </c>
    </row>
    <row r="2366" spans="1:12" x14ac:dyDescent="0.25">
      <c r="A2366" s="30" t="s">
        <v>21</v>
      </c>
      <c r="B2366" s="15" t="s">
        <v>1091</v>
      </c>
      <c r="C2366" s="19" t="s">
        <v>10</v>
      </c>
      <c r="D2366" s="20">
        <v>1412663630</v>
      </c>
      <c r="E2366" s="21">
        <v>45627</v>
      </c>
      <c r="F2366" s="18">
        <f>MONTH(Data!$E2366)</f>
        <v>12</v>
      </c>
      <c r="G2366" s="16">
        <f>YEAR(Data!$E2366)</f>
        <v>2024</v>
      </c>
      <c r="H2366" s="19" t="s">
        <v>22</v>
      </c>
      <c r="I2366" s="15" t="str">
        <f t="shared" si="36"/>
        <v>Doanh nghiệp</v>
      </c>
      <c r="J2366" s="15" t="s">
        <v>1285</v>
      </c>
      <c r="K2366" s="19" t="s">
        <v>1267</v>
      </c>
      <c r="L2366" s="32">
        <f>Data!$D2366/10^6</f>
        <v>1412.66363</v>
      </c>
    </row>
    <row r="2367" spans="1:12" x14ac:dyDescent="0.25">
      <c r="A2367" s="30" t="s">
        <v>54</v>
      </c>
      <c r="B2367" s="15" t="s">
        <v>1100</v>
      </c>
      <c r="C2367" s="19" t="s">
        <v>46</v>
      </c>
      <c r="D2367" s="20">
        <v>20567273</v>
      </c>
      <c r="E2367" s="21">
        <v>45627</v>
      </c>
      <c r="F2367" s="18">
        <f>MONTH(Data!$E2367)</f>
        <v>12</v>
      </c>
      <c r="G2367" s="16">
        <f>YEAR(Data!$E2367)</f>
        <v>2024</v>
      </c>
      <c r="H2367" s="19" t="s">
        <v>15</v>
      </c>
      <c r="I2367" s="15" t="str">
        <f t="shared" si="36"/>
        <v>Doanh nghiệp</v>
      </c>
      <c r="J2367" s="15" t="s">
        <v>1284</v>
      </c>
      <c r="K2367" s="19" t="s">
        <v>1271</v>
      </c>
      <c r="L2367" s="32">
        <f>Data!$D2367/10^6</f>
        <v>20.567273</v>
      </c>
    </row>
    <row r="2368" spans="1:12" x14ac:dyDescent="0.25">
      <c r="A2368" s="30" t="s">
        <v>127</v>
      </c>
      <c r="B2368" s="15" t="s">
        <v>1114</v>
      </c>
      <c r="C2368" s="19" t="s">
        <v>14</v>
      </c>
      <c r="D2368" s="20">
        <v>104480182</v>
      </c>
      <c r="E2368" s="21">
        <v>45627</v>
      </c>
      <c r="F2368" s="18">
        <f>MONTH(Data!$E2368)</f>
        <v>12</v>
      </c>
      <c r="G2368" s="16">
        <f>YEAR(Data!$E2368)</f>
        <v>2024</v>
      </c>
      <c r="H2368" s="19" t="s">
        <v>32</v>
      </c>
      <c r="I2368" s="15" t="str">
        <f t="shared" si="36"/>
        <v>Doanh nghiệp</v>
      </c>
      <c r="J2368" s="15" t="s">
        <v>1285</v>
      </c>
      <c r="K2368" s="19" t="s">
        <v>1272</v>
      </c>
      <c r="L2368" s="32">
        <f>Data!$D2368/10^6</f>
        <v>104.480182</v>
      </c>
    </row>
    <row r="2369" spans="1:12" x14ac:dyDescent="0.25">
      <c r="A2369" s="30" t="s">
        <v>107</v>
      </c>
      <c r="B2369" s="15" t="s">
        <v>1117</v>
      </c>
      <c r="C2369" s="19" t="s">
        <v>149</v>
      </c>
      <c r="D2369" s="20">
        <v>7159440</v>
      </c>
      <c r="E2369" s="21">
        <v>45627</v>
      </c>
      <c r="F2369" s="18">
        <f>MONTH(Data!$E2369)</f>
        <v>12</v>
      </c>
      <c r="G2369" s="16">
        <f>YEAR(Data!$E2369)</f>
        <v>2024</v>
      </c>
      <c r="H2369" s="19" t="s">
        <v>42</v>
      </c>
      <c r="I2369" s="15" t="str">
        <f t="shared" si="36"/>
        <v>Doanh nghiệp</v>
      </c>
      <c r="J2369" s="15" t="s">
        <v>1284</v>
      </c>
      <c r="K2369" s="19" t="s">
        <v>1269</v>
      </c>
      <c r="L2369" s="32">
        <f>Data!$D2369/10^6</f>
        <v>7.15944</v>
      </c>
    </row>
    <row r="2370" spans="1:12" x14ac:dyDescent="0.25">
      <c r="A2370" s="30" t="s">
        <v>107</v>
      </c>
      <c r="B2370" s="15" t="s">
        <v>1118</v>
      </c>
      <c r="C2370" s="19" t="s">
        <v>149</v>
      </c>
      <c r="D2370" s="20">
        <v>6805640</v>
      </c>
      <c r="E2370" s="21">
        <v>45627</v>
      </c>
      <c r="F2370" s="18">
        <f>MONTH(Data!$E2370)</f>
        <v>12</v>
      </c>
      <c r="G2370" s="16">
        <f>YEAR(Data!$E2370)</f>
        <v>2024</v>
      </c>
      <c r="H2370" s="19" t="s">
        <v>42</v>
      </c>
      <c r="I2370" s="15" t="str">
        <f t="shared" si="36"/>
        <v>Doanh nghiệp</v>
      </c>
      <c r="J2370" s="15" t="s">
        <v>1285</v>
      </c>
      <c r="K2370" s="19" t="s">
        <v>1269</v>
      </c>
      <c r="L2370" s="32">
        <f>Data!$D2370/10^6</f>
        <v>6.8056400000000004</v>
      </c>
    </row>
    <row r="2371" spans="1:12" x14ac:dyDescent="0.25">
      <c r="A2371" s="30" t="s">
        <v>52</v>
      </c>
      <c r="B2371" s="15" t="s">
        <v>1033</v>
      </c>
      <c r="C2371" s="19" t="s">
        <v>46</v>
      </c>
      <c r="D2371" s="20">
        <v>15750203700</v>
      </c>
      <c r="E2371" s="21">
        <v>45627</v>
      </c>
      <c r="F2371" s="18">
        <f>MONTH(Data!$E2371)</f>
        <v>12</v>
      </c>
      <c r="G2371" s="16">
        <f>YEAR(Data!$E2371)</f>
        <v>2024</v>
      </c>
      <c r="H2371" s="19" t="s">
        <v>35</v>
      </c>
      <c r="I2371" s="15" t="str">
        <f t="shared" ref="I2371:I2434" si="37">IF(ISNUMBER(SEARCH("Công ty",$B2371)),"Doanh nghiệp",IF(ISNUMBER(SEARCH("Doanh nghiệp",$B2371)),"Doanh nghiệp",IF(ISNUMBER(SEARCH("Tập đoàn",$B2371)),"Doanh nghiệp",
IF(ISNUMBER(SEARCH("Bệnh viện",$B2371)),"Bệnh viện",
IF(ISNUMBER(SEARCH("Ngân hàng",$B2371)),"Ngân hàng",IF(ISNUMBER(SEARCH("trường",$B2371)),"Trường học",IF(ISNUMBER(SEARCH("học viện",$B2371)),"Trường học",
IF(ISNUMBER(SEARCH("Bộ",$B2371)),"Sở ban ngành",IF(ISNUMBER(SEARCH("Đoàn",$B2371)),"Sở ban ngành",IF(ISNUMBER(SEARCH("Phòng",$B2371)),"Sở ban ngành",IF(ISNUMBER(SEARCH("UBND",$B2371)),"Sở ban ngành",IF(ISNUMBER(SEARCH("ủy ban",$B2371)),"Sở ban ngành",IF(ISNUMBER(SEARCH("công an",$B2371)),"Sở ban ngành",IF(ISNUMBER(SEARCH("sở",$B2371)),"Sở ban ngành",IF(ISNUMBER(SEARCH("thôn",$B2371)),"Sở ban ngành",IF(ISNUMBER(SEARCH("xã",$B2371)),"Sở ban ngành",IF(ISNUMBER(SEARCH("quân khu",$B2371)),"Sở ban ngành",IF(ISNUMBER(SEARCH("cục",$B2371)),"Sở ban ngành",IF(ISNUMBER(SEARCH("viện",$B2371)),"Sở ban ngành",IF(ISNUMBER(SEARCH("quỹ",$B2371)),"Sở ban ngành",IF(ISNUMBER(SEARCH("trung tâm",$B2371)),"Sở ban ngành",IF(ISNUMBER(SEARCH("quân chủng",$B2371)),"Sở ban ngành",IF(ISNUMBER(SEARCH("hội",$B2371)),"Sở ban ngành",
"Khác")))))))))))))))))))))))</f>
        <v>Doanh nghiệp</v>
      </c>
      <c r="J2371" s="15" t="s">
        <v>1284</v>
      </c>
      <c r="K2371" s="19" t="s">
        <v>1265</v>
      </c>
      <c r="L2371" s="32">
        <f>Data!$D2371/10^6</f>
        <v>15750.2037</v>
      </c>
    </row>
    <row r="2372" spans="1:12" x14ac:dyDescent="0.25">
      <c r="A2372" s="30" t="s">
        <v>52</v>
      </c>
      <c r="B2372" s="15" t="s">
        <v>1035</v>
      </c>
      <c r="C2372" s="19" t="s">
        <v>46</v>
      </c>
      <c r="D2372" s="20">
        <v>10759037300</v>
      </c>
      <c r="E2372" s="21">
        <v>45627</v>
      </c>
      <c r="F2372" s="18">
        <f>MONTH(Data!$E2372)</f>
        <v>12</v>
      </c>
      <c r="G2372" s="16">
        <f>YEAR(Data!$E2372)</f>
        <v>2024</v>
      </c>
      <c r="H2372" s="19" t="s">
        <v>35</v>
      </c>
      <c r="I2372" s="15" t="str">
        <f t="shared" si="37"/>
        <v>Doanh nghiệp</v>
      </c>
      <c r="J2372" s="15" t="s">
        <v>1285</v>
      </c>
      <c r="K2372" s="19" t="s">
        <v>1265</v>
      </c>
      <c r="L2372" s="32">
        <f>Data!$D2372/10^6</f>
        <v>10759.0373</v>
      </c>
    </row>
    <row r="2373" spans="1:12" x14ac:dyDescent="0.25">
      <c r="A2373" s="30" t="s">
        <v>74</v>
      </c>
      <c r="B2373" s="15" t="s">
        <v>1050</v>
      </c>
      <c r="C2373" s="19" t="s">
        <v>149</v>
      </c>
      <c r="D2373" s="20">
        <v>186433994</v>
      </c>
      <c r="E2373" s="21">
        <v>45627</v>
      </c>
      <c r="F2373" s="18">
        <f>MONTH(Data!$E2373)</f>
        <v>12</v>
      </c>
      <c r="G2373" s="16">
        <f>YEAR(Data!$E2373)</f>
        <v>2024</v>
      </c>
      <c r="H2373" s="19" t="s">
        <v>11</v>
      </c>
      <c r="I2373" s="15" t="str">
        <f t="shared" si="37"/>
        <v>Doanh nghiệp</v>
      </c>
      <c r="J2373" s="15" t="s">
        <v>1284</v>
      </c>
      <c r="K2373" s="19" t="s">
        <v>1278</v>
      </c>
      <c r="L2373" s="32">
        <f>Data!$D2373/10^6</f>
        <v>186.43399400000001</v>
      </c>
    </row>
    <row r="2374" spans="1:12" x14ac:dyDescent="0.25">
      <c r="A2374" s="30" t="s">
        <v>74</v>
      </c>
      <c r="B2374" s="15" t="s">
        <v>1051</v>
      </c>
      <c r="C2374" s="19" t="s">
        <v>149</v>
      </c>
      <c r="D2374" s="20">
        <v>209333994</v>
      </c>
      <c r="E2374" s="21">
        <v>45627</v>
      </c>
      <c r="F2374" s="18">
        <f>MONTH(Data!$E2374)</f>
        <v>12</v>
      </c>
      <c r="G2374" s="16">
        <f>YEAR(Data!$E2374)</f>
        <v>2024</v>
      </c>
      <c r="H2374" s="19" t="s">
        <v>11</v>
      </c>
      <c r="I2374" s="15" t="str">
        <f t="shared" si="37"/>
        <v>Doanh nghiệp</v>
      </c>
      <c r="J2374" s="15" t="s">
        <v>1285</v>
      </c>
      <c r="K2374" s="19" t="s">
        <v>1267</v>
      </c>
      <c r="L2374" s="32">
        <f>Data!$D2374/10^6</f>
        <v>209.33399399999999</v>
      </c>
    </row>
    <row r="2375" spans="1:12" x14ac:dyDescent="0.25">
      <c r="A2375" s="30" t="s">
        <v>51</v>
      </c>
      <c r="B2375" s="15" t="s">
        <v>1072</v>
      </c>
      <c r="C2375" s="19" t="s">
        <v>10</v>
      </c>
      <c r="D2375" s="20">
        <v>8283100</v>
      </c>
      <c r="E2375" s="21">
        <v>45627</v>
      </c>
      <c r="F2375" s="18">
        <f>MONTH(Data!$E2375)</f>
        <v>12</v>
      </c>
      <c r="G2375" s="16">
        <f>YEAR(Data!$E2375)</f>
        <v>2024</v>
      </c>
      <c r="H2375" s="19" t="s">
        <v>42</v>
      </c>
      <c r="I2375" s="15" t="str">
        <f t="shared" si="37"/>
        <v>Doanh nghiệp</v>
      </c>
      <c r="J2375" s="15" t="s">
        <v>1284</v>
      </c>
      <c r="K2375" s="19" t="s">
        <v>1267</v>
      </c>
      <c r="L2375" s="32">
        <f>Data!$D2375/10^6</f>
        <v>8.2830999999999992</v>
      </c>
    </row>
    <row r="2376" spans="1:12" x14ac:dyDescent="0.25">
      <c r="A2376" s="30" t="s">
        <v>39</v>
      </c>
      <c r="B2376" s="15" t="s">
        <v>1081</v>
      </c>
      <c r="C2376" s="19" t="s">
        <v>46</v>
      </c>
      <c r="D2376" s="20">
        <v>1256206167</v>
      </c>
      <c r="E2376" s="21">
        <v>45627</v>
      </c>
      <c r="F2376" s="18">
        <f>MONTH(Data!$E2376)</f>
        <v>12</v>
      </c>
      <c r="G2376" s="16">
        <f>YEAR(Data!$E2376)</f>
        <v>2024</v>
      </c>
      <c r="H2376" s="19" t="s">
        <v>42</v>
      </c>
      <c r="I2376" s="15" t="str">
        <f t="shared" si="37"/>
        <v>Doanh nghiệp</v>
      </c>
      <c r="J2376" s="15" t="s">
        <v>1285</v>
      </c>
      <c r="K2376" s="19" t="s">
        <v>1265</v>
      </c>
      <c r="L2376" s="32">
        <f>Data!$D2376/10^6</f>
        <v>1256.2061670000001</v>
      </c>
    </row>
    <row r="2377" spans="1:12" x14ac:dyDescent="0.25">
      <c r="A2377" s="30" t="s">
        <v>130</v>
      </c>
      <c r="B2377" s="15" t="s">
        <v>1096</v>
      </c>
      <c r="C2377" s="19" t="s">
        <v>10</v>
      </c>
      <c r="D2377" s="20">
        <v>259671500</v>
      </c>
      <c r="E2377" s="21">
        <v>45627</v>
      </c>
      <c r="F2377" s="18">
        <f>MONTH(Data!$E2377)</f>
        <v>12</v>
      </c>
      <c r="G2377" s="16">
        <f>YEAR(Data!$E2377)</f>
        <v>2024</v>
      </c>
      <c r="H2377" s="19" t="s">
        <v>22</v>
      </c>
      <c r="I2377" s="15" t="str">
        <f t="shared" si="37"/>
        <v>Doanh nghiệp</v>
      </c>
      <c r="J2377" s="15" t="s">
        <v>1284</v>
      </c>
      <c r="K2377" s="19" t="s">
        <v>1263</v>
      </c>
      <c r="L2377" s="32">
        <f>Data!$D2377/10^6</f>
        <v>259.67149999999998</v>
      </c>
    </row>
    <row r="2378" spans="1:12" x14ac:dyDescent="0.25">
      <c r="A2378" s="30" t="s">
        <v>30</v>
      </c>
      <c r="B2378" s="15" t="s">
        <v>1098</v>
      </c>
      <c r="C2378" s="19" t="s">
        <v>149</v>
      </c>
      <c r="D2378" s="20">
        <v>145734727</v>
      </c>
      <c r="E2378" s="21">
        <v>45627</v>
      </c>
      <c r="F2378" s="18">
        <f>MONTH(Data!$E2378)</f>
        <v>12</v>
      </c>
      <c r="G2378" s="16">
        <f>YEAR(Data!$E2378)</f>
        <v>2024</v>
      </c>
      <c r="H2378" s="19" t="s">
        <v>32</v>
      </c>
      <c r="I2378" s="15" t="str">
        <f t="shared" si="37"/>
        <v>Doanh nghiệp</v>
      </c>
      <c r="J2378" s="15" t="s">
        <v>1285</v>
      </c>
      <c r="K2378" s="19" t="s">
        <v>1272</v>
      </c>
      <c r="L2378" s="32">
        <f>Data!$D2378/10^6</f>
        <v>145.73472699999999</v>
      </c>
    </row>
    <row r="2379" spans="1:12" x14ac:dyDescent="0.25">
      <c r="A2379" s="30" t="s">
        <v>127</v>
      </c>
      <c r="B2379" s="15" t="s">
        <v>1099</v>
      </c>
      <c r="C2379" s="19" t="s">
        <v>46</v>
      </c>
      <c r="D2379" s="20">
        <v>3164327533</v>
      </c>
      <c r="E2379" s="21">
        <v>45627</v>
      </c>
      <c r="F2379" s="18">
        <f>MONTH(Data!$E2379)</f>
        <v>12</v>
      </c>
      <c r="G2379" s="16">
        <f>YEAR(Data!$E2379)</f>
        <v>2024</v>
      </c>
      <c r="H2379" s="19" t="s">
        <v>32</v>
      </c>
      <c r="I2379" s="15" t="str">
        <f t="shared" si="37"/>
        <v>Doanh nghiệp</v>
      </c>
      <c r="J2379" s="15" t="s">
        <v>1284</v>
      </c>
      <c r="K2379" s="19" t="s">
        <v>1265</v>
      </c>
      <c r="L2379" s="32">
        <f>Data!$D2379/10^6</f>
        <v>3164.3275330000001</v>
      </c>
    </row>
    <row r="2380" spans="1:12" x14ac:dyDescent="0.25">
      <c r="A2380" s="30" t="s">
        <v>52</v>
      </c>
      <c r="B2380" s="15" t="s">
        <v>1025</v>
      </c>
      <c r="C2380" s="19" t="s">
        <v>10</v>
      </c>
      <c r="D2380" s="20">
        <v>181783636</v>
      </c>
      <c r="E2380" s="21">
        <v>45627</v>
      </c>
      <c r="F2380" s="18">
        <f>MONTH(Data!$E2380)</f>
        <v>12</v>
      </c>
      <c r="G2380" s="16">
        <f>YEAR(Data!$E2380)</f>
        <v>2024</v>
      </c>
      <c r="H2380" s="19" t="s">
        <v>35</v>
      </c>
      <c r="I2380" s="15" t="str">
        <f t="shared" si="37"/>
        <v>Doanh nghiệp</v>
      </c>
      <c r="J2380" s="15" t="s">
        <v>1285</v>
      </c>
      <c r="K2380" s="19" t="s">
        <v>1262</v>
      </c>
      <c r="L2380" s="32">
        <f>Data!$D2380/10^6</f>
        <v>181.783636</v>
      </c>
    </row>
    <row r="2381" spans="1:12" x14ac:dyDescent="0.25">
      <c r="A2381" s="30" t="s">
        <v>36</v>
      </c>
      <c r="B2381" s="15" t="s">
        <v>1031</v>
      </c>
      <c r="C2381" s="19" t="s">
        <v>10</v>
      </c>
      <c r="D2381" s="20">
        <v>17130000</v>
      </c>
      <c r="E2381" s="21">
        <v>45627</v>
      </c>
      <c r="F2381" s="18">
        <f>MONTH(Data!$E2381)</f>
        <v>12</v>
      </c>
      <c r="G2381" s="16">
        <f>YEAR(Data!$E2381)</f>
        <v>2024</v>
      </c>
      <c r="H2381" s="19" t="s">
        <v>15</v>
      </c>
      <c r="I2381" s="15" t="str">
        <f t="shared" si="37"/>
        <v>Doanh nghiệp</v>
      </c>
      <c r="J2381" s="15" t="s">
        <v>1284</v>
      </c>
      <c r="K2381" s="19" t="s">
        <v>1263</v>
      </c>
      <c r="L2381" s="32">
        <f>Data!$D2381/10^6</f>
        <v>17.13</v>
      </c>
    </row>
    <row r="2382" spans="1:12" x14ac:dyDescent="0.25">
      <c r="A2382" s="30" t="s">
        <v>209</v>
      </c>
      <c r="B2382" s="15" t="s">
        <v>1064</v>
      </c>
      <c r="C2382" s="19" t="s">
        <v>149</v>
      </c>
      <c r="D2382" s="20">
        <v>181636364</v>
      </c>
      <c r="E2382" s="21">
        <v>45627</v>
      </c>
      <c r="F2382" s="18">
        <f>MONTH(Data!$E2382)</f>
        <v>12</v>
      </c>
      <c r="G2382" s="16">
        <f>YEAR(Data!$E2382)</f>
        <v>2024</v>
      </c>
      <c r="H2382" s="19" t="s">
        <v>32</v>
      </c>
      <c r="I2382" s="15" t="str">
        <f t="shared" si="37"/>
        <v>Doanh nghiệp</v>
      </c>
      <c r="J2382" s="15" t="s">
        <v>1285</v>
      </c>
      <c r="K2382" s="19" t="s">
        <v>1266</v>
      </c>
      <c r="L2382" s="32">
        <f>Data!$D2382/10^6</f>
        <v>181.63636399999999</v>
      </c>
    </row>
    <row r="2383" spans="1:12" x14ac:dyDescent="0.25">
      <c r="A2383" s="30" t="s">
        <v>30</v>
      </c>
      <c r="B2383" s="15" t="s">
        <v>1027</v>
      </c>
      <c r="C2383" s="19" t="s">
        <v>46</v>
      </c>
      <c r="D2383" s="20">
        <v>174941364</v>
      </c>
      <c r="E2383" s="21">
        <v>45627</v>
      </c>
      <c r="F2383" s="18">
        <f>MONTH(Data!$E2383)</f>
        <v>12</v>
      </c>
      <c r="G2383" s="16">
        <f>YEAR(Data!$E2383)</f>
        <v>2024</v>
      </c>
      <c r="H2383" s="19" t="s">
        <v>32</v>
      </c>
      <c r="I2383" s="15" t="str">
        <f t="shared" si="37"/>
        <v>Doanh nghiệp</v>
      </c>
      <c r="J2383" s="15" t="s">
        <v>1284</v>
      </c>
      <c r="K2383" s="19" t="s">
        <v>1265</v>
      </c>
      <c r="L2383" s="32">
        <f>Data!$D2383/10^6</f>
        <v>174.94136399999999</v>
      </c>
    </row>
    <row r="2384" spans="1:12" x14ac:dyDescent="0.25">
      <c r="A2384" s="30" t="s">
        <v>191</v>
      </c>
      <c r="B2384" s="15" t="s">
        <v>1048</v>
      </c>
      <c r="C2384" s="19" t="s">
        <v>10</v>
      </c>
      <c r="D2384" s="20">
        <v>18245091</v>
      </c>
      <c r="E2384" s="21">
        <v>45627</v>
      </c>
      <c r="F2384" s="18">
        <f>MONTH(Data!$E2384)</f>
        <v>12</v>
      </c>
      <c r="G2384" s="16">
        <f>YEAR(Data!$E2384)</f>
        <v>2024</v>
      </c>
      <c r="H2384" s="19" t="s">
        <v>35</v>
      </c>
      <c r="I2384" s="15" t="str">
        <f t="shared" si="37"/>
        <v>Doanh nghiệp</v>
      </c>
      <c r="J2384" s="15" t="s">
        <v>1285</v>
      </c>
      <c r="K2384" s="19" t="s">
        <v>1263</v>
      </c>
      <c r="L2384" s="32">
        <f>Data!$D2384/10^6</f>
        <v>18.245090999999999</v>
      </c>
    </row>
    <row r="2385" spans="1:12" x14ac:dyDescent="0.25">
      <c r="A2385" s="30" t="s">
        <v>30</v>
      </c>
      <c r="B2385" s="15" t="s">
        <v>1053</v>
      </c>
      <c r="C2385" s="19" t="s">
        <v>46</v>
      </c>
      <c r="D2385" s="20">
        <v>140909091</v>
      </c>
      <c r="E2385" s="21">
        <v>45627</v>
      </c>
      <c r="F2385" s="18">
        <f>MONTH(Data!$E2385)</f>
        <v>12</v>
      </c>
      <c r="G2385" s="16">
        <f>YEAR(Data!$E2385)</f>
        <v>2024</v>
      </c>
      <c r="H2385" s="19" t="s">
        <v>32</v>
      </c>
      <c r="I2385" s="15" t="str">
        <f t="shared" si="37"/>
        <v>Doanh nghiệp</v>
      </c>
      <c r="J2385" s="15" t="s">
        <v>1284</v>
      </c>
      <c r="K2385" s="19" t="s">
        <v>1265</v>
      </c>
      <c r="L2385" s="32">
        <f>Data!$D2385/10^6</f>
        <v>140.90909099999999</v>
      </c>
    </row>
    <row r="2386" spans="1:12" x14ac:dyDescent="0.25">
      <c r="A2386" s="30" t="s">
        <v>56</v>
      </c>
      <c r="B2386" s="15" t="s">
        <v>1063</v>
      </c>
      <c r="C2386" s="19" t="s">
        <v>10</v>
      </c>
      <c r="D2386" s="20">
        <v>187699000</v>
      </c>
      <c r="E2386" s="21">
        <v>45627</v>
      </c>
      <c r="F2386" s="18">
        <f>MONTH(Data!$E2386)</f>
        <v>12</v>
      </c>
      <c r="G2386" s="16">
        <f>YEAR(Data!$E2386)</f>
        <v>2024</v>
      </c>
      <c r="H2386" s="19" t="s">
        <v>25</v>
      </c>
      <c r="I2386" s="15" t="str">
        <f t="shared" si="37"/>
        <v>Doanh nghiệp</v>
      </c>
      <c r="J2386" s="15" t="s">
        <v>1285</v>
      </c>
      <c r="K2386" s="19" t="s">
        <v>1262</v>
      </c>
      <c r="L2386" s="32">
        <f>Data!$D2386/10^6</f>
        <v>187.69900000000001</v>
      </c>
    </row>
    <row r="2387" spans="1:12" x14ac:dyDescent="0.25">
      <c r="A2387" s="30" t="s">
        <v>109</v>
      </c>
      <c r="B2387" s="15" t="s">
        <v>1067</v>
      </c>
      <c r="C2387" s="19" t="s">
        <v>14</v>
      </c>
      <c r="D2387" s="20">
        <v>20454545</v>
      </c>
      <c r="E2387" s="21">
        <v>45627</v>
      </c>
      <c r="F2387" s="18">
        <f>MONTH(Data!$E2387)</f>
        <v>12</v>
      </c>
      <c r="G2387" s="16">
        <f>YEAR(Data!$E2387)</f>
        <v>2024</v>
      </c>
      <c r="H2387" s="19" t="s">
        <v>22</v>
      </c>
      <c r="I2387" s="15" t="str">
        <f t="shared" si="37"/>
        <v>Doanh nghiệp</v>
      </c>
      <c r="J2387" s="15" t="s">
        <v>1284</v>
      </c>
      <c r="K2387" s="19" t="s">
        <v>1266</v>
      </c>
      <c r="L2387" s="32">
        <f>Data!$D2387/10^6</f>
        <v>20.454545</v>
      </c>
    </row>
    <row r="2388" spans="1:12" x14ac:dyDescent="0.25">
      <c r="A2388" s="30" t="s">
        <v>74</v>
      </c>
      <c r="B2388" s="15" t="s">
        <v>1078</v>
      </c>
      <c r="C2388" s="19" t="s">
        <v>149</v>
      </c>
      <c r="D2388" s="20">
        <v>42182500</v>
      </c>
      <c r="E2388" s="21">
        <v>45627</v>
      </c>
      <c r="F2388" s="18">
        <f>MONTH(Data!$E2388)</f>
        <v>12</v>
      </c>
      <c r="G2388" s="16">
        <f>YEAR(Data!$E2388)</f>
        <v>2024</v>
      </c>
      <c r="H2388" s="19" t="s">
        <v>11</v>
      </c>
      <c r="I2388" s="15" t="str">
        <f t="shared" si="37"/>
        <v>Doanh nghiệp</v>
      </c>
      <c r="J2388" s="15" t="s">
        <v>1285</v>
      </c>
      <c r="K2388" s="19" t="s">
        <v>1272</v>
      </c>
      <c r="L2388" s="32">
        <f>Data!$D2388/10^6</f>
        <v>42.182499999999997</v>
      </c>
    </row>
    <row r="2389" spans="1:12" x14ac:dyDescent="0.25">
      <c r="A2389" s="30" t="s">
        <v>28</v>
      </c>
      <c r="B2389" s="15" t="s">
        <v>1083</v>
      </c>
      <c r="C2389" s="19" t="s">
        <v>46</v>
      </c>
      <c r="D2389" s="20">
        <v>22781818</v>
      </c>
      <c r="E2389" s="21">
        <v>45627</v>
      </c>
      <c r="F2389" s="18">
        <f>MONTH(Data!$E2389)</f>
        <v>12</v>
      </c>
      <c r="G2389" s="16">
        <f>YEAR(Data!$E2389)</f>
        <v>2024</v>
      </c>
      <c r="H2389" s="19" t="s">
        <v>29</v>
      </c>
      <c r="I2389" s="15" t="str">
        <f t="shared" si="37"/>
        <v>Doanh nghiệp</v>
      </c>
      <c r="J2389" s="15" t="s">
        <v>1284</v>
      </c>
      <c r="K2389" s="19" t="s">
        <v>1271</v>
      </c>
      <c r="L2389" s="32">
        <f>Data!$D2389/10^6</f>
        <v>22.781818000000001</v>
      </c>
    </row>
    <row r="2390" spans="1:12" x14ac:dyDescent="0.25">
      <c r="A2390" s="30" t="s">
        <v>191</v>
      </c>
      <c r="B2390" s="15" t="s">
        <v>1113</v>
      </c>
      <c r="C2390" s="19" t="s">
        <v>46</v>
      </c>
      <c r="D2390" s="20">
        <v>1355435345</v>
      </c>
      <c r="E2390" s="21">
        <v>45627</v>
      </c>
      <c r="F2390" s="18">
        <f>MONTH(Data!$E2390)</f>
        <v>12</v>
      </c>
      <c r="G2390" s="16">
        <f>YEAR(Data!$E2390)</f>
        <v>2024</v>
      </c>
      <c r="H2390" s="19" t="s">
        <v>35</v>
      </c>
      <c r="I2390" s="15" t="str">
        <f t="shared" si="37"/>
        <v>Doanh nghiệp</v>
      </c>
      <c r="J2390" s="15" t="s">
        <v>1285</v>
      </c>
      <c r="K2390" s="19" t="s">
        <v>1265</v>
      </c>
      <c r="L2390" s="32">
        <f>Data!$D2390/10^6</f>
        <v>1355.4353450000001</v>
      </c>
    </row>
    <row r="2391" spans="1:12" x14ac:dyDescent="0.25">
      <c r="A2391" s="30" t="s">
        <v>50</v>
      </c>
      <c r="B2391" s="15" t="s">
        <v>1115</v>
      </c>
      <c r="C2391" s="19" t="s">
        <v>14</v>
      </c>
      <c r="D2391" s="20">
        <v>4490650765</v>
      </c>
      <c r="E2391" s="21">
        <v>45627</v>
      </c>
      <c r="F2391" s="18">
        <f>MONTH(Data!$E2391)</f>
        <v>12</v>
      </c>
      <c r="G2391" s="16">
        <f>YEAR(Data!$E2391)</f>
        <v>2024</v>
      </c>
      <c r="H2391" s="19" t="s">
        <v>35</v>
      </c>
      <c r="I2391" s="15" t="str">
        <f t="shared" si="37"/>
        <v>Doanh nghiệp</v>
      </c>
      <c r="J2391" s="15" t="s">
        <v>1284</v>
      </c>
      <c r="K2391" s="19" t="s">
        <v>1266</v>
      </c>
      <c r="L2391" s="32">
        <f>Data!$D2391/10^6</f>
        <v>4490.6507650000003</v>
      </c>
    </row>
    <row r="2392" spans="1:12" x14ac:dyDescent="0.25">
      <c r="A2392" s="30" t="s">
        <v>77</v>
      </c>
      <c r="B2392" s="15" t="s">
        <v>1117</v>
      </c>
      <c r="C2392" s="19" t="s">
        <v>14</v>
      </c>
      <c r="D2392" s="20">
        <v>15227273</v>
      </c>
      <c r="E2392" s="21">
        <v>45627</v>
      </c>
      <c r="F2392" s="18">
        <f>MONTH(Data!$E2392)</f>
        <v>12</v>
      </c>
      <c r="G2392" s="16">
        <f>YEAR(Data!$E2392)</f>
        <v>2024</v>
      </c>
      <c r="H2392" s="19" t="s">
        <v>35</v>
      </c>
      <c r="I2392" s="15" t="str">
        <f t="shared" si="37"/>
        <v>Doanh nghiệp</v>
      </c>
      <c r="J2392" s="15" t="s">
        <v>1285</v>
      </c>
      <c r="K2392" s="19" t="s">
        <v>1264</v>
      </c>
      <c r="L2392" s="32">
        <f>Data!$D2392/10^6</f>
        <v>15.227273</v>
      </c>
    </row>
    <row r="2393" spans="1:12" x14ac:dyDescent="0.25">
      <c r="A2393" s="30" t="s">
        <v>85</v>
      </c>
      <c r="B2393" s="15" t="s">
        <v>1122</v>
      </c>
      <c r="C2393" s="19" t="s">
        <v>46</v>
      </c>
      <c r="D2393" s="20">
        <v>9818182</v>
      </c>
      <c r="E2393" s="21">
        <v>45627</v>
      </c>
      <c r="F2393" s="18">
        <f>MONTH(Data!$E2393)</f>
        <v>12</v>
      </c>
      <c r="G2393" s="16">
        <f>YEAR(Data!$E2393)</f>
        <v>2024</v>
      </c>
      <c r="H2393" s="19" t="s">
        <v>15</v>
      </c>
      <c r="I2393" s="15" t="str">
        <f t="shared" si="37"/>
        <v>Doanh nghiệp</v>
      </c>
      <c r="J2393" s="15" t="s">
        <v>1284</v>
      </c>
      <c r="K2393" s="19" t="s">
        <v>1265</v>
      </c>
      <c r="L2393" s="32">
        <f>Data!$D2393/10^6</f>
        <v>9.8181820000000002</v>
      </c>
    </row>
    <row r="2394" spans="1:12" x14ac:dyDescent="0.25">
      <c r="A2394" s="30" t="s">
        <v>62</v>
      </c>
      <c r="B2394" s="15" t="s">
        <v>1074</v>
      </c>
      <c r="C2394" s="19" t="s">
        <v>10</v>
      </c>
      <c r="D2394" s="20">
        <v>820854545</v>
      </c>
      <c r="E2394" s="21">
        <v>45627</v>
      </c>
      <c r="F2394" s="18">
        <f>MONTH(Data!$E2394)</f>
        <v>12</v>
      </c>
      <c r="G2394" s="16">
        <f>YEAR(Data!$E2394)</f>
        <v>2024</v>
      </c>
      <c r="H2394" s="19" t="s">
        <v>15</v>
      </c>
      <c r="I2394" s="15" t="str">
        <f t="shared" si="37"/>
        <v>Doanh nghiệp</v>
      </c>
      <c r="J2394" s="15" t="s">
        <v>1285</v>
      </c>
      <c r="K2394" s="19" t="s">
        <v>1267</v>
      </c>
      <c r="L2394" s="32">
        <f>Data!$D2394/10^6</f>
        <v>820.85454500000003</v>
      </c>
    </row>
    <row r="2395" spans="1:12" x14ac:dyDescent="0.25">
      <c r="A2395" s="30" t="s">
        <v>36</v>
      </c>
      <c r="B2395" s="15" t="s">
        <v>1082</v>
      </c>
      <c r="C2395" s="19" t="s">
        <v>10</v>
      </c>
      <c r="D2395" s="20">
        <v>398225000</v>
      </c>
      <c r="E2395" s="21">
        <v>45627</v>
      </c>
      <c r="F2395" s="18">
        <f>MONTH(Data!$E2395)</f>
        <v>12</v>
      </c>
      <c r="G2395" s="16">
        <f>YEAR(Data!$E2395)</f>
        <v>2024</v>
      </c>
      <c r="H2395" s="19" t="s">
        <v>15</v>
      </c>
      <c r="I2395" s="15" t="str">
        <f t="shared" si="37"/>
        <v>Doanh nghiệp</v>
      </c>
      <c r="J2395" s="15" t="s">
        <v>1284</v>
      </c>
      <c r="K2395" s="19" t="s">
        <v>1262</v>
      </c>
      <c r="L2395" s="32">
        <f>Data!$D2395/10^6</f>
        <v>398.22500000000002</v>
      </c>
    </row>
    <row r="2396" spans="1:12" x14ac:dyDescent="0.25">
      <c r="A2396" s="30" t="s">
        <v>59</v>
      </c>
      <c r="B2396" s="15" t="s">
        <v>1101</v>
      </c>
      <c r="C2396" s="19" t="s">
        <v>46</v>
      </c>
      <c r="D2396" s="20">
        <v>932200800</v>
      </c>
      <c r="E2396" s="21">
        <v>45627</v>
      </c>
      <c r="F2396" s="18">
        <f>MONTH(Data!$E2396)</f>
        <v>12</v>
      </c>
      <c r="G2396" s="16">
        <f>YEAR(Data!$E2396)</f>
        <v>2024</v>
      </c>
      <c r="H2396" s="19" t="s">
        <v>22</v>
      </c>
      <c r="I2396" s="15" t="str">
        <f t="shared" si="37"/>
        <v>Doanh nghiệp</v>
      </c>
      <c r="J2396" s="15" t="s">
        <v>1285</v>
      </c>
      <c r="K2396" s="19" t="s">
        <v>1265</v>
      </c>
      <c r="L2396" s="32">
        <f>Data!$D2396/10^6</f>
        <v>932.20079999999996</v>
      </c>
    </row>
    <row r="2397" spans="1:12" x14ac:dyDescent="0.25">
      <c r="A2397" s="30" t="s">
        <v>78</v>
      </c>
      <c r="B2397" s="15" t="s">
        <v>1115</v>
      </c>
      <c r="C2397" s="19" t="s">
        <v>14</v>
      </c>
      <c r="D2397" s="20">
        <v>184152000</v>
      </c>
      <c r="E2397" s="21">
        <v>45627</v>
      </c>
      <c r="F2397" s="18">
        <f>MONTH(Data!$E2397)</f>
        <v>12</v>
      </c>
      <c r="G2397" s="16">
        <f>YEAR(Data!$E2397)</f>
        <v>2024</v>
      </c>
      <c r="H2397" s="19" t="s">
        <v>15</v>
      </c>
      <c r="I2397" s="15" t="str">
        <f t="shared" si="37"/>
        <v>Doanh nghiệp</v>
      </c>
      <c r="J2397" s="15" t="s">
        <v>1284</v>
      </c>
      <c r="K2397" s="19" t="s">
        <v>1264</v>
      </c>
      <c r="L2397" s="32">
        <f>Data!$D2397/10^6</f>
        <v>184.15199999999999</v>
      </c>
    </row>
    <row r="2398" spans="1:12" x14ac:dyDescent="0.25">
      <c r="A2398" s="30" t="s">
        <v>54</v>
      </c>
      <c r="B2398" s="15" t="s">
        <v>1116</v>
      </c>
      <c r="C2398" s="19" t="s">
        <v>10</v>
      </c>
      <c r="D2398" s="20">
        <v>12132727</v>
      </c>
      <c r="E2398" s="21">
        <v>45627</v>
      </c>
      <c r="F2398" s="18">
        <f>MONTH(Data!$E2398)</f>
        <v>12</v>
      </c>
      <c r="G2398" s="16">
        <f>YEAR(Data!$E2398)</f>
        <v>2024</v>
      </c>
      <c r="H2398" s="19" t="s">
        <v>15</v>
      </c>
      <c r="I2398" s="15" t="str">
        <f t="shared" si="37"/>
        <v>Doanh nghiệp</v>
      </c>
      <c r="J2398" s="15" t="s">
        <v>1285</v>
      </c>
      <c r="K2398" s="19" t="s">
        <v>1262</v>
      </c>
      <c r="L2398" s="32">
        <f>Data!$D2398/10^6</f>
        <v>12.132726999999999</v>
      </c>
    </row>
    <row r="2399" spans="1:12" x14ac:dyDescent="0.25">
      <c r="A2399" s="30" t="s">
        <v>78</v>
      </c>
      <c r="B2399" s="15" t="s">
        <v>1029</v>
      </c>
      <c r="C2399" s="19" t="s">
        <v>14</v>
      </c>
      <c r="D2399" s="20">
        <v>193711000</v>
      </c>
      <c r="E2399" s="21">
        <v>45627</v>
      </c>
      <c r="F2399" s="18">
        <f>MONTH(Data!$E2399)</f>
        <v>12</v>
      </c>
      <c r="G2399" s="16">
        <f>YEAR(Data!$E2399)</f>
        <v>2024</v>
      </c>
      <c r="H2399" s="19" t="s">
        <v>15</v>
      </c>
      <c r="I2399" s="15" t="str">
        <f t="shared" si="37"/>
        <v>Doanh nghiệp</v>
      </c>
      <c r="J2399" s="15" t="s">
        <v>1284</v>
      </c>
      <c r="K2399" s="19" t="s">
        <v>1264</v>
      </c>
      <c r="L2399" s="32">
        <f>Data!$D2399/10^6</f>
        <v>193.71100000000001</v>
      </c>
    </row>
    <row r="2400" spans="1:12" x14ac:dyDescent="0.25">
      <c r="A2400" s="30" t="s">
        <v>78</v>
      </c>
      <c r="B2400" s="15" t="s">
        <v>1046</v>
      </c>
      <c r="C2400" s="19" t="s">
        <v>10</v>
      </c>
      <c r="D2400" s="20">
        <v>22737982</v>
      </c>
      <c r="E2400" s="21">
        <v>45627</v>
      </c>
      <c r="F2400" s="18">
        <f>MONTH(Data!$E2400)</f>
        <v>12</v>
      </c>
      <c r="G2400" s="16">
        <f>YEAR(Data!$E2400)</f>
        <v>2024</v>
      </c>
      <c r="H2400" s="19" t="s">
        <v>15</v>
      </c>
      <c r="I2400" s="15" t="str">
        <f t="shared" si="37"/>
        <v>Doanh nghiệp</v>
      </c>
      <c r="J2400" s="15" t="s">
        <v>1285</v>
      </c>
      <c r="K2400" s="19" t="s">
        <v>1263</v>
      </c>
      <c r="L2400" s="32">
        <f>Data!$D2400/10^6</f>
        <v>22.737981999999999</v>
      </c>
    </row>
    <row r="2401" spans="1:12" x14ac:dyDescent="0.25">
      <c r="A2401" s="30" t="s">
        <v>78</v>
      </c>
      <c r="B2401" s="15" t="s">
        <v>1047</v>
      </c>
      <c r="C2401" s="19" t="s">
        <v>14</v>
      </c>
      <c r="D2401" s="20">
        <v>192824000</v>
      </c>
      <c r="E2401" s="21">
        <v>45627</v>
      </c>
      <c r="F2401" s="18">
        <f>MONTH(Data!$E2401)</f>
        <v>12</v>
      </c>
      <c r="G2401" s="16">
        <f>YEAR(Data!$E2401)</f>
        <v>2024</v>
      </c>
      <c r="H2401" s="19" t="s">
        <v>15</v>
      </c>
      <c r="I2401" s="15" t="str">
        <f t="shared" si="37"/>
        <v>Doanh nghiệp</v>
      </c>
      <c r="J2401" s="15" t="s">
        <v>1284</v>
      </c>
      <c r="K2401" s="19" t="s">
        <v>1264</v>
      </c>
      <c r="L2401" s="32">
        <f>Data!$D2401/10^6</f>
        <v>192.82400000000001</v>
      </c>
    </row>
    <row r="2402" spans="1:12" x14ac:dyDescent="0.25">
      <c r="A2402" s="30" t="s">
        <v>52</v>
      </c>
      <c r="B2402" s="15" t="s">
        <v>1075</v>
      </c>
      <c r="C2402" s="19" t="s">
        <v>46</v>
      </c>
      <c r="D2402" s="20">
        <v>229926400</v>
      </c>
      <c r="E2402" s="21">
        <v>45627</v>
      </c>
      <c r="F2402" s="18">
        <f>MONTH(Data!$E2402)</f>
        <v>12</v>
      </c>
      <c r="G2402" s="16">
        <f>YEAR(Data!$E2402)</f>
        <v>2024</v>
      </c>
      <c r="H2402" s="19" t="s">
        <v>35</v>
      </c>
      <c r="I2402" s="15" t="str">
        <f t="shared" si="37"/>
        <v>Doanh nghiệp</v>
      </c>
      <c r="J2402" s="15" t="s">
        <v>1285</v>
      </c>
      <c r="K2402" s="19" t="s">
        <v>1265</v>
      </c>
      <c r="L2402" s="32">
        <f>Data!$D2402/10^6</f>
        <v>229.9264</v>
      </c>
    </row>
    <row r="2403" spans="1:12" x14ac:dyDescent="0.25">
      <c r="A2403" s="30" t="s">
        <v>56</v>
      </c>
      <c r="B2403" s="15" t="s">
        <v>1079</v>
      </c>
      <c r="C2403" s="19" t="s">
        <v>10</v>
      </c>
      <c r="D2403" s="20">
        <v>39338843</v>
      </c>
      <c r="E2403" s="21">
        <v>45627</v>
      </c>
      <c r="F2403" s="18">
        <f>MONTH(Data!$E2403)</f>
        <v>12</v>
      </c>
      <c r="G2403" s="16">
        <f>YEAR(Data!$E2403)</f>
        <v>2024</v>
      </c>
      <c r="H2403" s="19" t="s">
        <v>25</v>
      </c>
      <c r="I2403" s="15" t="str">
        <f t="shared" si="37"/>
        <v>Doanh nghiệp</v>
      </c>
      <c r="J2403" s="15" t="s">
        <v>1284</v>
      </c>
      <c r="K2403" s="19" t="s">
        <v>1263</v>
      </c>
      <c r="L2403" s="32">
        <f>Data!$D2403/10^6</f>
        <v>39.338842999999997</v>
      </c>
    </row>
    <row r="2404" spans="1:12" x14ac:dyDescent="0.25">
      <c r="A2404" s="30" t="s">
        <v>72</v>
      </c>
      <c r="B2404" s="15" t="s">
        <v>1117</v>
      </c>
      <c r="C2404" s="19" t="s">
        <v>10</v>
      </c>
      <c r="D2404" s="20">
        <v>27567400</v>
      </c>
      <c r="E2404" s="21">
        <v>45627</v>
      </c>
      <c r="F2404" s="18">
        <f>MONTH(Data!$E2404)</f>
        <v>12</v>
      </c>
      <c r="G2404" s="16">
        <f>YEAR(Data!$E2404)</f>
        <v>2024</v>
      </c>
      <c r="H2404" s="19" t="s">
        <v>22</v>
      </c>
      <c r="I2404" s="15" t="str">
        <f t="shared" si="37"/>
        <v>Doanh nghiệp</v>
      </c>
      <c r="J2404" s="15" t="s">
        <v>1285</v>
      </c>
      <c r="K2404" s="19" t="s">
        <v>1262</v>
      </c>
      <c r="L2404" s="32">
        <f>Data!$D2404/10^6</f>
        <v>27.567399999999999</v>
      </c>
    </row>
    <row r="2405" spans="1:12" x14ac:dyDescent="0.25">
      <c r="A2405" s="30" t="s">
        <v>151</v>
      </c>
      <c r="B2405" s="15" t="s">
        <v>1040</v>
      </c>
      <c r="C2405" s="19" t="s">
        <v>149</v>
      </c>
      <c r="D2405" s="20">
        <v>14727273</v>
      </c>
      <c r="E2405" s="21">
        <v>45627</v>
      </c>
      <c r="F2405" s="18">
        <f>MONTH(Data!$E2405)</f>
        <v>12</v>
      </c>
      <c r="G2405" s="16">
        <f>YEAR(Data!$E2405)</f>
        <v>2024</v>
      </c>
      <c r="H2405" s="19" t="s">
        <v>15</v>
      </c>
      <c r="I2405" s="15" t="str">
        <f t="shared" si="37"/>
        <v>Doanh nghiệp</v>
      </c>
      <c r="J2405" s="15" t="s">
        <v>1284</v>
      </c>
      <c r="K2405" s="19" t="s">
        <v>1265</v>
      </c>
      <c r="L2405" s="32">
        <f>Data!$D2405/10^6</f>
        <v>14.727273</v>
      </c>
    </row>
    <row r="2406" spans="1:12" x14ac:dyDescent="0.25">
      <c r="A2406" s="30" t="s">
        <v>30</v>
      </c>
      <c r="B2406" s="15" t="s">
        <v>1045</v>
      </c>
      <c r="C2406" s="19" t="s">
        <v>46</v>
      </c>
      <c r="D2406" s="20">
        <v>177783381</v>
      </c>
      <c r="E2406" s="21">
        <v>45627</v>
      </c>
      <c r="F2406" s="18">
        <f>MONTH(Data!$E2406)</f>
        <v>12</v>
      </c>
      <c r="G2406" s="16">
        <f>YEAR(Data!$E2406)</f>
        <v>2024</v>
      </c>
      <c r="H2406" s="19" t="s">
        <v>32</v>
      </c>
      <c r="I2406" s="15" t="str">
        <f t="shared" si="37"/>
        <v>Doanh nghiệp</v>
      </c>
      <c r="J2406" s="15" t="s">
        <v>1285</v>
      </c>
      <c r="K2406" s="19" t="s">
        <v>1265</v>
      </c>
      <c r="L2406" s="32">
        <f>Data!$D2406/10^6</f>
        <v>177.78338099999999</v>
      </c>
    </row>
    <row r="2407" spans="1:12" x14ac:dyDescent="0.25">
      <c r="A2407" s="30" t="s">
        <v>72</v>
      </c>
      <c r="B2407" s="15" t="s">
        <v>1050</v>
      </c>
      <c r="C2407" s="19" t="s">
        <v>10</v>
      </c>
      <c r="D2407" s="20">
        <v>191114091</v>
      </c>
      <c r="E2407" s="21">
        <v>45627</v>
      </c>
      <c r="F2407" s="18">
        <f>MONTH(Data!$E2407)</f>
        <v>12</v>
      </c>
      <c r="G2407" s="16">
        <f>YEAR(Data!$E2407)</f>
        <v>2024</v>
      </c>
      <c r="H2407" s="19" t="s">
        <v>22</v>
      </c>
      <c r="I2407" s="15" t="str">
        <f t="shared" si="37"/>
        <v>Doanh nghiệp</v>
      </c>
      <c r="J2407" s="15" t="s">
        <v>1284</v>
      </c>
      <c r="K2407" s="19" t="s">
        <v>1263</v>
      </c>
      <c r="L2407" s="32">
        <f>Data!$D2407/10^6</f>
        <v>191.114091</v>
      </c>
    </row>
    <row r="2408" spans="1:12" x14ac:dyDescent="0.25">
      <c r="A2408" s="30" t="s">
        <v>55</v>
      </c>
      <c r="B2408" s="15" t="s">
        <v>1090</v>
      </c>
      <c r="C2408" s="19" t="s">
        <v>10</v>
      </c>
      <c r="D2408" s="20">
        <v>184610000</v>
      </c>
      <c r="E2408" s="21">
        <v>45627</v>
      </c>
      <c r="F2408" s="18">
        <f>MONTH(Data!$E2408)</f>
        <v>12</v>
      </c>
      <c r="G2408" s="16">
        <f>YEAR(Data!$E2408)</f>
        <v>2024</v>
      </c>
      <c r="H2408" s="19" t="s">
        <v>15</v>
      </c>
      <c r="I2408" s="15" t="str">
        <f t="shared" si="37"/>
        <v>Doanh nghiệp</v>
      </c>
      <c r="J2408" s="15" t="s">
        <v>1285</v>
      </c>
      <c r="K2408" s="19" t="s">
        <v>1263</v>
      </c>
      <c r="L2408" s="32">
        <f>Data!$D2408/10^6</f>
        <v>184.61</v>
      </c>
    </row>
    <row r="2409" spans="1:12" x14ac:dyDescent="0.25">
      <c r="A2409" s="30" t="s">
        <v>23</v>
      </c>
      <c r="B2409" s="15" t="s">
        <v>1033</v>
      </c>
      <c r="C2409" s="19" t="s">
        <v>46</v>
      </c>
      <c r="D2409" s="20">
        <v>85054545</v>
      </c>
      <c r="E2409" s="21">
        <v>45627</v>
      </c>
      <c r="F2409" s="18">
        <f>MONTH(Data!$E2409)</f>
        <v>12</v>
      </c>
      <c r="G2409" s="16">
        <f>YEAR(Data!$E2409)</f>
        <v>2024</v>
      </c>
      <c r="H2409" s="19" t="s">
        <v>25</v>
      </c>
      <c r="I2409" s="15" t="str">
        <f t="shared" si="37"/>
        <v>Doanh nghiệp</v>
      </c>
      <c r="J2409" s="15" t="s">
        <v>1284</v>
      </c>
      <c r="K2409" s="19" t="s">
        <v>1271</v>
      </c>
      <c r="L2409" s="32">
        <f>Data!$D2409/10^6</f>
        <v>85.054545000000005</v>
      </c>
    </row>
    <row r="2410" spans="1:12" x14ac:dyDescent="0.25">
      <c r="A2410" s="30" t="s">
        <v>151</v>
      </c>
      <c r="B2410" s="15" t="s">
        <v>1036</v>
      </c>
      <c r="C2410" s="19" t="s">
        <v>46</v>
      </c>
      <c r="D2410" s="20">
        <v>63325455</v>
      </c>
      <c r="E2410" s="21">
        <v>45627</v>
      </c>
      <c r="F2410" s="18">
        <f>MONTH(Data!$E2410)</f>
        <v>12</v>
      </c>
      <c r="G2410" s="16">
        <f>YEAR(Data!$E2410)</f>
        <v>2024</v>
      </c>
      <c r="H2410" s="19" t="s">
        <v>15</v>
      </c>
      <c r="I2410" s="15" t="str">
        <f t="shared" si="37"/>
        <v>Doanh nghiệp</v>
      </c>
      <c r="J2410" s="15" t="s">
        <v>1285</v>
      </c>
      <c r="K2410" s="19" t="s">
        <v>1265</v>
      </c>
      <c r="L2410" s="32">
        <f>Data!$D2410/10^6</f>
        <v>63.325454999999998</v>
      </c>
    </row>
    <row r="2411" spans="1:12" x14ac:dyDescent="0.25">
      <c r="A2411" s="30" t="s">
        <v>28</v>
      </c>
      <c r="B2411" s="15" t="s">
        <v>1048</v>
      </c>
      <c r="C2411" s="19" t="s">
        <v>149</v>
      </c>
      <c r="D2411" s="20">
        <v>102147273</v>
      </c>
      <c r="E2411" s="21">
        <v>45627</v>
      </c>
      <c r="F2411" s="18">
        <f>MONTH(Data!$E2411)</f>
        <v>12</v>
      </c>
      <c r="G2411" s="16">
        <f>YEAR(Data!$E2411)</f>
        <v>2024</v>
      </c>
      <c r="H2411" s="19" t="s">
        <v>29</v>
      </c>
      <c r="I2411" s="15" t="str">
        <f t="shared" si="37"/>
        <v>Doanh nghiệp</v>
      </c>
      <c r="J2411" s="15" t="s">
        <v>1284</v>
      </c>
      <c r="K2411" s="19" t="s">
        <v>1262</v>
      </c>
      <c r="L2411" s="32">
        <f>Data!$D2411/10^6</f>
        <v>102.147273</v>
      </c>
    </row>
    <row r="2412" spans="1:12" x14ac:dyDescent="0.25">
      <c r="A2412" s="30" t="s">
        <v>23</v>
      </c>
      <c r="B2412" s="15" t="s">
        <v>1061</v>
      </c>
      <c r="C2412" s="19" t="s">
        <v>10</v>
      </c>
      <c r="D2412" s="20">
        <v>390000000</v>
      </c>
      <c r="E2412" s="21">
        <v>45627</v>
      </c>
      <c r="F2412" s="18">
        <f>MONTH(Data!$E2412)</f>
        <v>12</v>
      </c>
      <c r="G2412" s="16">
        <f>YEAR(Data!$E2412)</f>
        <v>2024</v>
      </c>
      <c r="H2412" s="19" t="s">
        <v>25</v>
      </c>
      <c r="I2412" s="15" t="str">
        <f t="shared" si="37"/>
        <v>Doanh nghiệp</v>
      </c>
      <c r="J2412" s="15" t="s">
        <v>1285</v>
      </c>
      <c r="K2412" s="19" t="s">
        <v>1262</v>
      </c>
      <c r="L2412" s="32">
        <f>Data!$D2412/10^6</f>
        <v>390</v>
      </c>
    </row>
    <row r="2413" spans="1:12" x14ac:dyDescent="0.25">
      <c r="A2413" s="30" t="s">
        <v>65</v>
      </c>
      <c r="B2413" s="15" t="s">
        <v>1064</v>
      </c>
      <c r="C2413" s="19" t="s">
        <v>149</v>
      </c>
      <c r="D2413" s="20">
        <v>361818182</v>
      </c>
      <c r="E2413" s="21">
        <v>45627</v>
      </c>
      <c r="F2413" s="18">
        <f>MONTH(Data!$E2413)</f>
        <v>12</v>
      </c>
      <c r="G2413" s="16">
        <f>YEAR(Data!$E2413)</f>
        <v>2024</v>
      </c>
      <c r="H2413" s="19" t="s">
        <v>25</v>
      </c>
      <c r="I2413" s="15" t="str">
        <f t="shared" si="37"/>
        <v>Doanh nghiệp</v>
      </c>
      <c r="J2413" s="15" t="s">
        <v>1284</v>
      </c>
      <c r="K2413" s="19" t="s">
        <v>1275</v>
      </c>
      <c r="L2413" s="32">
        <f>Data!$D2413/10^6</f>
        <v>361.81818199999998</v>
      </c>
    </row>
    <row r="2414" spans="1:12" x14ac:dyDescent="0.25">
      <c r="A2414" s="30" t="s">
        <v>48</v>
      </c>
      <c r="B2414" s="15" t="s">
        <v>1088</v>
      </c>
      <c r="C2414" s="19" t="s">
        <v>14</v>
      </c>
      <c r="D2414" s="20">
        <v>38319000</v>
      </c>
      <c r="E2414" s="21">
        <v>45627</v>
      </c>
      <c r="F2414" s="18">
        <f>MONTH(Data!$E2414)</f>
        <v>12</v>
      </c>
      <c r="G2414" s="16">
        <f>YEAR(Data!$E2414)</f>
        <v>2024</v>
      </c>
      <c r="H2414" s="19" t="s">
        <v>25</v>
      </c>
      <c r="I2414" s="15" t="str">
        <f t="shared" si="37"/>
        <v>Doanh nghiệp</v>
      </c>
      <c r="J2414" s="15" t="s">
        <v>1285</v>
      </c>
      <c r="K2414" s="19" t="s">
        <v>1266</v>
      </c>
      <c r="L2414" s="32">
        <f>Data!$D2414/10^6</f>
        <v>38.319000000000003</v>
      </c>
    </row>
    <row r="2415" spans="1:12" x14ac:dyDescent="0.25">
      <c r="A2415" s="30" t="s">
        <v>92</v>
      </c>
      <c r="B2415" s="15" t="s">
        <v>1092</v>
      </c>
      <c r="C2415" s="19" t="s">
        <v>46</v>
      </c>
      <c r="D2415" s="20">
        <v>172090909</v>
      </c>
      <c r="E2415" s="21">
        <v>45627</v>
      </c>
      <c r="F2415" s="18">
        <f>MONTH(Data!$E2415)</f>
        <v>12</v>
      </c>
      <c r="G2415" s="16">
        <f>YEAR(Data!$E2415)</f>
        <v>2024</v>
      </c>
      <c r="H2415" s="19" t="s">
        <v>29</v>
      </c>
      <c r="I2415" s="15" t="str">
        <f t="shared" si="37"/>
        <v>Doanh nghiệp</v>
      </c>
      <c r="J2415" s="15" t="s">
        <v>1284</v>
      </c>
      <c r="K2415" s="19" t="s">
        <v>1271</v>
      </c>
      <c r="L2415" s="32">
        <f>Data!$D2415/10^6</f>
        <v>172.09090900000001</v>
      </c>
    </row>
    <row r="2416" spans="1:12" x14ac:dyDescent="0.25">
      <c r="A2416" s="30" t="s">
        <v>95</v>
      </c>
      <c r="B2416" s="15" t="s">
        <v>1069</v>
      </c>
      <c r="C2416" s="19" t="s">
        <v>46</v>
      </c>
      <c r="D2416" s="20">
        <v>456489700</v>
      </c>
      <c r="E2416" s="21">
        <v>45627</v>
      </c>
      <c r="F2416" s="18">
        <f>MONTH(Data!$E2416)</f>
        <v>12</v>
      </c>
      <c r="G2416" s="16">
        <f>YEAR(Data!$E2416)</f>
        <v>2024</v>
      </c>
      <c r="H2416" s="19" t="s">
        <v>35</v>
      </c>
      <c r="I2416" s="15" t="str">
        <f t="shared" si="37"/>
        <v>Doanh nghiệp</v>
      </c>
      <c r="J2416" s="15" t="s">
        <v>1285</v>
      </c>
      <c r="K2416" s="19" t="s">
        <v>1265</v>
      </c>
      <c r="L2416" s="32">
        <f>Data!$D2416/10^6</f>
        <v>456.48970000000003</v>
      </c>
    </row>
    <row r="2417" spans="1:12" x14ac:dyDescent="0.25">
      <c r="A2417" s="30" t="s">
        <v>74</v>
      </c>
      <c r="B2417" s="15" t="s">
        <v>1074</v>
      </c>
      <c r="C2417" s="19" t="s">
        <v>14</v>
      </c>
      <c r="D2417" s="20">
        <v>2639799309</v>
      </c>
      <c r="E2417" s="21">
        <v>45627</v>
      </c>
      <c r="F2417" s="18">
        <f>MONTH(Data!$E2417)</f>
        <v>12</v>
      </c>
      <c r="G2417" s="16">
        <f>YEAR(Data!$E2417)</f>
        <v>2024</v>
      </c>
      <c r="H2417" s="19" t="s">
        <v>11</v>
      </c>
      <c r="I2417" s="15" t="str">
        <f t="shared" si="37"/>
        <v>Doanh nghiệp</v>
      </c>
      <c r="J2417" s="15" t="s">
        <v>1284</v>
      </c>
      <c r="K2417" s="19" t="s">
        <v>1264</v>
      </c>
      <c r="L2417" s="32">
        <f>Data!$D2417/10^6</f>
        <v>2639.799309</v>
      </c>
    </row>
    <row r="2418" spans="1:12" x14ac:dyDescent="0.25">
      <c r="A2418" s="30" t="s">
        <v>30</v>
      </c>
      <c r="B2418" s="15" t="s">
        <v>1084</v>
      </c>
      <c r="C2418" s="19" t="s">
        <v>46</v>
      </c>
      <c r="D2418" s="20">
        <v>165463737</v>
      </c>
      <c r="E2418" s="21">
        <v>45627</v>
      </c>
      <c r="F2418" s="18">
        <f>MONTH(Data!$E2418)</f>
        <v>12</v>
      </c>
      <c r="G2418" s="16">
        <f>YEAR(Data!$E2418)</f>
        <v>2024</v>
      </c>
      <c r="H2418" s="19" t="s">
        <v>32</v>
      </c>
      <c r="I2418" s="15" t="str">
        <f t="shared" si="37"/>
        <v>Doanh nghiệp</v>
      </c>
      <c r="J2418" s="15" t="s">
        <v>1285</v>
      </c>
      <c r="K2418" s="19" t="s">
        <v>1265</v>
      </c>
      <c r="L2418" s="32">
        <f>Data!$D2418/10^6</f>
        <v>165.46373700000001</v>
      </c>
    </row>
    <row r="2419" spans="1:12" x14ac:dyDescent="0.25">
      <c r="A2419" s="30" t="s">
        <v>30</v>
      </c>
      <c r="B2419" s="15" t="s">
        <v>1101</v>
      </c>
      <c r="C2419" s="19" t="s">
        <v>46</v>
      </c>
      <c r="D2419" s="20">
        <v>86363636</v>
      </c>
      <c r="E2419" s="21">
        <v>45627</v>
      </c>
      <c r="F2419" s="18">
        <f>MONTH(Data!$E2419)</f>
        <v>12</v>
      </c>
      <c r="G2419" s="16">
        <f>YEAR(Data!$E2419)</f>
        <v>2024</v>
      </c>
      <c r="H2419" s="19" t="s">
        <v>32</v>
      </c>
      <c r="I2419" s="15" t="str">
        <f t="shared" si="37"/>
        <v>Doanh nghiệp</v>
      </c>
      <c r="J2419" s="15" t="s">
        <v>1284</v>
      </c>
      <c r="K2419" s="19" t="s">
        <v>1265</v>
      </c>
      <c r="L2419" s="32">
        <f>Data!$D2419/10^6</f>
        <v>86.363636</v>
      </c>
    </row>
    <row r="2420" spans="1:12" x14ac:dyDescent="0.25">
      <c r="A2420" s="30" t="s">
        <v>74</v>
      </c>
      <c r="B2420" s="15" t="s">
        <v>1109</v>
      </c>
      <c r="C2420" s="19" t="s">
        <v>10</v>
      </c>
      <c r="D2420" s="20">
        <v>1045497600</v>
      </c>
      <c r="E2420" s="21">
        <v>45627</v>
      </c>
      <c r="F2420" s="18">
        <f>MONTH(Data!$E2420)</f>
        <v>12</v>
      </c>
      <c r="G2420" s="16">
        <f>YEAR(Data!$E2420)</f>
        <v>2024</v>
      </c>
      <c r="H2420" s="19" t="s">
        <v>11</v>
      </c>
      <c r="I2420" s="15" t="str">
        <f t="shared" si="37"/>
        <v>Doanh nghiệp</v>
      </c>
      <c r="J2420" s="15" t="s">
        <v>1285</v>
      </c>
      <c r="K2420" s="19" t="s">
        <v>1263</v>
      </c>
      <c r="L2420" s="32">
        <f>Data!$D2420/10^6</f>
        <v>1045.4975999999999</v>
      </c>
    </row>
    <row r="2421" spans="1:12" x14ac:dyDescent="0.25">
      <c r="A2421" s="30" t="s">
        <v>74</v>
      </c>
      <c r="B2421" s="15" t="s">
        <v>1110</v>
      </c>
      <c r="C2421" s="19" t="s">
        <v>10</v>
      </c>
      <c r="D2421" s="20">
        <v>204784989</v>
      </c>
      <c r="E2421" s="21">
        <v>45627</v>
      </c>
      <c r="F2421" s="18">
        <f>MONTH(Data!$E2421)</f>
        <v>12</v>
      </c>
      <c r="G2421" s="16">
        <f>YEAR(Data!$E2421)</f>
        <v>2024</v>
      </c>
      <c r="H2421" s="19" t="s">
        <v>11</v>
      </c>
      <c r="I2421" s="15" t="str">
        <f t="shared" si="37"/>
        <v>Doanh nghiệp</v>
      </c>
      <c r="J2421" s="15" t="s">
        <v>1284</v>
      </c>
      <c r="K2421" s="19" t="s">
        <v>1262</v>
      </c>
      <c r="L2421" s="32">
        <f>Data!$D2421/10^6</f>
        <v>204.784989</v>
      </c>
    </row>
    <row r="2422" spans="1:12" x14ac:dyDescent="0.25">
      <c r="A2422" s="30" t="s">
        <v>62</v>
      </c>
      <c r="B2422" s="15" t="s">
        <v>1112</v>
      </c>
      <c r="C2422" s="19" t="s">
        <v>10</v>
      </c>
      <c r="D2422" s="20">
        <v>16409091</v>
      </c>
      <c r="E2422" s="21">
        <v>45627</v>
      </c>
      <c r="F2422" s="18">
        <f>MONTH(Data!$E2422)</f>
        <v>12</v>
      </c>
      <c r="G2422" s="16">
        <f>YEAR(Data!$E2422)</f>
        <v>2024</v>
      </c>
      <c r="H2422" s="19" t="s">
        <v>15</v>
      </c>
      <c r="I2422" s="15" t="str">
        <f t="shared" si="37"/>
        <v>Doanh nghiệp</v>
      </c>
      <c r="J2422" s="15" t="s">
        <v>1285</v>
      </c>
      <c r="K2422" s="19" t="s">
        <v>1263</v>
      </c>
      <c r="L2422" s="32">
        <f>Data!$D2422/10^6</f>
        <v>16.409091</v>
      </c>
    </row>
    <row r="2423" spans="1:12" x14ac:dyDescent="0.25">
      <c r="A2423" s="30" t="s">
        <v>151</v>
      </c>
      <c r="B2423" s="15" t="s">
        <v>1121</v>
      </c>
      <c r="C2423" s="19" t="s">
        <v>14</v>
      </c>
      <c r="D2423" s="20">
        <v>881400000</v>
      </c>
      <c r="E2423" s="21">
        <v>45627</v>
      </c>
      <c r="F2423" s="18">
        <f>MONTH(Data!$E2423)</f>
        <v>12</v>
      </c>
      <c r="G2423" s="16">
        <f>YEAR(Data!$E2423)</f>
        <v>2024</v>
      </c>
      <c r="H2423" s="19" t="s">
        <v>15</v>
      </c>
      <c r="I2423" s="15" t="str">
        <f t="shared" si="37"/>
        <v>Doanh nghiệp</v>
      </c>
      <c r="J2423" s="15" t="s">
        <v>1284</v>
      </c>
      <c r="K2423" s="19" t="s">
        <v>1264</v>
      </c>
      <c r="L2423" s="32">
        <f>Data!$D2423/10^6</f>
        <v>881.4</v>
      </c>
    </row>
    <row r="2424" spans="1:12" x14ac:dyDescent="0.25">
      <c r="A2424" s="30" t="s">
        <v>59</v>
      </c>
      <c r="B2424" s="15" t="s">
        <v>1029</v>
      </c>
      <c r="C2424" s="19" t="s">
        <v>149</v>
      </c>
      <c r="D2424" s="20">
        <v>88191545</v>
      </c>
      <c r="E2424" s="21">
        <v>45627</v>
      </c>
      <c r="F2424" s="18">
        <f>MONTH(Data!$E2424)</f>
        <v>12</v>
      </c>
      <c r="G2424" s="16">
        <f>YEAR(Data!$E2424)</f>
        <v>2024</v>
      </c>
      <c r="H2424" s="19" t="s">
        <v>22</v>
      </c>
      <c r="I2424" s="15" t="str">
        <f t="shared" si="37"/>
        <v>Doanh nghiệp</v>
      </c>
      <c r="J2424" s="15" t="s">
        <v>1285</v>
      </c>
      <c r="K2424" s="19" t="s">
        <v>1266</v>
      </c>
      <c r="L2424" s="32">
        <f>Data!$D2424/10^6</f>
        <v>88.191545000000005</v>
      </c>
    </row>
    <row r="2425" spans="1:12" x14ac:dyDescent="0.25">
      <c r="A2425" s="30" t="s">
        <v>85</v>
      </c>
      <c r="B2425" s="15" t="s">
        <v>1038</v>
      </c>
      <c r="C2425" s="19" t="s">
        <v>10</v>
      </c>
      <c r="D2425" s="20">
        <v>40561252</v>
      </c>
      <c r="E2425" s="21">
        <v>45627</v>
      </c>
      <c r="F2425" s="18">
        <f>MONTH(Data!$E2425)</f>
        <v>12</v>
      </c>
      <c r="G2425" s="16">
        <f>YEAR(Data!$E2425)</f>
        <v>2024</v>
      </c>
      <c r="H2425" s="19" t="s">
        <v>15</v>
      </c>
      <c r="I2425" s="15" t="str">
        <f t="shared" si="37"/>
        <v>Doanh nghiệp</v>
      </c>
      <c r="J2425" s="15" t="s">
        <v>1284</v>
      </c>
      <c r="K2425" s="19" t="s">
        <v>1263</v>
      </c>
      <c r="L2425" s="32">
        <f>Data!$D2425/10^6</f>
        <v>40.561252000000003</v>
      </c>
    </row>
    <row r="2426" spans="1:12" x14ac:dyDescent="0.25">
      <c r="A2426" s="30" t="s">
        <v>123</v>
      </c>
      <c r="B2426" s="15" t="s">
        <v>1044</v>
      </c>
      <c r="C2426" s="19" t="s">
        <v>46</v>
      </c>
      <c r="D2426" s="20">
        <v>226997500</v>
      </c>
      <c r="E2426" s="21">
        <v>45627</v>
      </c>
      <c r="F2426" s="18">
        <f>MONTH(Data!$E2426)</f>
        <v>12</v>
      </c>
      <c r="G2426" s="16">
        <f>YEAR(Data!$E2426)</f>
        <v>2024</v>
      </c>
      <c r="H2426" s="19" t="s">
        <v>15</v>
      </c>
      <c r="I2426" s="15" t="str">
        <f t="shared" si="37"/>
        <v>Doanh nghiệp</v>
      </c>
      <c r="J2426" s="15" t="s">
        <v>1285</v>
      </c>
      <c r="K2426" s="19" t="s">
        <v>1271</v>
      </c>
      <c r="L2426" s="32">
        <f>Data!$D2426/10^6</f>
        <v>226.9975</v>
      </c>
    </row>
    <row r="2427" spans="1:12" x14ac:dyDescent="0.25">
      <c r="A2427" s="30" t="s">
        <v>59</v>
      </c>
      <c r="B2427" s="15" t="s">
        <v>1057</v>
      </c>
      <c r="C2427" s="19" t="s">
        <v>46</v>
      </c>
      <c r="D2427" s="20">
        <v>103132727</v>
      </c>
      <c r="E2427" s="21">
        <v>45627</v>
      </c>
      <c r="F2427" s="18">
        <f>MONTH(Data!$E2427)</f>
        <v>12</v>
      </c>
      <c r="G2427" s="16">
        <f>YEAR(Data!$E2427)</f>
        <v>2024</v>
      </c>
      <c r="H2427" s="19" t="s">
        <v>22</v>
      </c>
      <c r="I2427" s="15" t="str">
        <f t="shared" si="37"/>
        <v>Doanh nghiệp</v>
      </c>
      <c r="J2427" s="15" t="s">
        <v>1284</v>
      </c>
      <c r="K2427" s="19" t="s">
        <v>1265</v>
      </c>
      <c r="L2427" s="32">
        <f>Data!$D2427/10^6</f>
        <v>103.132727</v>
      </c>
    </row>
    <row r="2428" spans="1:12" x14ac:dyDescent="0.25">
      <c r="A2428" s="30" t="s">
        <v>23</v>
      </c>
      <c r="B2428" s="15" t="s">
        <v>1074</v>
      </c>
      <c r="C2428" s="19" t="s">
        <v>10</v>
      </c>
      <c r="D2428" s="20">
        <v>468325318</v>
      </c>
      <c r="E2428" s="21">
        <v>45627</v>
      </c>
      <c r="F2428" s="18">
        <f>MONTH(Data!$E2428)</f>
        <v>12</v>
      </c>
      <c r="G2428" s="16">
        <f>YEAR(Data!$E2428)</f>
        <v>2024</v>
      </c>
      <c r="H2428" s="19" t="s">
        <v>25</v>
      </c>
      <c r="I2428" s="15" t="str">
        <f t="shared" si="37"/>
        <v>Doanh nghiệp</v>
      </c>
      <c r="J2428" s="15" t="s">
        <v>1285</v>
      </c>
      <c r="K2428" s="19" t="s">
        <v>1263</v>
      </c>
      <c r="L2428" s="32">
        <f>Data!$D2428/10^6</f>
        <v>468.32531799999998</v>
      </c>
    </row>
    <row r="2429" spans="1:12" x14ac:dyDescent="0.25">
      <c r="A2429" s="30" t="s">
        <v>23</v>
      </c>
      <c r="B2429" s="15" t="s">
        <v>1075</v>
      </c>
      <c r="C2429" s="19" t="s">
        <v>10</v>
      </c>
      <c r="D2429" s="20">
        <v>260996091</v>
      </c>
      <c r="E2429" s="21">
        <v>45627</v>
      </c>
      <c r="F2429" s="18">
        <f>MONTH(Data!$E2429)</f>
        <v>12</v>
      </c>
      <c r="G2429" s="16">
        <f>YEAR(Data!$E2429)</f>
        <v>2024</v>
      </c>
      <c r="H2429" s="19" t="s">
        <v>25</v>
      </c>
      <c r="I2429" s="15" t="str">
        <f t="shared" si="37"/>
        <v>Doanh nghiệp</v>
      </c>
      <c r="J2429" s="15" t="s">
        <v>1284</v>
      </c>
      <c r="K2429" s="19" t="s">
        <v>1263</v>
      </c>
      <c r="L2429" s="32">
        <f>Data!$D2429/10^6</f>
        <v>260.99609099999998</v>
      </c>
    </row>
    <row r="2430" spans="1:12" x14ac:dyDescent="0.25">
      <c r="A2430" s="30" t="s">
        <v>23</v>
      </c>
      <c r="B2430" s="15" t="s">
        <v>1076</v>
      </c>
      <c r="C2430" s="19" t="s">
        <v>10</v>
      </c>
      <c r="D2430" s="20">
        <v>240365409</v>
      </c>
      <c r="E2430" s="21">
        <v>45627</v>
      </c>
      <c r="F2430" s="18">
        <f>MONTH(Data!$E2430)</f>
        <v>12</v>
      </c>
      <c r="G2430" s="16">
        <f>YEAR(Data!$E2430)</f>
        <v>2024</v>
      </c>
      <c r="H2430" s="19" t="s">
        <v>25</v>
      </c>
      <c r="I2430" s="15" t="str">
        <f t="shared" si="37"/>
        <v>Doanh nghiệp</v>
      </c>
      <c r="J2430" s="15" t="s">
        <v>1285</v>
      </c>
      <c r="K2430" s="19" t="s">
        <v>1263</v>
      </c>
      <c r="L2430" s="32">
        <f>Data!$D2430/10^6</f>
        <v>240.365409</v>
      </c>
    </row>
    <row r="2431" spans="1:12" x14ac:dyDescent="0.25">
      <c r="A2431" s="30" t="s">
        <v>52</v>
      </c>
      <c r="B2431" s="15" t="s">
        <v>1082</v>
      </c>
      <c r="C2431" s="19" t="s">
        <v>14</v>
      </c>
      <c r="D2431" s="20">
        <v>270273400</v>
      </c>
      <c r="E2431" s="21">
        <v>45627</v>
      </c>
      <c r="F2431" s="18">
        <f>MONTH(Data!$E2431)</f>
        <v>12</v>
      </c>
      <c r="G2431" s="16">
        <f>YEAR(Data!$E2431)</f>
        <v>2024</v>
      </c>
      <c r="H2431" s="19" t="s">
        <v>35</v>
      </c>
      <c r="I2431" s="15" t="str">
        <f t="shared" si="37"/>
        <v>Doanh nghiệp</v>
      </c>
      <c r="J2431" s="15" t="s">
        <v>1284</v>
      </c>
      <c r="K2431" s="19" t="s">
        <v>1266</v>
      </c>
      <c r="L2431" s="32">
        <f>Data!$D2431/10^6</f>
        <v>270.27339999999998</v>
      </c>
    </row>
    <row r="2432" spans="1:12" x14ac:dyDescent="0.25">
      <c r="A2432" s="30" t="s">
        <v>72</v>
      </c>
      <c r="B2432" s="15" t="s">
        <v>1087</v>
      </c>
      <c r="C2432" s="19" t="s">
        <v>10</v>
      </c>
      <c r="D2432" s="20">
        <v>73050000</v>
      </c>
      <c r="E2432" s="21">
        <v>45627</v>
      </c>
      <c r="F2432" s="18">
        <f>MONTH(Data!$E2432)</f>
        <v>12</v>
      </c>
      <c r="G2432" s="16">
        <f>YEAR(Data!$E2432)</f>
        <v>2024</v>
      </c>
      <c r="H2432" s="19" t="s">
        <v>22</v>
      </c>
      <c r="I2432" s="15" t="str">
        <f t="shared" si="37"/>
        <v>Doanh nghiệp</v>
      </c>
      <c r="J2432" s="15" t="s">
        <v>1285</v>
      </c>
      <c r="K2432" s="19" t="s">
        <v>1262</v>
      </c>
      <c r="L2432" s="32">
        <f>Data!$D2432/10^6</f>
        <v>73.05</v>
      </c>
    </row>
    <row r="2433" spans="1:12" x14ac:dyDescent="0.25">
      <c r="A2433" s="30" t="s">
        <v>85</v>
      </c>
      <c r="B2433" s="15" t="s">
        <v>1088</v>
      </c>
      <c r="C2433" s="19" t="s">
        <v>10</v>
      </c>
      <c r="D2433" s="20">
        <v>38761391</v>
      </c>
      <c r="E2433" s="21">
        <v>45627</v>
      </c>
      <c r="F2433" s="18">
        <f>MONTH(Data!$E2433)</f>
        <v>12</v>
      </c>
      <c r="G2433" s="16">
        <f>YEAR(Data!$E2433)</f>
        <v>2024</v>
      </c>
      <c r="H2433" s="19" t="s">
        <v>15</v>
      </c>
      <c r="I2433" s="15" t="str">
        <f t="shared" si="37"/>
        <v>Doanh nghiệp</v>
      </c>
      <c r="J2433" s="15" t="s">
        <v>1284</v>
      </c>
      <c r="K2433" s="19" t="s">
        <v>1263</v>
      </c>
      <c r="L2433" s="32">
        <f>Data!$D2433/10^6</f>
        <v>38.761391000000003</v>
      </c>
    </row>
    <row r="2434" spans="1:12" x14ac:dyDescent="0.25">
      <c r="A2434" s="30" t="s">
        <v>102</v>
      </c>
      <c r="B2434" s="15" t="s">
        <v>1096</v>
      </c>
      <c r="C2434" s="19" t="s">
        <v>10</v>
      </c>
      <c r="D2434" s="20">
        <v>33632727</v>
      </c>
      <c r="E2434" s="21">
        <v>45627</v>
      </c>
      <c r="F2434" s="18">
        <f>MONTH(Data!$E2434)</f>
        <v>12</v>
      </c>
      <c r="G2434" s="16">
        <f>YEAR(Data!$E2434)</f>
        <v>2024</v>
      </c>
      <c r="H2434" s="19" t="s">
        <v>22</v>
      </c>
      <c r="I2434" s="15" t="str">
        <f t="shared" si="37"/>
        <v>Doanh nghiệp</v>
      </c>
      <c r="J2434" s="15" t="s">
        <v>1285</v>
      </c>
      <c r="K2434" s="19" t="s">
        <v>1263</v>
      </c>
      <c r="L2434" s="32">
        <f>Data!$D2434/10^6</f>
        <v>33.632727000000003</v>
      </c>
    </row>
    <row r="2435" spans="1:12" x14ac:dyDescent="0.25">
      <c r="A2435" s="30" t="s">
        <v>30</v>
      </c>
      <c r="B2435" s="15" t="s">
        <v>1101</v>
      </c>
      <c r="C2435" s="19" t="s">
        <v>14</v>
      </c>
      <c r="D2435" s="20">
        <v>31970000</v>
      </c>
      <c r="E2435" s="21">
        <v>45627</v>
      </c>
      <c r="F2435" s="18">
        <f>MONTH(Data!$E2435)</f>
        <v>12</v>
      </c>
      <c r="G2435" s="16">
        <f>YEAR(Data!$E2435)</f>
        <v>2024</v>
      </c>
      <c r="H2435" s="19" t="s">
        <v>32</v>
      </c>
      <c r="I2435" s="15" t="str">
        <f t="shared" ref="I2435:I2498" si="38">IF(ISNUMBER(SEARCH("Công ty",$B2435)),"Doanh nghiệp",IF(ISNUMBER(SEARCH("Doanh nghiệp",$B2435)),"Doanh nghiệp",IF(ISNUMBER(SEARCH("Tập đoàn",$B2435)),"Doanh nghiệp",
IF(ISNUMBER(SEARCH("Bệnh viện",$B2435)),"Bệnh viện",
IF(ISNUMBER(SEARCH("Ngân hàng",$B2435)),"Ngân hàng",IF(ISNUMBER(SEARCH("trường",$B2435)),"Trường học",IF(ISNUMBER(SEARCH("học viện",$B2435)),"Trường học",
IF(ISNUMBER(SEARCH("Bộ",$B2435)),"Sở ban ngành",IF(ISNUMBER(SEARCH("Đoàn",$B2435)),"Sở ban ngành",IF(ISNUMBER(SEARCH("Phòng",$B2435)),"Sở ban ngành",IF(ISNUMBER(SEARCH("UBND",$B2435)),"Sở ban ngành",IF(ISNUMBER(SEARCH("ủy ban",$B2435)),"Sở ban ngành",IF(ISNUMBER(SEARCH("công an",$B2435)),"Sở ban ngành",IF(ISNUMBER(SEARCH("sở",$B2435)),"Sở ban ngành",IF(ISNUMBER(SEARCH("thôn",$B2435)),"Sở ban ngành",IF(ISNUMBER(SEARCH("xã",$B2435)),"Sở ban ngành",IF(ISNUMBER(SEARCH("quân khu",$B2435)),"Sở ban ngành",IF(ISNUMBER(SEARCH("cục",$B2435)),"Sở ban ngành",IF(ISNUMBER(SEARCH("viện",$B2435)),"Sở ban ngành",IF(ISNUMBER(SEARCH("quỹ",$B2435)),"Sở ban ngành",IF(ISNUMBER(SEARCH("trung tâm",$B2435)),"Sở ban ngành",IF(ISNUMBER(SEARCH("quân chủng",$B2435)),"Sở ban ngành",IF(ISNUMBER(SEARCH("hội",$B2435)),"Sở ban ngành",
"Khác")))))))))))))))))))))))</f>
        <v>Doanh nghiệp</v>
      </c>
      <c r="J2435" s="15" t="s">
        <v>1284</v>
      </c>
      <c r="K2435" s="19" t="s">
        <v>1275</v>
      </c>
      <c r="L2435" s="32">
        <f>Data!$D2435/10^6</f>
        <v>31.97</v>
      </c>
    </row>
    <row r="2436" spans="1:12" x14ac:dyDescent="0.25">
      <c r="A2436" s="30" t="s">
        <v>151</v>
      </c>
      <c r="B2436" s="15" t="s">
        <v>1105</v>
      </c>
      <c r="C2436" s="19" t="s">
        <v>46</v>
      </c>
      <c r="D2436" s="20">
        <v>238680000</v>
      </c>
      <c r="E2436" s="21">
        <v>45627</v>
      </c>
      <c r="F2436" s="18">
        <f>MONTH(Data!$E2436)</f>
        <v>12</v>
      </c>
      <c r="G2436" s="16">
        <f>YEAR(Data!$E2436)</f>
        <v>2024</v>
      </c>
      <c r="H2436" s="19" t="s">
        <v>15</v>
      </c>
      <c r="I2436" s="15" t="str">
        <f t="shared" si="38"/>
        <v>Doanh nghiệp</v>
      </c>
      <c r="J2436" s="15" t="s">
        <v>1285</v>
      </c>
      <c r="K2436" s="19" t="s">
        <v>1265</v>
      </c>
      <c r="L2436" s="32">
        <f>Data!$D2436/10^6</f>
        <v>238.68</v>
      </c>
    </row>
    <row r="2437" spans="1:12" x14ac:dyDescent="0.25">
      <c r="A2437" s="30" t="s">
        <v>191</v>
      </c>
      <c r="B2437" s="15" t="s">
        <v>1029</v>
      </c>
      <c r="C2437" s="19" t="s">
        <v>10</v>
      </c>
      <c r="D2437" s="20">
        <v>223634618</v>
      </c>
      <c r="E2437" s="21">
        <v>45627</v>
      </c>
      <c r="F2437" s="18">
        <f>MONTH(Data!$E2437)</f>
        <v>12</v>
      </c>
      <c r="G2437" s="16">
        <f>YEAR(Data!$E2437)</f>
        <v>2024</v>
      </c>
      <c r="H2437" s="19" t="s">
        <v>35</v>
      </c>
      <c r="I2437" s="15" t="str">
        <f t="shared" si="38"/>
        <v>Doanh nghiệp</v>
      </c>
      <c r="J2437" s="15" t="s">
        <v>1284</v>
      </c>
      <c r="K2437" s="19" t="s">
        <v>1263</v>
      </c>
      <c r="L2437" s="32">
        <f>Data!$D2437/10^6</f>
        <v>223.63461799999999</v>
      </c>
    </row>
    <row r="2438" spans="1:12" x14ac:dyDescent="0.25">
      <c r="A2438" s="30" t="s">
        <v>52</v>
      </c>
      <c r="B2438" s="15" t="s">
        <v>1057</v>
      </c>
      <c r="C2438" s="19" t="s">
        <v>149</v>
      </c>
      <c r="D2438" s="20">
        <v>207949091</v>
      </c>
      <c r="E2438" s="21">
        <v>45627</v>
      </c>
      <c r="F2438" s="18">
        <f>MONTH(Data!$E2438)</f>
        <v>12</v>
      </c>
      <c r="G2438" s="16">
        <f>YEAR(Data!$E2438)</f>
        <v>2024</v>
      </c>
      <c r="H2438" s="19" t="s">
        <v>35</v>
      </c>
      <c r="I2438" s="15" t="str">
        <f t="shared" si="38"/>
        <v>Doanh nghiệp</v>
      </c>
      <c r="J2438" s="15" t="s">
        <v>1285</v>
      </c>
      <c r="K2438" s="19" t="s">
        <v>1264</v>
      </c>
      <c r="L2438" s="32">
        <f>Data!$D2438/10^6</f>
        <v>207.94909100000001</v>
      </c>
    </row>
    <row r="2439" spans="1:12" x14ac:dyDescent="0.25">
      <c r="A2439" s="30" t="s">
        <v>116</v>
      </c>
      <c r="B2439" s="15" t="s">
        <v>1070</v>
      </c>
      <c r="C2439" s="19" t="s">
        <v>10</v>
      </c>
      <c r="D2439" s="20">
        <v>15930000</v>
      </c>
      <c r="E2439" s="21">
        <v>45627</v>
      </c>
      <c r="F2439" s="18">
        <f>MONTH(Data!$E2439)</f>
        <v>12</v>
      </c>
      <c r="G2439" s="16">
        <f>YEAR(Data!$E2439)</f>
        <v>2024</v>
      </c>
      <c r="H2439" s="19" t="s">
        <v>15</v>
      </c>
      <c r="I2439" s="15" t="str">
        <f t="shared" si="38"/>
        <v>Doanh nghiệp</v>
      </c>
      <c r="J2439" s="15" t="s">
        <v>1284</v>
      </c>
      <c r="K2439" s="19" t="s">
        <v>1263</v>
      </c>
      <c r="L2439" s="32">
        <f>Data!$D2439/10^6</f>
        <v>15.93</v>
      </c>
    </row>
    <row r="2440" spans="1:12" x14ac:dyDescent="0.25">
      <c r="A2440" s="30" t="s">
        <v>30</v>
      </c>
      <c r="B2440" s="15" t="s">
        <v>1072</v>
      </c>
      <c r="C2440" s="19" t="s">
        <v>46</v>
      </c>
      <c r="D2440" s="20">
        <v>95101278</v>
      </c>
      <c r="E2440" s="21">
        <v>45627</v>
      </c>
      <c r="F2440" s="18">
        <f>MONTH(Data!$E2440)</f>
        <v>12</v>
      </c>
      <c r="G2440" s="16">
        <f>YEAR(Data!$E2440)</f>
        <v>2024</v>
      </c>
      <c r="H2440" s="19" t="s">
        <v>32</v>
      </c>
      <c r="I2440" s="15" t="str">
        <f t="shared" si="38"/>
        <v>Doanh nghiệp</v>
      </c>
      <c r="J2440" s="15" t="s">
        <v>1285</v>
      </c>
      <c r="K2440" s="19" t="s">
        <v>1265</v>
      </c>
      <c r="L2440" s="32">
        <f>Data!$D2440/10^6</f>
        <v>95.101277999999994</v>
      </c>
    </row>
    <row r="2441" spans="1:12" x14ac:dyDescent="0.25">
      <c r="A2441" s="30" t="s">
        <v>85</v>
      </c>
      <c r="B2441" s="15" t="s">
        <v>1083</v>
      </c>
      <c r="C2441" s="19" t="s">
        <v>10</v>
      </c>
      <c r="D2441" s="20">
        <v>20972727</v>
      </c>
      <c r="E2441" s="21">
        <v>45627</v>
      </c>
      <c r="F2441" s="18">
        <f>MONTH(Data!$E2441)</f>
        <v>12</v>
      </c>
      <c r="G2441" s="16">
        <f>YEAR(Data!$E2441)</f>
        <v>2024</v>
      </c>
      <c r="H2441" s="19" t="s">
        <v>15</v>
      </c>
      <c r="I2441" s="15" t="str">
        <f t="shared" si="38"/>
        <v>Doanh nghiệp</v>
      </c>
      <c r="J2441" s="15" t="s">
        <v>1284</v>
      </c>
      <c r="K2441" s="19" t="s">
        <v>1263</v>
      </c>
      <c r="L2441" s="32">
        <f>Data!$D2441/10^6</f>
        <v>20.972726999999999</v>
      </c>
    </row>
    <row r="2442" spans="1:12" x14ac:dyDescent="0.25">
      <c r="A2442" s="30" t="s">
        <v>92</v>
      </c>
      <c r="B2442" s="15" t="s">
        <v>1093</v>
      </c>
      <c r="C2442" s="19" t="s">
        <v>46</v>
      </c>
      <c r="D2442" s="20">
        <v>236363636</v>
      </c>
      <c r="E2442" s="21">
        <v>45627</v>
      </c>
      <c r="F2442" s="18">
        <f>MONTH(Data!$E2442)</f>
        <v>12</v>
      </c>
      <c r="G2442" s="16">
        <f>YEAR(Data!$E2442)</f>
        <v>2024</v>
      </c>
      <c r="H2442" s="19" t="s">
        <v>29</v>
      </c>
      <c r="I2442" s="15" t="str">
        <f t="shared" si="38"/>
        <v>Doanh nghiệp</v>
      </c>
      <c r="J2442" s="15" t="s">
        <v>1285</v>
      </c>
      <c r="K2442" s="19" t="s">
        <v>1271</v>
      </c>
      <c r="L2442" s="32">
        <f>Data!$D2442/10^6</f>
        <v>236.36363600000001</v>
      </c>
    </row>
    <row r="2443" spans="1:12" x14ac:dyDescent="0.25">
      <c r="A2443" s="30" t="s">
        <v>191</v>
      </c>
      <c r="B2443" s="15" t="s">
        <v>1111</v>
      </c>
      <c r="C2443" s="19" t="s">
        <v>46</v>
      </c>
      <c r="D2443" s="20">
        <v>3494664000</v>
      </c>
      <c r="E2443" s="21">
        <v>45627</v>
      </c>
      <c r="F2443" s="18">
        <f>MONTH(Data!$E2443)</f>
        <v>12</v>
      </c>
      <c r="G2443" s="16">
        <f>YEAR(Data!$E2443)</f>
        <v>2024</v>
      </c>
      <c r="H2443" s="19" t="s">
        <v>35</v>
      </c>
      <c r="I2443" s="15" t="str">
        <f t="shared" si="38"/>
        <v>Doanh nghiệp</v>
      </c>
      <c r="J2443" s="15" t="s">
        <v>1284</v>
      </c>
      <c r="K2443" s="19" t="s">
        <v>1265</v>
      </c>
      <c r="L2443" s="32">
        <f>Data!$D2443/10^6</f>
        <v>3494.6640000000002</v>
      </c>
    </row>
    <row r="2444" spans="1:12" x14ac:dyDescent="0.25">
      <c r="A2444" s="30" t="s">
        <v>146</v>
      </c>
      <c r="B2444" s="15" t="s">
        <v>1120</v>
      </c>
      <c r="C2444" s="19" t="s">
        <v>46</v>
      </c>
      <c r="D2444" s="20">
        <v>450000000</v>
      </c>
      <c r="E2444" s="21">
        <v>45627</v>
      </c>
      <c r="F2444" s="18">
        <f>MONTH(Data!$E2444)</f>
        <v>12</v>
      </c>
      <c r="G2444" s="16">
        <f>YEAR(Data!$E2444)</f>
        <v>2024</v>
      </c>
      <c r="H2444" s="19" t="s">
        <v>32</v>
      </c>
      <c r="I2444" s="15" t="str">
        <f t="shared" si="38"/>
        <v>Doanh nghiệp</v>
      </c>
      <c r="J2444" s="15" t="s">
        <v>1285</v>
      </c>
      <c r="K2444" s="19" t="s">
        <v>1265</v>
      </c>
      <c r="L2444" s="32">
        <f>Data!$D2444/10^6</f>
        <v>450</v>
      </c>
    </row>
    <row r="2445" spans="1:12" x14ac:dyDescent="0.25">
      <c r="A2445" s="30" t="s">
        <v>98</v>
      </c>
      <c r="B2445" s="15" t="s">
        <v>1108</v>
      </c>
      <c r="C2445" s="19" t="s">
        <v>14</v>
      </c>
      <c r="D2445" s="20">
        <v>7480000</v>
      </c>
      <c r="E2445" s="21">
        <v>45627</v>
      </c>
      <c r="F2445" s="18">
        <f>MONTH(Data!$E2445)</f>
        <v>12</v>
      </c>
      <c r="G2445" s="16">
        <f>YEAR(Data!$E2445)</f>
        <v>2024</v>
      </c>
      <c r="H2445" s="19" t="s">
        <v>11</v>
      </c>
      <c r="I2445" s="15" t="str">
        <f t="shared" si="38"/>
        <v>Doanh nghiệp</v>
      </c>
      <c r="J2445" s="15" t="s">
        <v>1284</v>
      </c>
      <c r="K2445" s="19" t="s">
        <v>1272</v>
      </c>
      <c r="L2445" s="32">
        <f>Data!$D2445/10^6</f>
        <v>7.48</v>
      </c>
    </row>
    <row r="2446" spans="1:12" x14ac:dyDescent="0.25">
      <c r="A2446" s="30" t="s">
        <v>23</v>
      </c>
      <c r="B2446" s="15" t="s">
        <v>1122</v>
      </c>
      <c r="C2446" s="19" t="s">
        <v>41</v>
      </c>
      <c r="D2446" s="20">
        <v>89492727</v>
      </c>
      <c r="E2446" s="21">
        <v>45627</v>
      </c>
      <c r="F2446" s="18">
        <f>MONTH(Data!$E2446)</f>
        <v>12</v>
      </c>
      <c r="G2446" s="16">
        <f>YEAR(Data!$E2446)</f>
        <v>2024</v>
      </c>
      <c r="H2446" s="19" t="s">
        <v>25</v>
      </c>
      <c r="I2446" s="15" t="str">
        <f t="shared" si="38"/>
        <v>Doanh nghiệp</v>
      </c>
      <c r="J2446" s="15" t="s">
        <v>1285</v>
      </c>
      <c r="K2446" s="19" t="s">
        <v>1269</v>
      </c>
      <c r="L2446" s="32">
        <f>Data!$D2446/10^6</f>
        <v>89.492727000000002</v>
      </c>
    </row>
    <row r="2447" spans="1:12" x14ac:dyDescent="0.25">
      <c r="A2447" s="30" t="s">
        <v>78</v>
      </c>
      <c r="B2447" s="15" t="s">
        <v>1114</v>
      </c>
      <c r="C2447" s="19" t="s">
        <v>41</v>
      </c>
      <c r="D2447" s="20">
        <v>192531000</v>
      </c>
      <c r="E2447" s="21">
        <v>45627</v>
      </c>
      <c r="F2447" s="18">
        <f>MONTH(Data!$E2447)</f>
        <v>12</v>
      </c>
      <c r="G2447" s="16">
        <f>YEAR(Data!$E2447)</f>
        <v>2024</v>
      </c>
      <c r="H2447" s="19" t="s">
        <v>15</v>
      </c>
      <c r="I2447" s="15" t="str">
        <f t="shared" si="38"/>
        <v>Doanh nghiệp</v>
      </c>
      <c r="J2447" s="15" t="s">
        <v>1284</v>
      </c>
      <c r="K2447" s="19" t="s">
        <v>1269</v>
      </c>
      <c r="L2447" s="32">
        <f>Data!$D2447/10^6</f>
        <v>192.53100000000001</v>
      </c>
    </row>
    <row r="2448" spans="1:12" x14ac:dyDescent="0.25">
      <c r="A2448" s="30" t="s">
        <v>111</v>
      </c>
      <c r="B2448" s="15" t="s">
        <v>1117</v>
      </c>
      <c r="C2448" s="19" t="s">
        <v>46</v>
      </c>
      <c r="D2448" s="20">
        <v>308439091</v>
      </c>
      <c r="E2448" s="21">
        <v>45627</v>
      </c>
      <c r="F2448" s="18">
        <f>MONTH(Data!$E2448)</f>
        <v>12</v>
      </c>
      <c r="G2448" s="16">
        <f>YEAR(Data!$E2448)</f>
        <v>2024</v>
      </c>
      <c r="H2448" s="19" t="s">
        <v>22</v>
      </c>
      <c r="I2448" s="15" t="str">
        <f t="shared" si="38"/>
        <v>Doanh nghiệp</v>
      </c>
      <c r="J2448" s="15" t="s">
        <v>1285</v>
      </c>
      <c r="K2448" s="19" t="s">
        <v>1271</v>
      </c>
      <c r="L2448" s="32">
        <f>Data!$D2448/10^6</f>
        <v>308.43909100000002</v>
      </c>
    </row>
    <row r="2449" spans="1:12" x14ac:dyDescent="0.25">
      <c r="A2449" s="30" t="s">
        <v>8</v>
      </c>
      <c r="B2449" s="15" t="s">
        <v>1123</v>
      </c>
      <c r="C2449" s="19" t="s">
        <v>10</v>
      </c>
      <c r="D2449" s="20">
        <v>208621587</v>
      </c>
      <c r="E2449" s="21">
        <v>45627</v>
      </c>
      <c r="F2449" s="18">
        <f>MONTH(Data!$E2449)</f>
        <v>12</v>
      </c>
      <c r="G2449" s="16">
        <f>YEAR(Data!$E2449)</f>
        <v>2024</v>
      </c>
      <c r="H2449" s="19" t="s">
        <v>11</v>
      </c>
      <c r="I2449" s="15" t="str">
        <f t="shared" si="38"/>
        <v>Doanh nghiệp</v>
      </c>
      <c r="J2449" s="15" t="s">
        <v>1284</v>
      </c>
      <c r="K2449" s="19" t="s">
        <v>1263</v>
      </c>
      <c r="L2449" s="32">
        <f>Data!$D2449/10^6</f>
        <v>208.62158700000001</v>
      </c>
    </row>
    <row r="2450" spans="1:12" x14ac:dyDescent="0.25">
      <c r="A2450" s="30" t="s">
        <v>52</v>
      </c>
      <c r="B2450" s="15" t="s">
        <v>1119</v>
      </c>
      <c r="C2450" s="19" t="s">
        <v>10</v>
      </c>
      <c r="D2450" s="20">
        <v>270981818</v>
      </c>
      <c r="E2450" s="21">
        <v>45627</v>
      </c>
      <c r="F2450" s="18">
        <f>MONTH(Data!$E2450)</f>
        <v>12</v>
      </c>
      <c r="G2450" s="16">
        <f>YEAR(Data!$E2450)</f>
        <v>2024</v>
      </c>
      <c r="H2450" s="19" t="s">
        <v>35</v>
      </c>
      <c r="I2450" s="15" t="str">
        <f t="shared" si="38"/>
        <v>Doanh nghiệp</v>
      </c>
      <c r="J2450" s="15" t="s">
        <v>1285</v>
      </c>
      <c r="K2450" s="19" t="s">
        <v>1276</v>
      </c>
      <c r="L2450" s="32">
        <f>Data!$D2450/10^6</f>
        <v>270.98181799999998</v>
      </c>
    </row>
    <row r="2451" spans="1:12" x14ac:dyDescent="0.25">
      <c r="A2451" s="30" t="s">
        <v>52</v>
      </c>
      <c r="B2451" s="15" t="s">
        <v>1120</v>
      </c>
      <c r="C2451" s="19" t="s">
        <v>10</v>
      </c>
      <c r="D2451" s="20">
        <v>204600000</v>
      </c>
      <c r="E2451" s="21">
        <v>45627</v>
      </c>
      <c r="F2451" s="18">
        <f>MONTH(Data!$E2451)</f>
        <v>12</v>
      </c>
      <c r="G2451" s="16">
        <f>YEAR(Data!$E2451)</f>
        <v>2024</v>
      </c>
      <c r="H2451" s="19" t="s">
        <v>35</v>
      </c>
      <c r="I2451" s="15" t="str">
        <f t="shared" si="38"/>
        <v>Doanh nghiệp</v>
      </c>
      <c r="J2451" s="15" t="s">
        <v>1284</v>
      </c>
      <c r="K2451" s="19" t="s">
        <v>1276</v>
      </c>
      <c r="L2451" s="32">
        <f>Data!$D2451/10^6</f>
        <v>204.6</v>
      </c>
    </row>
    <row r="2452" spans="1:12" x14ac:dyDescent="0.25">
      <c r="A2452" s="30" t="s">
        <v>52</v>
      </c>
      <c r="B2452" s="15" t="s">
        <v>1121</v>
      </c>
      <c r="C2452" s="19" t="s">
        <v>10</v>
      </c>
      <c r="D2452" s="20">
        <v>320063636</v>
      </c>
      <c r="E2452" s="21">
        <v>45627</v>
      </c>
      <c r="F2452" s="18">
        <f>MONTH(Data!$E2452)</f>
        <v>12</v>
      </c>
      <c r="G2452" s="16">
        <f>YEAR(Data!$E2452)</f>
        <v>2024</v>
      </c>
      <c r="H2452" s="19" t="s">
        <v>35</v>
      </c>
      <c r="I2452" s="15" t="str">
        <f t="shared" si="38"/>
        <v>Doanh nghiệp</v>
      </c>
      <c r="J2452" s="15" t="s">
        <v>1285</v>
      </c>
      <c r="K2452" s="19" t="s">
        <v>1267</v>
      </c>
      <c r="L2452" s="32">
        <f>Data!$D2452/10^6</f>
        <v>320.06363599999997</v>
      </c>
    </row>
    <row r="2453" spans="1:12" x14ac:dyDescent="0.25">
      <c r="A2453" s="30" t="s">
        <v>111</v>
      </c>
      <c r="B2453" s="15" t="s">
        <v>1141</v>
      </c>
      <c r="C2453" s="19" t="s">
        <v>10</v>
      </c>
      <c r="D2453" s="20">
        <v>357272727</v>
      </c>
      <c r="E2453" s="21">
        <v>45627</v>
      </c>
      <c r="F2453" s="18">
        <f>MONTH(Data!$E2453)</f>
        <v>12</v>
      </c>
      <c r="G2453" s="16">
        <f>YEAR(Data!$E2453)</f>
        <v>2024</v>
      </c>
      <c r="H2453" s="19" t="s">
        <v>22</v>
      </c>
      <c r="I2453" s="15" t="str">
        <f t="shared" si="38"/>
        <v>Doanh nghiệp</v>
      </c>
      <c r="J2453" s="15" t="s">
        <v>1284</v>
      </c>
      <c r="K2453" s="19" t="s">
        <v>1276</v>
      </c>
      <c r="L2453" s="32">
        <f>Data!$D2453/10^6</f>
        <v>357.27272699999997</v>
      </c>
    </row>
    <row r="2454" spans="1:12" x14ac:dyDescent="0.25">
      <c r="A2454" s="30" t="s">
        <v>98</v>
      </c>
      <c r="B2454" s="15" t="s">
        <v>1154</v>
      </c>
      <c r="C2454" s="19" t="s">
        <v>46</v>
      </c>
      <c r="D2454" s="20">
        <v>160909091</v>
      </c>
      <c r="E2454" s="21">
        <v>45627</v>
      </c>
      <c r="F2454" s="18">
        <f>MONTH(Data!$E2454)</f>
        <v>12</v>
      </c>
      <c r="G2454" s="16">
        <f>YEAR(Data!$E2454)</f>
        <v>2024</v>
      </c>
      <c r="H2454" s="19" t="s">
        <v>11</v>
      </c>
      <c r="I2454" s="15" t="str">
        <f t="shared" si="38"/>
        <v>Doanh nghiệp</v>
      </c>
      <c r="J2454" s="15" t="s">
        <v>1285</v>
      </c>
      <c r="K2454" s="19" t="s">
        <v>1265</v>
      </c>
      <c r="L2454" s="32">
        <f>Data!$D2454/10^6</f>
        <v>160.90909099999999</v>
      </c>
    </row>
    <row r="2455" spans="1:12" x14ac:dyDescent="0.25">
      <c r="A2455" s="30" t="s">
        <v>98</v>
      </c>
      <c r="B2455" s="15" t="s">
        <v>1151</v>
      </c>
      <c r="C2455" s="19" t="s">
        <v>149</v>
      </c>
      <c r="D2455" s="20">
        <v>106363636</v>
      </c>
      <c r="E2455" s="21">
        <v>45627</v>
      </c>
      <c r="F2455" s="18">
        <f>MONTH(Data!$E2455)</f>
        <v>12</v>
      </c>
      <c r="G2455" s="16">
        <f>YEAR(Data!$E2455)</f>
        <v>2024</v>
      </c>
      <c r="H2455" s="19" t="s">
        <v>11</v>
      </c>
      <c r="I2455" s="15" t="str">
        <f t="shared" si="38"/>
        <v>Doanh nghiệp</v>
      </c>
      <c r="J2455" s="15" t="s">
        <v>1284</v>
      </c>
      <c r="K2455" s="19" t="s">
        <v>1265</v>
      </c>
      <c r="L2455" s="32">
        <f>Data!$D2455/10^6</f>
        <v>106.363636</v>
      </c>
    </row>
    <row r="2456" spans="1:12" x14ac:dyDescent="0.25">
      <c r="A2456" s="30" t="s">
        <v>47</v>
      </c>
      <c r="B2456" s="15" t="s">
        <v>1132</v>
      </c>
      <c r="C2456" s="19" t="s">
        <v>46</v>
      </c>
      <c r="D2456" s="20">
        <v>228327273</v>
      </c>
      <c r="E2456" s="21">
        <v>45627</v>
      </c>
      <c r="F2456" s="18">
        <f>MONTH(Data!$E2456)</f>
        <v>12</v>
      </c>
      <c r="G2456" s="16">
        <f>YEAR(Data!$E2456)</f>
        <v>2024</v>
      </c>
      <c r="H2456" s="19" t="s">
        <v>29</v>
      </c>
      <c r="I2456" s="15" t="str">
        <f t="shared" si="38"/>
        <v>Doanh nghiệp</v>
      </c>
      <c r="J2456" s="15" t="s">
        <v>1285</v>
      </c>
      <c r="K2456" s="19" t="s">
        <v>1271</v>
      </c>
      <c r="L2456" s="32">
        <f>Data!$D2456/10^6</f>
        <v>228.32727299999999</v>
      </c>
    </row>
    <row r="2457" spans="1:12" x14ac:dyDescent="0.25">
      <c r="A2457" s="30" t="s">
        <v>52</v>
      </c>
      <c r="B2457" s="15" t="s">
        <v>1135</v>
      </c>
      <c r="C2457" s="19" t="s">
        <v>10</v>
      </c>
      <c r="D2457" s="20">
        <v>31473000</v>
      </c>
      <c r="E2457" s="21">
        <v>45627</v>
      </c>
      <c r="F2457" s="18">
        <f>MONTH(Data!$E2457)</f>
        <v>12</v>
      </c>
      <c r="G2457" s="16">
        <f>YEAR(Data!$E2457)</f>
        <v>2024</v>
      </c>
      <c r="H2457" s="19" t="s">
        <v>35</v>
      </c>
      <c r="I2457" s="15" t="str">
        <f t="shared" si="38"/>
        <v>Doanh nghiệp</v>
      </c>
      <c r="J2457" s="15" t="s">
        <v>1284</v>
      </c>
      <c r="K2457" s="19" t="s">
        <v>1263</v>
      </c>
      <c r="L2457" s="32">
        <f>Data!$D2457/10^6</f>
        <v>31.472999999999999</v>
      </c>
    </row>
    <row r="2458" spans="1:12" x14ac:dyDescent="0.25">
      <c r="A2458" s="30" t="s">
        <v>111</v>
      </c>
      <c r="B2458" s="15" t="s">
        <v>1142</v>
      </c>
      <c r="C2458" s="19" t="s">
        <v>46</v>
      </c>
      <c r="D2458" s="20">
        <v>96363636</v>
      </c>
      <c r="E2458" s="21">
        <v>45627</v>
      </c>
      <c r="F2458" s="18">
        <f>MONTH(Data!$E2458)</f>
        <v>12</v>
      </c>
      <c r="G2458" s="16">
        <f>YEAR(Data!$E2458)</f>
        <v>2024</v>
      </c>
      <c r="H2458" s="19" t="s">
        <v>22</v>
      </c>
      <c r="I2458" s="15" t="str">
        <f t="shared" si="38"/>
        <v>Doanh nghiệp</v>
      </c>
      <c r="J2458" s="15" t="s">
        <v>1285</v>
      </c>
      <c r="K2458" s="19" t="s">
        <v>1265</v>
      </c>
      <c r="L2458" s="32">
        <f>Data!$D2458/10^6</f>
        <v>96.363636</v>
      </c>
    </row>
    <row r="2459" spans="1:12" x14ac:dyDescent="0.25">
      <c r="A2459" s="30" t="s">
        <v>73</v>
      </c>
      <c r="B2459" s="15" t="s">
        <v>1146</v>
      </c>
      <c r="C2459" s="19" t="s">
        <v>46</v>
      </c>
      <c r="D2459" s="20">
        <v>54443200</v>
      </c>
      <c r="E2459" s="21">
        <v>45627</v>
      </c>
      <c r="F2459" s="18">
        <f>MONTH(Data!$E2459)</f>
        <v>12</v>
      </c>
      <c r="G2459" s="16">
        <f>YEAR(Data!$E2459)</f>
        <v>2024</v>
      </c>
      <c r="H2459" s="19" t="s">
        <v>32</v>
      </c>
      <c r="I2459" s="15" t="str">
        <f t="shared" si="38"/>
        <v>Doanh nghiệp</v>
      </c>
      <c r="J2459" s="15" t="s">
        <v>1284</v>
      </c>
      <c r="K2459" s="19" t="s">
        <v>1265</v>
      </c>
      <c r="L2459" s="32">
        <f>Data!$D2459/10^6</f>
        <v>54.443199999999997</v>
      </c>
    </row>
    <row r="2460" spans="1:12" x14ac:dyDescent="0.25">
      <c r="A2460" s="30" t="s">
        <v>116</v>
      </c>
      <c r="B2460" s="15" t="s">
        <v>1155</v>
      </c>
      <c r="C2460" s="19" t="s">
        <v>10</v>
      </c>
      <c r="D2460" s="20">
        <v>2527333000</v>
      </c>
      <c r="E2460" s="21">
        <v>45627</v>
      </c>
      <c r="F2460" s="18">
        <f>MONTH(Data!$E2460)</f>
        <v>12</v>
      </c>
      <c r="G2460" s="16">
        <f>YEAR(Data!$E2460)</f>
        <v>2024</v>
      </c>
      <c r="H2460" s="19" t="s">
        <v>15</v>
      </c>
      <c r="I2460" s="15" t="str">
        <f t="shared" si="38"/>
        <v>Doanh nghiệp</v>
      </c>
      <c r="J2460" s="15" t="s">
        <v>1285</v>
      </c>
      <c r="K2460" s="19" t="s">
        <v>1263</v>
      </c>
      <c r="L2460" s="32">
        <f>Data!$D2460/10^6</f>
        <v>2527.3330000000001</v>
      </c>
    </row>
    <row r="2461" spans="1:12" x14ac:dyDescent="0.25">
      <c r="A2461" s="30" t="s">
        <v>72</v>
      </c>
      <c r="B2461" s="15" t="s">
        <v>1125</v>
      </c>
      <c r="C2461" s="19" t="s">
        <v>10</v>
      </c>
      <c r="D2461" s="20">
        <v>771049127</v>
      </c>
      <c r="E2461" s="21">
        <v>45627</v>
      </c>
      <c r="F2461" s="18">
        <f>MONTH(Data!$E2461)</f>
        <v>12</v>
      </c>
      <c r="G2461" s="16">
        <f>YEAR(Data!$E2461)</f>
        <v>2024</v>
      </c>
      <c r="H2461" s="19" t="s">
        <v>22</v>
      </c>
      <c r="I2461" s="15" t="str">
        <f t="shared" si="38"/>
        <v>Doanh nghiệp</v>
      </c>
      <c r="J2461" s="15" t="s">
        <v>1284</v>
      </c>
      <c r="K2461" s="19" t="s">
        <v>1263</v>
      </c>
      <c r="L2461" s="32">
        <f>Data!$D2461/10^6</f>
        <v>771.049127</v>
      </c>
    </row>
    <row r="2462" spans="1:12" x14ac:dyDescent="0.25">
      <c r="A2462" s="30" t="s">
        <v>75</v>
      </c>
      <c r="B2462" s="15" t="s">
        <v>1126</v>
      </c>
      <c r="C2462" s="19" t="s">
        <v>41</v>
      </c>
      <c r="D2462" s="20">
        <v>79272727</v>
      </c>
      <c r="E2462" s="21">
        <v>45627</v>
      </c>
      <c r="F2462" s="18">
        <f>MONTH(Data!$E2462)</f>
        <v>12</v>
      </c>
      <c r="G2462" s="16">
        <f>YEAR(Data!$E2462)</f>
        <v>2024</v>
      </c>
      <c r="H2462" s="19" t="s">
        <v>15</v>
      </c>
      <c r="I2462" s="15" t="str">
        <f t="shared" si="38"/>
        <v>Doanh nghiệp</v>
      </c>
      <c r="J2462" s="15" t="s">
        <v>1285</v>
      </c>
      <c r="K2462" s="19" t="s">
        <v>1280</v>
      </c>
      <c r="L2462" s="32">
        <f>Data!$D2462/10^6</f>
        <v>79.272727000000003</v>
      </c>
    </row>
    <row r="2463" spans="1:12" x14ac:dyDescent="0.25">
      <c r="A2463" s="30" t="s">
        <v>95</v>
      </c>
      <c r="B2463" s="15" t="s">
        <v>1127</v>
      </c>
      <c r="C2463" s="19" t="s">
        <v>10</v>
      </c>
      <c r="D2463" s="20">
        <v>332865455</v>
      </c>
      <c r="E2463" s="21">
        <v>45627</v>
      </c>
      <c r="F2463" s="18">
        <f>MONTH(Data!$E2463)</f>
        <v>12</v>
      </c>
      <c r="G2463" s="16">
        <f>YEAR(Data!$E2463)</f>
        <v>2024</v>
      </c>
      <c r="H2463" s="19" t="s">
        <v>35</v>
      </c>
      <c r="I2463" s="15" t="str">
        <f t="shared" si="38"/>
        <v>Doanh nghiệp</v>
      </c>
      <c r="J2463" s="15" t="s">
        <v>1284</v>
      </c>
      <c r="K2463" s="19" t="s">
        <v>1267</v>
      </c>
      <c r="L2463" s="32">
        <f>Data!$D2463/10^6</f>
        <v>332.865455</v>
      </c>
    </row>
    <row r="2464" spans="1:12" x14ac:dyDescent="0.25">
      <c r="A2464" s="30" t="s">
        <v>13</v>
      </c>
      <c r="B2464" s="15" t="s">
        <v>1128</v>
      </c>
      <c r="C2464" s="19" t="s">
        <v>149</v>
      </c>
      <c r="D2464" s="20">
        <v>318636364</v>
      </c>
      <c r="E2464" s="21">
        <v>45627</v>
      </c>
      <c r="F2464" s="18">
        <f>MONTH(Data!$E2464)</f>
        <v>12</v>
      </c>
      <c r="G2464" s="16">
        <f>YEAR(Data!$E2464)</f>
        <v>2024</v>
      </c>
      <c r="H2464" s="19" t="s">
        <v>15</v>
      </c>
      <c r="I2464" s="15" t="str">
        <f t="shared" si="38"/>
        <v>Doanh nghiệp</v>
      </c>
      <c r="J2464" s="15" t="s">
        <v>1285</v>
      </c>
      <c r="K2464" s="19" t="s">
        <v>1268</v>
      </c>
      <c r="L2464" s="32">
        <f>Data!$D2464/10^6</f>
        <v>318.63636400000001</v>
      </c>
    </row>
    <row r="2465" spans="1:12" x14ac:dyDescent="0.25">
      <c r="A2465" s="30" t="s">
        <v>55</v>
      </c>
      <c r="B2465" s="15" t="s">
        <v>1139</v>
      </c>
      <c r="C2465" s="19" t="s">
        <v>41</v>
      </c>
      <c r="D2465" s="20">
        <v>244354545</v>
      </c>
      <c r="E2465" s="21">
        <v>45627</v>
      </c>
      <c r="F2465" s="18">
        <f>MONTH(Data!$E2465)</f>
        <v>12</v>
      </c>
      <c r="G2465" s="16">
        <f>YEAR(Data!$E2465)</f>
        <v>2024</v>
      </c>
      <c r="H2465" s="19" t="s">
        <v>15</v>
      </c>
      <c r="I2465" s="15" t="str">
        <f t="shared" si="38"/>
        <v>Doanh nghiệp</v>
      </c>
      <c r="J2465" s="15" t="s">
        <v>1284</v>
      </c>
      <c r="K2465" s="19" t="s">
        <v>1269</v>
      </c>
      <c r="L2465" s="32">
        <f>Data!$D2465/10^6</f>
        <v>244.354545</v>
      </c>
    </row>
    <row r="2466" spans="1:12" x14ac:dyDescent="0.25">
      <c r="A2466" s="30" t="s">
        <v>45</v>
      </c>
      <c r="B2466" s="15" t="s">
        <v>1141</v>
      </c>
      <c r="C2466" s="19" t="s">
        <v>46</v>
      </c>
      <c r="D2466" s="20">
        <v>62727273</v>
      </c>
      <c r="E2466" s="21">
        <v>45627</v>
      </c>
      <c r="F2466" s="18">
        <f>MONTH(Data!$E2466)</f>
        <v>12</v>
      </c>
      <c r="G2466" s="16">
        <f>YEAR(Data!$E2466)</f>
        <v>2024</v>
      </c>
      <c r="H2466" s="19" t="s">
        <v>29</v>
      </c>
      <c r="I2466" s="15" t="str">
        <f t="shared" si="38"/>
        <v>Doanh nghiệp</v>
      </c>
      <c r="J2466" s="15" t="s">
        <v>1285</v>
      </c>
      <c r="K2466" s="19" t="s">
        <v>1271</v>
      </c>
      <c r="L2466" s="32">
        <f>Data!$D2466/10^6</f>
        <v>62.727272999999997</v>
      </c>
    </row>
    <row r="2467" spans="1:12" x14ac:dyDescent="0.25">
      <c r="A2467" s="30" t="s">
        <v>13</v>
      </c>
      <c r="B2467" s="15" t="s">
        <v>1143</v>
      </c>
      <c r="C2467" s="19" t="s">
        <v>14</v>
      </c>
      <c r="D2467" s="20">
        <v>8088182</v>
      </c>
      <c r="E2467" s="21">
        <v>45627</v>
      </c>
      <c r="F2467" s="18">
        <f>MONTH(Data!$E2467)</f>
        <v>12</v>
      </c>
      <c r="G2467" s="16">
        <f>YEAR(Data!$E2467)</f>
        <v>2024</v>
      </c>
      <c r="H2467" s="19" t="s">
        <v>15</v>
      </c>
      <c r="I2467" s="15" t="str">
        <f t="shared" si="38"/>
        <v>Doanh nghiệp</v>
      </c>
      <c r="J2467" s="15" t="s">
        <v>1284</v>
      </c>
      <c r="K2467" s="19" t="s">
        <v>1264</v>
      </c>
      <c r="L2467" s="32">
        <f>Data!$D2467/10^6</f>
        <v>8.0881819999999998</v>
      </c>
    </row>
    <row r="2468" spans="1:12" x14ac:dyDescent="0.25">
      <c r="A2468" s="30" t="s">
        <v>59</v>
      </c>
      <c r="B2468" s="15" t="s">
        <v>1144</v>
      </c>
      <c r="C2468" s="19" t="s">
        <v>14</v>
      </c>
      <c r="D2468" s="20">
        <v>53365455</v>
      </c>
      <c r="E2468" s="21">
        <v>45627</v>
      </c>
      <c r="F2468" s="18">
        <f>MONTH(Data!$E2468)</f>
        <v>12</v>
      </c>
      <c r="G2468" s="16">
        <f>YEAR(Data!$E2468)</f>
        <v>2024</v>
      </c>
      <c r="H2468" s="19" t="s">
        <v>22</v>
      </c>
      <c r="I2468" s="15" t="str">
        <f t="shared" si="38"/>
        <v>Doanh nghiệp</v>
      </c>
      <c r="J2468" s="15" t="s">
        <v>1285</v>
      </c>
      <c r="K2468" s="19" t="s">
        <v>1264</v>
      </c>
      <c r="L2468" s="32">
        <f>Data!$D2468/10^6</f>
        <v>53.365454999999997</v>
      </c>
    </row>
    <row r="2469" spans="1:12" x14ac:dyDescent="0.25">
      <c r="A2469" s="30" t="s">
        <v>13</v>
      </c>
      <c r="B2469" s="15" t="s">
        <v>1145</v>
      </c>
      <c r="C2469" s="19" t="s">
        <v>14</v>
      </c>
      <c r="D2469" s="20">
        <v>40628099</v>
      </c>
      <c r="E2469" s="21">
        <v>45627</v>
      </c>
      <c r="F2469" s="18">
        <f>MONTH(Data!$E2469)</f>
        <v>12</v>
      </c>
      <c r="G2469" s="16">
        <f>YEAR(Data!$E2469)</f>
        <v>2024</v>
      </c>
      <c r="H2469" s="19" t="s">
        <v>15</v>
      </c>
      <c r="I2469" s="15" t="str">
        <f t="shared" si="38"/>
        <v>Doanh nghiệp</v>
      </c>
      <c r="J2469" s="15" t="s">
        <v>1284</v>
      </c>
      <c r="K2469" s="19" t="s">
        <v>1264</v>
      </c>
      <c r="L2469" s="32">
        <f>Data!$D2469/10^6</f>
        <v>40.628098999999999</v>
      </c>
    </row>
    <row r="2470" spans="1:12" x14ac:dyDescent="0.25">
      <c r="A2470" s="30" t="s">
        <v>74</v>
      </c>
      <c r="B2470" s="15" t="s">
        <v>1146</v>
      </c>
      <c r="C2470" s="19" t="s">
        <v>14</v>
      </c>
      <c r="D2470" s="20">
        <v>119430000</v>
      </c>
      <c r="E2470" s="21">
        <v>45627</v>
      </c>
      <c r="F2470" s="18">
        <f>MONTH(Data!$E2470)</f>
        <v>12</v>
      </c>
      <c r="G2470" s="16">
        <f>YEAR(Data!$E2470)</f>
        <v>2024</v>
      </c>
      <c r="H2470" s="19" t="s">
        <v>11</v>
      </c>
      <c r="I2470" s="15" t="str">
        <f t="shared" si="38"/>
        <v>Doanh nghiệp</v>
      </c>
      <c r="J2470" s="15" t="s">
        <v>1285</v>
      </c>
      <c r="K2470" s="19" t="s">
        <v>1264</v>
      </c>
      <c r="L2470" s="32">
        <f>Data!$D2470/10^6</f>
        <v>119.43</v>
      </c>
    </row>
    <row r="2471" spans="1:12" x14ac:dyDescent="0.25">
      <c r="A2471" s="30" t="s">
        <v>37</v>
      </c>
      <c r="B2471" s="15" t="s">
        <v>1147</v>
      </c>
      <c r="C2471" s="19" t="s">
        <v>14</v>
      </c>
      <c r="D2471" s="20">
        <v>15124909</v>
      </c>
      <c r="E2471" s="21">
        <v>45627</v>
      </c>
      <c r="F2471" s="18">
        <f>MONTH(Data!$E2471)</f>
        <v>12</v>
      </c>
      <c r="G2471" s="16">
        <f>YEAR(Data!$E2471)</f>
        <v>2024</v>
      </c>
      <c r="H2471" s="19" t="s">
        <v>11</v>
      </c>
      <c r="I2471" s="15" t="str">
        <f t="shared" si="38"/>
        <v>Doanh nghiệp</v>
      </c>
      <c r="J2471" s="15" t="s">
        <v>1284</v>
      </c>
      <c r="K2471" s="19" t="s">
        <v>1275</v>
      </c>
      <c r="L2471" s="32">
        <f>Data!$D2471/10^6</f>
        <v>15.124909000000001</v>
      </c>
    </row>
    <row r="2472" spans="1:12" x14ac:dyDescent="0.25">
      <c r="A2472" s="30" t="s">
        <v>74</v>
      </c>
      <c r="B2472" s="15" t="s">
        <v>1148</v>
      </c>
      <c r="C2472" s="19" t="s">
        <v>14</v>
      </c>
      <c r="D2472" s="20">
        <v>55363636</v>
      </c>
      <c r="E2472" s="21">
        <v>45627</v>
      </c>
      <c r="F2472" s="18">
        <f>MONTH(Data!$E2472)</f>
        <v>12</v>
      </c>
      <c r="G2472" s="16">
        <f>YEAR(Data!$E2472)</f>
        <v>2024</v>
      </c>
      <c r="H2472" s="19" t="s">
        <v>11</v>
      </c>
      <c r="I2472" s="15" t="str">
        <f t="shared" si="38"/>
        <v>Doanh nghiệp</v>
      </c>
      <c r="J2472" s="15" t="s">
        <v>1285</v>
      </c>
      <c r="K2472" s="19" t="s">
        <v>1275</v>
      </c>
      <c r="L2472" s="32">
        <f>Data!$D2472/10^6</f>
        <v>55.363636</v>
      </c>
    </row>
    <row r="2473" spans="1:12" x14ac:dyDescent="0.25">
      <c r="A2473" s="30" t="s">
        <v>146</v>
      </c>
      <c r="B2473" s="15" t="s">
        <v>1149</v>
      </c>
      <c r="C2473" s="19" t="s">
        <v>14</v>
      </c>
      <c r="D2473" s="20">
        <v>45346000</v>
      </c>
      <c r="E2473" s="21">
        <v>45627</v>
      </c>
      <c r="F2473" s="18">
        <f>MONTH(Data!$E2473)</f>
        <v>12</v>
      </c>
      <c r="G2473" s="16">
        <f>YEAR(Data!$E2473)</f>
        <v>2024</v>
      </c>
      <c r="H2473" s="19" t="s">
        <v>32</v>
      </c>
      <c r="I2473" s="15" t="str">
        <f t="shared" si="38"/>
        <v>Doanh nghiệp</v>
      </c>
      <c r="J2473" s="15" t="s">
        <v>1284</v>
      </c>
      <c r="K2473" s="19" t="s">
        <v>1275</v>
      </c>
      <c r="L2473" s="32">
        <f>Data!$D2473/10^6</f>
        <v>45.345999999999997</v>
      </c>
    </row>
    <row r="2474" spans="1:12" x14ac:dyDescent="0.25">
      <c r="A2474" s="30" t="s">
        <v>98</v>
      </c>
      <c r="B2474" s="15" t="s">
        <v>1128</v>
      </c>
      <c r="C2474" s="19" t="s">
        <v>149</v>
      </c>
      <c r="D2474" s="20">
        <v>179280000</v>
      </c>
      <c r="E2474" s="21">
        <v>45627</v>
      </c>
      <c r="F2474" s="18">
        <f>MONTH(Data!$E2474)</f>
        <v>12</v>
      </c>
      <c r="G2474" s="16">
        <f>YEAR(Data!$E2474)</f>
        <v>2024</v>
      </c>
      <c r="H2474" s="19" t="s">
        <v>11</v>
      </c>
      <c r="I2474" s="15" t="str">
        <f t="shared" si="38"/>
        <v>Doanh nghiệp</v>
      </c>
      <c r="J2474" s="15" t="s">
        <v>1285</v>
      </c>
      <c r="K2474" s="19" t="s">
        <v>1262</v>
      </c>
      <c r="L2474" s="32">
        <f>Data!$D2474/10^6</f>
        <v>179.28</v>
      </c>
    </row>
    <row r="2475" spans="1:12" x14ac:dyDescent="0.25">
      <c r="A2475" s="30" t="s">
        <v>85</v>
      </c>
      <c r="B2475" s="15" t="s">
        <v>1143</v>
      </c>
      <c r="C2475" s="19" t="s">
        <v>14</v>
      </c>
      <c r="D2475" s="20">
        <v>1812427273</v>
      </c>
      <c r="E2475" s="21">
        <v>45627</v>
      </c>
      <c r="F2475" s="18">
        <f>MONTH(Data!$E2475)</f>
        <v>12</v>
      </c>
      <c r="G2475" s="16">
        <f>YEAR(Data!$E2475)</f>
        <v>2024</v>
      </c>
      <c r="H2475" s="19" t="s">
        <v>15</v>
      </c>
      <c r="I2475" s="15" t="str">
        <f t="shared" si="38"/>
        <v>Doanh nghiệp</v>
      </c>
      <c r="J2475" s="15" t="s">
        <v>1284</v>
      </c>
      <c r="K2475" s="19" t="s">
        <v>1264</v>
      </c>
      <c r="L2475" s="32">
        <f>Data!$D2475/10^6</f>
        <v>1812.427273</v>
      </c>
    </row>
    <row r="2476" spans="1:12" x14ac:dyDescent="0.25">
      <c r="A2476" s="30" t="s">
        <v>98</v>
      </c>
      <c r="B2476" s="15" t="s">
        <v>1147</v>
      </c>
      <c r="C2476" s="19" t="s">
        <v>46</v>
      </c>
      <c r="D2476" s="20">
        <v>2182400000</v>
      </c>
      <c r="E2476" s="21">
        <v>45627</v>
      </c>
      <c r="F2476" s="18">
        <f>MONTH(Data!$E2476)</f>
        <v>12</v>
      </c>
      <c r="G2476" s="16">
        <f>YEAR(Data!$E2476)</f>
        <v>2024</v>
      </c>
      <c r="H2476" s="19" t="s">
        <v>11</v>
      </c>
      <c r="I2476" s="15" t="str">
        <f t="shared" si="38"/>
        <v>Doanh nghiệp</v>
      </c>
      <c r="J2476" s="15" t="s">
        <v>1285</v>
      </c>
      <c r="K2476" s="19" t="s">
        <v>1267</v>
      </c>
      <c r="L2476" s="32">
        <f>Data!$D2476/10^6</f>
        <v>2182.4</v>
      </c>
    </row>
    <row r="2477" spans="1:12" x14ac:dyDescent="0.25">
      <c r="A2477" s="30" t="s">
        <v>78</v>
      </c>
      <c r="B2477" s="15" t="s">
        <v>1126</v>
      </c>
      <c r="C2477" s="19" t="s">
        <v>149</v>
      </c>
      <c r="D2477" s="20">
        <v>9610377</v>
      </c>
      <c r="E2477" s="21">
        <v>45627</v>
      </c>
      <c r="F2477" s="18">
        <f>MONTH(Data!$E2477)</f>
        <v>12</v>
      </c>
      <c r="G2477" s="16">
        <f>YEAR(Data!$E2477)</f>
        <v>2024</v>
      </c>
      <c r="H2477" s="19" t="s">
        <v>15</v>
      </c>
      <c r="I2477" s="15" t="str">
        <f t="shared" si="38"/>
        <v>Doanh nghiệp</v>
      </c>
      <c r="J2477" s="15" t="s">
        <v>1284</v>
      </c>
      <c r="K2477" s="19" t="s">
        <v>1262</v>
      </c>
      <c r="L2477" s="32">
        <f>Data!$D2477/10^6</f>
        <v>9.6103769999999997</v>
      </c>
    </row>
    <row r="2478" spans="1:12" x14ac:dyDescent="0.25">
      <c r="A2478" s="30" t="s">
        <v>78</v>
      </c>
      <c r="B2478" s="15" t="s">
        <v>1127</v>
      </c>
      <c r="C2478" s="19" t="s">
        <v>149</v>
      </c>
      <c r="D2478" s="20">
        <v>694038981</v>
      </c>
      <c r="E2478" s="21">
        <v>45627</v>
      </c>
      <c r="F2478" s="18">
        <f>MONTH(Data!$E2478)</f>
        <v>12</v>
      </c>
      <c r="G2478" s="16">
        <f>YEAR(Data!$E2478)</f>
        <v>2024</v>
      </c>
      <c r="H2478" s="19" t="s">
        <v>15</v>
      </c>
      <c r="I2478" s="15" t="str">
        <f t="shared" si="38"/>
        <v>Doanh nghiệp</v>
      </c>
      <c r="J2478" s="15" t="s">
        <v>1285</v>
      </c>
      <c r="K2478" s="19" t="s">
        <v>1262</v>
      </c>
      <c r="L2478" s="32">
        <f>Data!$D2478/10^6</f>
        <v>694.03898100000004</v>
      </c>
    </row>
    <row r="2479" spans="1:12" x14ac:dyDescent="0.25">
      <c r="A2479" s="30" t="s">
        <v>75</v>
      </c>
      <c r="B2479" s="15" t="s">
        <v>1137</v>
      </c>
      <c r="C2479" s="19" t="s">
        <v>10</v>
      </c>
      <c r="D2479" s="20">
        <v>109448000</v>
      </c>
      <c r="E2479" s="21">
        <v>45627</v>
      </c>
      <c r="F2479" s="18">
        <f>MONTH(Data!$E2479)</f>
        <v>12</v>
      </c>
      <c r="G2479" s="16">
        <f>YEAR(Data!$E2479)</f>
        <v>2024</v>
      </c>
      <c r="H2479" s="19" t="s">
        <v>15</v>
      </c>
      <c r="I2479" s="15" t="str">
        <f t="shared" si="38"/>
        <v>Doanh nghiệp</v>
      </c>
      <c r="J2479" s="15" t="s">
        <v>1284</v>
      </c>
      <c r="K2479" s="19" t="s">
        <v>1263</v>
      </c>
      <c r="L2479" s="32">
        <f>Data!$D2479/10^6</f>
        <v>109.44799999999999</v>
      </c>
    </row>
    <row r="2480" spans="1:12" x14ac:dyDescent="0.25">
      <c r="A2480" s="30" t="s">
        <v>37</v>
      </c>
      <c r="B2480" s="15" t="s">
        <v>1154</v>
      </c>
      <c r="C2480" s="19" t="s">
        <v>14</v>
      </c>
      <c r="D2480" s="20">
        <v>51481273</v>
      </c>
      <c r="E2480" s="21">
        <v>45627</v>
      </c>
      <c r="F2480" s="18">
        <f>MONTH(Data!$E2480)</f>
        <v>12</v>
      </c>
      <c r="G2480" s="16">
        <f>YEAR(Data!$E2480)</f>
        <v>2024</v>
      </c>
      <c r="H2480" s="19" t="s">
        <v>11</v>
      </c>
      <c r="I2480" s="15" t="str">
        <f t="shared" si="38"/>
        <v>Doanh nghiệp</v>
      </c>
      <c r="J2480" s="15" t="s">
        <v>1285</v>
      </c>
      <c r="K2480" s="19" t="s">
        <v>1275</v>
      </c>
      <c r="L2480" s="32">
        <f>Data!$D2480/10^6</f>
        <v>51.481273000000002</v>
      </c>
    </row>
    <row r="2481" spans="1:12" x14ac:dyDescent="0.25">
      <c r="A2481" s="30" t="s">
        <v>95</v>
      </c>
      <c r="B2481" s="15" t="s">
        <v>1211</v>
      </c>
      <c r="C2481" s="19" t="s">
        <v>41</v>
      </c>
      <c r="D2481" s="20">
        <v>78325455</v>
      </c>
      <c r="E2481" s="21">
        <v>45627</v>
      </c>
      <c r="F2481" s="18">
        <f>MONTH(Data!$E2481)</f>
        <v>12</v>
      </c>
      <c r="G2481" s="16">
        <f>YEAR(Data!$E2481)</f>
        <v>2024</v>
      </c>
      <c r="H2481" s="19" t="s">
        <v>35</v>
      </c>
      <c r="I2481" s="15" t="str">
        <f t="shared" si="38"/>
        <v>Doanh nghiệp</v>
      </c>
      <c r="J2481" s="15" t="s">
        <v>1284</v>
      </c>
      <c r="K2481" s="19" t="s">
        <v>1280</v>
      </c>
      <c r="L2481" s="32">
        <f>Data!$D2481/10^6</f>
        <v>78.325455000000005</v>
      </c>
    </row>
    <row r="2482" spans="1:12" x14ac:dyDescent="0.25">
      <c r="A2482" s="30" t="s">
        <v>95</v>
      </c>
      <c r="B2482" s="15" t="s">
        <v>1212</v>
      </c>
      <c r="C2482" s="19" t="s">
        <v>41</v>
      </c>
      <c r="D2482" s="20">
        <v>81324900</v>
      </c>
      <c r="E2482" s="21">
        <v>45627</v>
      </c>
      <c r="F2482" s="18">
        <f>MONTH(Data!$E2482)</f>
        <v>12</v>
      </c>
      <c r="G2482" s="16">
        <f>YEAR(Data!$E2482)</f>
        <v>2024</v>
      </c>
      <c r="H2482" s="19" t="s">
        <v>35</v>
      </c>
      <c r="I2482" s="15" t="str">
        <f t="shared" si="38"/>
        <v>Doanh nghiệp</v>
      </c>
      <c r="J2482" s="15" t="s">
        <v>1285</v>
      </c>
      <c r="K2482" s="19" t="s">
        <v>1269</v>
      </c>
      <c r="L2482" s="32">
        <f>Data!$D2482/10^6</f>
        <v>81.3249</v>
      </c>
    </row>
    <row r="2483" spans="1:12" x14ac:dyDescent="0.25">
      <c r="A2483" s="30" t="s">
        <v>95</v>
      </c>
      <c r="B2483" s="15" t="s">
        <v>1213</v>
      </c>
      <c r="C2483" s="19" t="s">
        <v>10</v>
      </c>
      <c r="D2483" s="20">
        <v>27862545</v>
      </c>
      <c r="E2483" s="21">
        <v>45627</v>
      </c>
      <c r="F2483" s="18">
        <f>MONTH(Data!$E2483)</f>
        <v>12</v>
      </c>
      <c r="G2483" s="16">
        <f>YEAR(Data!$E2483)</f>
        <v>2024</v>
      </c>
      <c r="H2483" s="19" t="s">
        <v>35</v>
      </c>
      <c r="I2483" s="15" t="str">
        <f t="shared" si="38"/>
        <v>Doanh nghiệp</v>
      </c>
      <c r="J2483" s="15" t="s">
        <v>1284</v>
      </c>
      <c r="K2483" s="19" t="s">
        <v>1263</v>
      </c>
      <c r="L2483" s="32">
        <f>Data!$D2483/10^6</f>
        <v>27.862545000000001</v>
      </c>
    </row>
    <row r="2484" spans="1:12" x14ac:dyDescent="0.25">
      <c r="A2484" s="30" t="s">
        <v>30</v>
      </c>
      <c r="B2484" s="15" t="s">
        <v>1228</v>
      </c>
      <c r="C2484" s="19" t="s">
        <v>149</v>
      </c>
      <c r="D2484" s="20">
        <v>20500364</v>
      </c>
      <c r="E2484" s="21">
        <v>45627</v>
      </c>
      <c r="F2484" s="18">
        <f>MONTH(Data!$E2484)</f>
        <v>12</v>
      </c>
      <c r="G2484" s="16">
        <f>YEAR(Data!$E2484)</f>
        <v>2024</v>
      </c>
      <c r="H2484" s="19" t="s">
        <v>32</v>
      </c>
      <c r="I2484" s="15" t="str">
        <f t="shared" si="38"/>
        <v>Doanh nghiệp</v>
      </c>
      <c r="J2484" s="15" t="s">
        <v>1285</v>
      </c>
      <c r="K2484" s="19" t="s">
        <v>1264</v>
      </c>
      <c r="L2484" s="32">
        <f>Data!$D2484/10^6</f>
        <v>20.500364000000001</v>
      </c>
    </row>
    <row r="2485" spans="1:12" x14ac:dyDescent="0.25">
      <c r="A2485" s="30" t="s">
        <v>30</v>
      </c>
      <c r="B2485" s="15" t="s">
        <v>1229</v>
      </c>
      <c r="C2485" s="19" t="s">
        <v>10</v>
      </c>
      <c r="D2485" s="20">
        <v>72958409</v>
      </c>
      <c r="E2485" s="21">
        <v>45627</v>
      </c>
      <c r="F2485" s="18">
        <f>MONTH(Data!$E2485)</f>
        <v>12</v>
      </c>
      <c r="G2485" s="16">
        <f>YEAR(Data!$E2485)</f>
        <v>2024</v>
      </c>
      <c r="H2485" s="19" t="s">
        <v>32</v>
      </c>
      <c r="I2485" s="15" t="str">
        <f t="shared" si="38"/>
        <v>Doanh nghiệp</v>
      </c>
      <c r="J2485" s="15" t="s">
        <v>1284</v>
      </c>
      <c r="K2485" s="19" t="s">
        <v>1262</v>
      </c>
      <c r="L2485" s="32">
        <f>Data!$D2485/10^6</f>
        <v>72.958409000000003</v>
      </c>
    </row>
    <row r="2486" spans="1:12" x14ac:dyDescent="0.25">
      <c r="A2486" s="30" t="s">
        <v>130</v>
      </c>
      <c r="B2486" s="15" t="s">
        <v>1242</v>
      </c>
      <c r="C2486" s="19" t="s">
        <v>149</v>
      </c>
      <c r="D2486" s="20">
        <v>62100888</v>
      </c>
      <c r="E2486" s="21">
        <v>45627</v>
      </c>
      <c r="F2486" s="18">
        <f>MONTH(Data!$E2486)</f>
        <v>12</v>
      </c>
      <c r="G2486" s="16">
        <f>YEAR(Data!$E2486)</f>
        <v>2024</v>
      </c>
      <c r="H2486" s="19" t="s">
        <v>22</v>
      </c>
      <c r="I2486" s="15" t="str">
        <f t="shared" si="38"/>
        <v>Doanh nghiệp</v>
      </c>
      <c r="J2486" s="15" t="s">
        <v>1285</v>
      </c>
      <c r="K2486" s="19" t="s">
        <v>1262</v>
      </c>
      <c r="L2486" s="32">
        <f>Data!$D2486/10^6</f>
        <v>62.100887999999998</v>
      </c>
    </row>
    <row r="2487" spans="1:12" x14ac:dyDescent="0.25">
      <c r="A2487" s="30" t="s">
        <v>102</v>
      </c>
      <c r="B2487" s="15" t="s">
        <v>1244</v>
      </c>
      <c r="C2487" s="19" t="s">
        <v>149</v>
      </c>
      <c r="D2487" s="20">
        <v>17202436</v>
      </c>
      <c r="E2487" s="21">
        <v>45627</v>
      </c>
      <c r="F2487" s="18">
        <f>MONTH(Data!$E2487)</f>
        <v>12</v>
      </c>
      <c r="G2487" s="16">
        <f>YEAR(Data!$E2487)</f>
        <v>2024</v>
      </c>
      <c r="H2487" s="19" t="s">
        <v>22</v>
      </c>
      <c r="I2487" s="15" t="str">
        <f t="shared" si="38"/>
        <v>Doanh nghiệp</v>
      </c>
      <c r="J2487" s="15" t="s">
        <v>1284</v>
      </c>
      <c r="K2487" s="19" t="s">
        <v>1266</v>
      </c>
      <c r="L2487" s="32">
        <f>Data!$D2487/10^6</f>
        <v>17.202435999999999</v>
      </c>
    </row>
    <row r="2488" spans="1:12" x14ac:dyDescent="0.25">
      <c r="A2488" s="30" t="s">
        <v>127</v>
      </c>
      <c r="B2488" s="15" t="s">
        <v>1241</v>
      </c>
      <c r="C2488" s="19" t="s">
        <v>149</v>
      </c>
      <c r="D2488" s="20">
        <v>43407036</v>
      </c>
      <c r="E2488" s="21">
        <v>45627</v>
      </c>
      <c r="F2488" s="18">
        <f>MONTH(Data!$E2488)</f>
        <v>12</v>
      </c>
      <c r="G2488" s="16">
        <f>YEAR(Data!$E2488)</f>
        <v>2024</v>
      </c>
      <c r="H2488" s="19" t="s">
        <v>32</v>
      </c>
      <c r="I2488" s="15" t="str">
        <f t="shared" si="38"/>
        <v>Doanh nghiệp</v>
      </c>
      <c r="J2488" s="15" t="s">
        <v>1285</v>
      </c>
      <c r="K2488" s="19" t="s">
        <v>1262</v>
      </c>
      <c r="L2488" s="32">
        <f>Data!$D2488/10^6</f>
        <v>43.407035999999998</v>
      </c>
    </row>
    <row r="2489" spans="1:12" x14ac:dyDescent="0.25">
      <c r="A2489" s="30" t="s">
        <v>45</v>
      </c>
      <c r="B2489" s="15" t="s">
        <v>1245</v>
      </c>
      <c r="C2489" s="19" t="s">
        <v>14</v>
      </c>
      <c r="D2489" s="20">
        <v>70010000</v>
      </c>
      <c r="E2489" s="21">
        <v>45627</v>
      </c>
      <c r="F2489" s="18">
        <f>MONTH(Data!$E2489)</f>
        <v>12</v>
      </c>
      <c r="G2489" s="16">
        <f>YEAR(Data!$E2489)</f>
        <v>2024</v>
      </c>
      <c r="H2489" s="19" t="s">
        <v>29</v>
      </c>
      <c r="I2489" s="15" t="str">
        <f t="shared" si="38"/>
        <v>Doanh nghiệp</v>
      </c>
      <c r="J2489" s="15" t="s">
        <v>1284</v>
      </c>
      <c r="K2489" s="19" t="s">
        <v>1266</v>
      </c>
      <c r="L2489" s="32">
        <f>Data!$D2489/10^6</f>
        <v>70.010000000000005</v>
      </c>
    </row>
    <row r="2490" spans="1:12" x14ac:dyDescent="0.25">
      <c r="A2490" s="30" t="s">
        <v>116</v>
      </c>
      <c r="B2490" s="15" t="s">
        <v>1248</v>
      </c>
      <c r="C2490" s="19" t="s">
        <v>46</v>
      </c>
      <c r="D2490" s="20">
        <v>154567091</v>
      </c>
      <c r="E2490" s="21">
        <v>45627</v>
      </c>
      <c r="F2490" s="18">
        <f>MONTH(Data!$E2490)</f>
        <v>12</v>
      </c>
      <c r="G2490" s="16">
        <f>YEAR(Data!$E2490)</f>
        <v>2024</v>
      </c>
      <c r="H2490" s="19" t="s">
        <v>15</v>
      </c>
      <c r="I2490" s="15" t="str">
        <f t="shared" si="38"/>
        <v>Doanh nghiệp</v>
      </c>
      <c r="J2490" s="15" t="s">
        <v>1285</v>
      </c>
      <c r="K2490" s="19" t="s">
        <v>1271</v>
      </c>
      <c r="L2490" s="32">
        <f>Data!$D2490/10^6</f>
        <v>154.567091</v>
      </c>
    </row>
    <row r="2491" spans="1:12" x14ac:dyDescent="0.25">
      <c r="A2491" s="30" t="s">
        <v>36</v>
      </c>
      <c r="B2491" s="15" t="s">
        <v>1248</v>
      </c>
      <c r="C2491" s="19" t="s">
        <v>10</v>
      </c>
      <c r="D2491" s="20">
        <v>89325455</v>
      </c>
      <c r="E2491" s="21">
        <v>45627</v>
      </c>
      <c r="F2491" s="18">
        <f>MONTH(Data!$E2491)</f>
        <v>12</v>
      </c>
      <c r="G2491" s="16">
        <f>YEAR(Data!$E2491)</f>
        <v>2024</v>
      </c>
      <c r="H2491" s="19" t="s">
        <v>15</v>
      </c>
      <c r="I2491" s="15" t="str">
        <f t="shared" si="38"/>
        <v>Doanh nghiệp</v>
      </c>
      <c r="J2491" s="15" t="s">
        <v>1284</v>
      </c>
      <c r="K2491" s="19" t="s">
        <v>1262</v>
      </c>
      <c r="L2491" s="32">
        <f>Data!$D2491/10^6</f>
        <v>89.325455000000005</v>
      </c>
    </row>
    <row r="2492" spans="1:12" x14ac:dyDescent="0.25">
      <c r="A2492" s="30" t="s">
        <v>87</v>
      </c>
      <c r="B2492" s="15" t="s">
        <v>1246</v>
      </c>
      <c r="C2492" s="19" t="s">
        <v>10</v>
      </c>
      <c r="D2492" s="20">
        <v>74545455</v>
      </c>
      <c r="E2492" s="21">
        <v>45627</v>
      </c>
      <c r="F2492" s="18">
        <f>MONTH(Data!$E2492)</f>
        <v>12</v>
      </c>
      <c r="G2492" s="16">
        <f>YEAR(Data!$E2492)</f>
        <v>2024</v>
      </c>
      <c r="H2492" s="19" t="s">
        <v>29</v>
      </c>
      <c r="I2492" s="15" t="str">
        <f t="shared" si="38"/>
        <v>Doanh nghiệp</v>
      </c>
      <c r="J2492" s="15" t="s">
        <v>1285</v>
      </c>
      <c r="K2492" s="19" t="s">
        <v>1263</v>
      </c>
      <c r="L2492" s="32">
        <f>Data!$D2492/10^6</f>
        <v>74.545455000000004</v>
      </c>
    </row>
    <row r="2493" spans="1:12" x14ac:dyDescent="0.25">
      <c r="A2493" s="30" t="s">
        <v>255</v>
      </c>
      <c r="B2493" s="15" t="s">
        <v>1247</v>
      </c>
      <c r="C2493" s="19" t="s">
        <v>10</v>
      </c>
      <c r="D2493" s="20">
        <v>1157724409</v>
      </c>
      <c r="E2493" s="21">
        <v>45627</v>
      </c>
      <c r="F2493" s="18">
        <f>MONTH(Data!$E2493)</f>
        <v>12</v>
      </c>
      <c r="G2493" s="16">
        <f>YEAR(Data!$E2493)</f>
        <v>2024</v>
      </c>
      <c r="H2493" s="19" t="s">
        <v>11</v>
      </c>
      <c r="I2493" s="15" t="str">
        <f t="shared" si="38"/>
        <v>Doanh nghiệp</v>
      </c>
      <c r="J2493" s="15" t="s">
        <v>1284</v>
      </c>
      <c r="K2493" s="19" t="s">
        <v>1267</v>
      </c>
      <c r="L2493" s="32">
        <f>Data!$D2493/10^6</f>
        <v>1157.7244089999999</v>
      </c>
    </row>
    <row r="2494" spans="1:12" x14ac:dyDescent="0.25">
      <c r="A2494" s="30" t="s">
        <v>13</v>
      </c>
      <c r="B2494" s="15" t="s">
        <v>1246</v>
      </c>
      <c r="C2494" s="19" t="s">
        <v>46</v>
      </c>
      <c r="D2494" s="20">
        <v>78181818</v>
      </c>
      <c r="E2494" s="21">
        <v>45627</v>
      </c>
      <c r="F2494" s="18">
        <f>MONTH(Data!$E2494)</f>
        <v>12</v>
      </c>
      <c r="G2494" s="16">
        <f>YEAR(Data!$E2494)</f>
        <v>2024</v>
      </c>
      <c r="H2494" s="19" t="s">
        <v>15</v>
      </c>
      <c r="I2494" s="15" t="str">
        <f t="shared" si="38"/>
        <v>Doanh nghiệp</v>
      </c>
      <c r="J2494" s="15" t="s">
        <v>1285</v>
      </c>
      <c r="K2494" s="19" t="s">
        <v>1271</v>
      </c>
      <c r="L2494" s="32">
        <f>Data!$D2494/10^6</f>
        <v>78.181818000000007</v>
      </c>
    </row>
    <row r="2495" spans="1:12" x14ac:dyDescent="0.25">
      <c r="A2495" s="30" t="s">
        <v>75</v>
      </c>
      <c r="B2495" s="15" t="s">
        <v>1249</v>
      </c>
      <c r="C2495" s="19" t="s">
        <v>10</v>
      </c>
      <c r="D2495" s="20">
        <v>180000000</v>
      </c>
      <c r="E2495" s="21">
        <v>45627</v>
      </c>
      <c r="F2495" s="18">
        <f>MONTH(Data!$E2495)</f>
        <v>12</v>
      </c>
      <c r="G2495" s="16">
        <f>YEAR(Data!$E2495)</f>
        <v>2024</v>
      </c>
      <c r="H2495" s="19" t="s">
        <v>15</v>
      </c>
      <c r="I2495" s="15" t="str">
        <f t="shared" si="38"/>
        <v>Doanh nghiệp</v>
      </c>
      <c r="J2495" s="15" t="s">
        <v>1284</v>
      </c>
      <c r="K2495" s="19" t="s">
        <v>1262</v>
      </c>
      <c r="L2495" s="32">
        <f>Data!$D2495/10^6</f>
        <v>180</v>
      </c>
    </row>
    <row r="2496" spans="1:12" x14ac:dyDescent="0.25">
      <c r="A2496" s="30" t="s">
        <v>75</v>
      </c>
      <c r="B2496" s="15" t="s">
        <v>1246</v>
      </c>
      <c r="C2496" s="19" t="s">
        <v>10</v>
      </c>
      <c r="D2496" s="20">
        <v>385000000</v>
      </c>
      <c r="E2496" s="21">
        <v>45627</v>
      </c>
      <c r="F2496" s="18">
        <f>MONTH(Data!$E2496)</f>
        <v>12</v>
      </c>
      <c r="G2496" s="16">
        <f>YEAR(Data!$E2496)</f>
        <v>2024</v>
      </c>
      <c r="H2496" s="19" t="s">
        <v>15</v>
      </c>
      <c r="I2496" s="15" t="str">
        <f t="shared" si="38"/>
        <v>Doanh nghiệp</v>
      </c>
      <c r="J2496" s="15" t="s">
        <v>1285</v>
      </c>
      <c r="K2496" s="19" t="s">
        <v>1262</v>
      </c>
      <c r="L2496" s="32">
        <f>Data!$D2496/10^6</f>
        <v>385</v>
      </c>
    </row>
    <row r="2497" spans="1:12" x14ac:dyDescent="0.25">
      <c r="A2497" s="30" t="s">
        <v>89</v>
      </c>
      <c r="B2497" s="15" t="s">
        <v>1249</v>
      </c>
      <c r="C2497" s="19" t="s">
        <v>10</v>
      </c>
      <c r="D2497" s="20">
        <v>142727273</v>
      </c>
      <c r="E2497" s="21">
        <v>45627</v>
      </c>
      <c r="F2497" s="18">
        <f>MONTH(Data!$E2497)</f>
        <v>12</v>
      </c>
      <c r="G2497" s="16">
        <f>YEAR(Data!$E2497)</f>
        <v>2024</v>
      </c>
      <c r="H2497" s="19" t="s">
        <v>11</v>
      </c>
      <c r="I2497" s="15" t="str">
        <f t="shared" si="38"/>
        <v>Doanh nghiệp</v>
      </c>
      <c r="J2497" s="15" t="s">
        <v>1284</v>
      </c>
      <c r="K2497" s="19" t="s">
        <v>1267</v>
      </c>
      <c r="L2497" s="32">
        <f>Data!$D2497/10^6</f>
        <v>142.727273</v>
      </c>
    </row>
    <row r="2498" spans="1:12" x14ac:dyDescent="0.25">
      <c r="A2498" s="30" t="s">
        <v>37</v>
      </c>
      <c r="B2498" s="15" t="s">
        <v>1246</v>
      </c>
      <c r="C2498" s="19" t="s">
        <v>46</v>
      </c>
      <c r="D2498" s="20">
        <v>36363000</v>
      </c>
      <c r="E2498" s="21">
        <v>45627</v>
      </c>
      <c r="F2498" s="18">
        <f>MONTH(Data!$E2498)</f>
        <v>12</v>
      </c>
      <c r="G2498" s="16">
        <f>YEAR(Data!$E2498)</f>
        <v>2024</v>
      </c>
      <c r="H2498" s="19" t="s">
        <v>11</v>
      </c>
      <c r="I2498" s="15" t="str">
        <f t="shared" si="38"/>
        <v>Doanh nghiệp</v>
      </c>
      <c r="J2498" s="15" t="s">
        <v>1285</v>
      </c>
      <c r="K2498" s="19" t="s">
        <v>1271</v>
      </c>
      <c r="L2498" s="32">
        <f>Data!$D2498/10^6</f>
        <v>36.363</v>
      </c>
    </row>
    <row r="2499" spans="1:12" x14ac:dyDescent="0.25">
      <c r="A2499" s="30" t="s">
        <v>37</v>
      </c>
      <c r="B2499" s="15" t="s">
        <v>1247</v>
      </c>
      <c r="C2499" s="19" t="s">
        <v>46</v>
      </c>
      <c r="D2499" s="20">
        <v>36363000</v>
      </c>
      <c r="E2499" s="21">
        <v>45627</v>
      </c>
      <c r="F2499" s="18">
        <f>MONTH(Data!$E2499)</f>
        <v>12</v>
      </c>
      <c r="G2499" s="16">
        <f>YEAR(Data!$E2499)</f>
        <v>2024</v>
      </c>
      <c r="H2499" s="19" t="s">
        <v>11</v>
      </c>
      <c r="I2499" s="15" t="str">
        <f t="shared" ref="I2499:I2562" si="39">IF(ISNUMBER(SEARCH("Công ty",$B2499)),"Doanh nghiệp",IF(ISNUMBER(SEARCH("Doanh nghiệp",$B2499)),"Doanh nghiệp",IF(ISNUMBER(SEARCH("Tập đoàn",$B2499)),"Doanh nghiệp",
IF(ISNUMBER(SEARCH("Bệnh viện",$B2499)),"Bệnh viện",
IF(ISNUMBER(SEARCH("Ngân hàng",$B2499)),"Ngân hàng",IF(ISNUMBER(SEARCH("trường",$B2499)),"Trường học",IF(ISNUMBER(SEARCH("học viện",$B2499)),"Trường học",
IF(ISNUMBER(SEARCH("Bộ",$B2499)),"Sở ban ngành",IF(ISNUMBER(SEARCH("Đoàn",$B2499)),"Sở ban ngành",IF(ISNUMBER(SEARCH("Phòng",$B2499)),"Sở ban ngành",IF(ISNUMBER(SEARCH("UBND",$B2499)),"Sở ban ngành",IF(ISNUMBER(SEARCH("ủy ban",$B2499)),"Sở ban ngành",IF(ISNUMBER(SEARCH("công an",$B2499)),"Sở ban ngành",IF(ISNUMBER(SEARCH("sở",$B2499)),"Sở ban ngành",IF(ISNUMBER(SEARCH("thôn",$B2499)),"Sở ban ngành",IF(ISNUMBER(SEARCH("xã",$B2499)),"Sở ban ngành",IF(ISNUMBER(SEARCH("quân khu",$B2499)),"Sở ban ngành",IF(ISNUMBER(SEARCH("cục",$B2499)),"Sở ban ngành",IF(ISNUMBER(SEARCH("viện",$B2499)),"Sở ban ngành",IF(ISNUMBER(SEARCH("quỹ",$B2499)),"Sở ban ngành",IF(ISNUMBER(SEARCH("trung tâm",$B2499)),"Sở ban ngành",IF(ISNUMBER(SEARCH("quân chủng",$B2499)),"Sở ban ngành",IF(ISNUMBER(SEARCH("hội",$B2499)),"Sở ban ngành",
"Khác")))))))))))))))))))))))</f>
        <v>Doanh nghiệp</v>
      </c>
      <c r="J2499" s="15" t="s">
        <v>1284</v>
      </c>
      <c r="K2499" s="19" t="s">
        <v>1271</v>
      </c>
      <c r="L2499" s="32">
        <f>Data!$D2499/10^6</f>
        <v>36.363</v>
      </c>
    </row>
    <row r="2500" spans="1:12" x14ac:dyDescent="0.25">
      <c r="A2500" s="30" t="s">
        <v>37</v>
      </c>
      <c r="B2500" s="15" t="s">
        <v>1248</v>
      </c>
      <c r="C2500" s="19" t="s">
        <v>46</v>
      </c>
      <c r="D2500" s="20">
        <v>36363000</v>
      </c>
      <c r="E2500" s="21">
        <v>45627</v>
      </c>
      <c r="F2500" s="18">
        <f>MONTH(Data!$E2500)</f>
        <v>12</v>
      </c>
      <c r="G2500" s="16">
        <f>YEAR(Data!$E2500)</f>
        <v>2024</v>
      </c>
      <c r="H2500" s="19" t="s">
        <v>11</v>
      </c>
      <c r="I2500" s="15" t="str">
        <f t="shared" si="39"/>
        <v>Doanh nghiệp</v>
      </c>
      <c r="J2500" s="15" t="s">
        <v>1285</v>
      </c>
      <c r="K2500" s="19" t="s">
        <v>1271</v>
      </c>
      <c r="L2500" s="32">
        <f>Data!$D2500/10^6</f>
        <v>36.363</v>
      </c>
    </row>
    <row r="2501" spans="1:12" x14ac:dyDescent="0.25">
      <c r="A2501" s="30" t="s">
        <v>73</v>
      </c>
      <c r="B2501" s="15" t="s">
        <v>1246</v>
      </c>
      <c r="C2501" s="19" t="s">
        <v>10</v>
      </c>
      <c r="D2501" s="20">
        <v>165386364</v>
      </c>
      <c r="E2501" s="21">
        <v>45627</v>
      </c>
      <c r="F2501" s="18">
        <f>MONTH(Data!$E2501)</f>
        <v>12</v>
      </c>
      <c r="G2501" s="16">
        <f>YEAR(Data!$E2501)</f>
        <v>2024</v>
      </c>
      <c r="H2501" s="19" t="s">
        <v>32</v>
      </c>
      <c r="I2501" s="15" t="str">
        <f t="shared" si="39"/>
        <v>Doanh nghiệp</v>
      </c>
      <c r="J2501" s="15" t="s">
        <v>1284</v>
      </c>
      <c r="K2501" s="19" t="s">
        <v>1276</v>
      </c>
      <c r="L2501" s="32">
        <f>Data!$D2501/10^6</f>
        <v>165.38636399999999</v>
      </c>
    </row>
    <row r="2502" spans="1:12" x14ac:dyDescent="0.25">
      <c r="A2502" s="30" t="s">
        <v>43</v>
      </c>
      <c r="B2502" s="19" t="s">
        <v>44</v>
      </c>
      <c r="C2502" s="19" t="s">
        <v>10</v>
      </c>
      <c r="D2502" s="20">
        <v>172233862</v>
      </c>
      <c r="E2502" s="21">
        <v>45627</v>
      </c>
      <c r="F2502" s="18">
        <f>MONTH(Data!$E2502)</f>
        <v>12</v>
      </c>
      <c r="G2502" s="16">
        <f>YEAR(Data!$E2502)</f>
        <v>2024</v>
      </c>
      <c r="H2502" s="19" t="s">
        <v>35</v>
      </c>
      <c r="I2502" s="15" t="str">
        <f t="shared" si="39"/>
        <v>Sở ban ngành</v>
      </c>
      <c r="J2502" s="15" t="s">
        <v>1285</v>
      </c>
      <c r="K2502" s="19" t="s">
        <v>1263</v>
      </c>
      <c r="L2502" s="32">
        <f>Data!$D2502/10^6</f>
        <v>172.23386199999999</v>
      </c>
    </row>
    <row r="2503" spans="1:12" x14ac:dyDescent="0.25">
      <c r="A2503" s="30" t="s">
        <v>79</v>
      </c>
      <c r="B2503" s="19" t="s">
        <v>395</v>
      </c>
      <c r="C2503" s="19" t="s">
        <v>10</v>
      </c>
      <c r="D2503" s="20">
        <v>20484773</v>
      </c>
      <c r="E2503" s="21">
        <v>45627</v>
      </c>
      <c r="F2503" s="18">
        <f>MONTH(Data!$E2503)</f>
        <v>12</v>
      </c>
      <c r="G2503" s="16">
        <f>YEAR(Data!$E2503)</f>
        <v>2024</v>
      </c>
      <c r="H2503" s="19" t="s">
        <v>15</v>
      </c>
      <c r="I2503" s="15" t="str">
        <f t="shared" si="39"/>
        <v>Sở ban ngành</v>
      </c>
      <c r="J2503" s="15" t="s">
        <v>1284</v>
      </c>
      <c r="K2503" s="19" t="s">
        <v>1263</v>
      </c>
      <c r="L2503" s="32">
        <f>Data!$D2503/10^6</f>
        <v>20.484773000000001</v>
      </c>
    </row>
    <row r="2504" spans="1:12" x14ac:dyDescent="0.25">
      <c r="A2504" s="30" t="s">
        <v>65</v>
      </c>
      <c r="B2504" s="19" t="s">
        <v>749</v>
      </c>
      <c r="C2504" s="19" t="s">
        <v>41</v>
      </c>
      <c r="D2504" s="20">
        <v>201436364</v>
      </c>
      <c r="E2504" s="21">
        <v>45627</v>
      </c>
      <c r="F2504" s="18">
        <f>MONTH(Data!$E2504)</f>
        <v>12</v>
      </c>
      <c r="G2504" s="16">
        <f>YEAR(Data!$E2504)</f>
        <v>2024</v>
      </c>
      <c r="H2504" s="19" t="s">
        <v>25</v>
      </c>
      <c r="I2504" s="15" t="str">
        <f t="shared" si="39"/>
        <v>Sở ban ngành</v>
      </c>
      <c r="J2504" s="15" t="s">
        <v>1285</v>
      </c>
      <c r="K2504" s="19" t="s">
        <v>1269</v>
      </c>
      <c r="L2504" s="32">
        <f>Data!$D2504/10^6</f>
        <v>201.436364</v>
      </c>
    </row>
    <row r="2505" spans="1:12" x14ac:dyDescent="0.25">
      <c r="A2505" s="30" t="s">
        <v>36</v>
      </c>
      <c r="B2505" s="19" t="s">
        <v>471</v>
      </c>
      <c r="C2505" s="19" t="s">
        <v>149</v>
      </c>
      <c r="D2505" s="20">
        <v>44000000</v>
      </c>
      <c r="E2505" s="21">
        <v>45627</v>
      </c>
      <c r="F2505" s="18">
        <f>MONTH(Data!$E2505)</f>
        <v>12</v>
      </c>
      <c r="G2505" s="16">
        <f>YEAR(Data!$E2505)</f>
        <v>2024</v>
      </c>
      <c r="H2505" s="19" t="s">
        <v>15</v>
      </c>
      <c r="I2505" s="15" t="str">
        <f t="shared" si="39"/>
        <v>Sở ban ngành</v>
      </c>
      <c r="J2505" s="15" t="s">
        <v>1284</v>
      </c>
      <c r="K2505" s="19" t="s">
        <v>1268</v>
      </c>
      <c r="L2505" s="32">
        <f>Data!$D2505/10^6</f>
        <v>44</v>
      </c>
    </row>
    <row r="2506" spans="1:12" x14ac:dyDescent="0.25">
      <c r="A2506" s="30" t="s">
        <v>151</v>
      </c>
      <c r="B2506" s="15" t="s">
        <v>1060</v>
      </c>
      <c r="C2506" s="19" t="s">
        <v>14</v>
      </c>
      <c r="D2506" s="20">
        <v>82290909</v>
      </c>
      <c r="E2506" s="21">
        <v>45627</v>
      </c>
      <c r="F2506" s="18">
        <f>MONTH(Data!$E2506)</f>
        <v>12</v>
      </c>
      <c r="G2506" s="16">
        <f>YEAR(Data!$E2506)</f>
        <v>2024</v>
      </c>
      <c r="H2506" s="19" t="s">
        <v>15</v>
      </c>
      <c r="I2506" s="15" t="str">
        <f t="shared" si="39"/>
        <v>Doanh nghiệp</v>
      </c>
      <c r="J2506" s="15" t="s">
        <v>1285</v>
      </c>
      <c r="K2506" s="19" t="s">
        <v>1273</v>
      </c>
      <c r="L2506" s="32">
        <f>Data!$D2506/10^6</f>
        <v>82.290908999999999</v>
      </c>
    </row>
    <row r="2507" spans="1:12" x14ac:dyDescent="0.25">
      <c r="A2507" s="30" t="s">
        <v>65</v>
      </c>
      <c r="B2507" s="15" t="s">
        <v>1062</v>
      </c>
      <c r="C2507" s="19" t="s">
        <v>14</v>
      </c>
      <c r="D2507" s="20">
        <v>239800000</v>
      </c>
      <c r="E2507" s="21">
        <v>45627</v>
      </c>
      <c r="F2507" s="18">
        <f>MONTH(Data!$E2507)</f>
        <v>12</v>
      </c>
      <c r="G2507" s="16">
        <f>YEAR(Data!$E2507)</f>
        <v>2024</v>
      </c>
      <c r="H2507" s="19" t="s">
        <v>25</v>
      </c>
      <c r="I2507" s="15" t="str">
        <f t="shared" si="39"/>
        <v>Doanh nghiệp</v>
      </c>
      <c r="J2507" s="15" t="s">
        <v>1284</v>
      </c>
      <c r="K2507" s="19" t="s">
        <v>1264</v>
      </c>
      <c r="L2507" s="32">
        <f>Data!$D2507/10^6</f>
        <v>239.8</v>
      </c>
    </row>
    <row r="2508" spans="1:12" x14ac:dyDescent="0.25">
      <c r="A2508" s="30" t="s">
        <v>268</v>
      </c>
      <c r="B2508" s="15" t="s">
        <v>1065</v>
      </c>
      <c r="C2508" s="19" t="s">
        <v>10</v>
      </c>
      <c r="D2508" s="20">
        <v>12727273</v>
      </c>
      <c r="E2508" s="21">
        <v>45627</v>
      </c>
      <c r="F2508" s="18">
        <f>MONTH(Data!$E2508)</f>
        <v>12</v>
      </c>
      <c r="G2508" s="16">
        <f>YEAR(Data!$E2508)</f>
        <v>2024</v>
      </c>
      <c r="H2508" s="19" t="s">
        <v>25</v>
      </c>
      <c r="I2508" s="15" t="str">
        <f t="shared" si="39"/>
        <v>Doanh nghiệp</v>
      </c>
      <c r="J2508" s="15" t="s">
        <v>1285</v>
      </c>
      <c r="K2508" s="19" t="s">
        <v>1262</v>
      </c>
      <c r="L2508" s="32">
        <f>Data!$D2508/10^6</f>
        <v>12.727273</v>
      </c>
    </row>
    <row r="2509" spans="1:12" x14ac:dyDescent="0.25">
      <c r="A2509" s="30" t="s">
        <v>87</v>
      </c>
      <c r="B2509" s="15" t="s">
        <v>1111</v>
      </c>
      <c r="C2509" s="19" t="s">
        <v>46</v>
      </c>
      <c r="D2509" s="20">
        <v>43756364</v>
      </c>
      <c r="E2509" s="21">
        <v>45627</v>
      </c>
      <c r="F2509" s="18">
        <f>MONTH(Data!$E2509)</f>
        <v>12</v>
      </c>
      <c r="G2509" s="16">
        <f>YEAR(Data!$E2509)</f>
        <v>2024</v>
      </c>
      <c r="H2509" s="19" t="s">
        <v>29</v>
      </c>
      <c r="I2509" s="15" t="str">
        <f t="shared" si="39"/>
        <v>Doanh nghiệp</v>
      </c>
      <c r="J2509" s="15" t="s">
        <v>1284</v>
      </c>
      <c r="K2509" s="19" t="s">
        <v>1271</v>
      </c>
      <c r="L2509" s="32">
        <f>Data!$D2509/10^6</f>
        <v>43.756363999999998</v>
      </c>
    </row>
    <row r="2510" spans="1:12" x14ac:dyDescent="0.25">
      <c r="A2510" s="30" t="s">
        <v>87</v>
      </c>
      <c r="B2510" s="15" t="s">
        <v>1112</v>
      </c>
      <c r="C2510" s="19" t="s">
        <v>46</v>
      </c>
      <c r="D2510" s="20">
        <v>43756364</v>
      </c>
      <c r="E2510" s="21">
        <v>45627</v>
      </c>
      <c r="F2510" s="18">
        <f>MONTH(Data!$E2510)</f>
        <v>12</v>
      </c>
      <c r="G2510" s="16">
        <f>YEAR(Data!$E2510)</f>
        <v>2024</v>
      </c>
      <c r="H2510" s="19" t="s">
        <v>29</v>
      </c>
      <c r="I2510" s="15" t="str">
        <f t="shared" si="39"/>
        <v>Doanh nghiệp</v>
      </c>
      <c r="J2510" s="15" t="s">
        <v>1285</v>
      </c>
      <c r="K2510" s="19" t="s">
        <v>1271</v>
      </c>
      <c r="L2510" s="32">
        <f>Data!$D2510/10^6</f>
        <v>43.756363999999998</v>
      </c>
    </row>
    <row r="2511" spans="1:12" x14ac:dyDescent="0.25">
      <c r="A2511" s="30" t="s">
        <v>87</v>
      </c>
      <c r="B2511" s="15" t="s">
        <v>1113</v>
      </c>
      <c r="C2511" s="19" t="s">
        <v>46</v>
      </c>
      <c r="D2511" s="20">
        <v>87098182</v>
      </c>
      <c r="E2511" s="21">
        <v>45627</v>
      </c>
      <c r="F2511" s="18">
        <f>MONTH(Data!$E2511)</f>
        <v>12</v>
      </c>
      <c r="G2511" s="16">
        <f>YEAR(Data!$E2511)</f>
        <v>2024</v>
      </c>
      <c r="H2511" s="19" t="s">
        <v>29</v>
      </c>
      <c r="I2511" s="15" t="str">
        <f t="shared" si="39"/>
        <v>Doanh nghiệp</v>
      </c>
      <c r="J2511" s="15" t="s">
        <v>1284</v>
      </c>
      <c r="K2511" s="19" t="s">
        <v>1271</v>
      </c>
      <c r="L2511" s="32">
        <f>Data!$D2511/10^6</f>
        <v>87.098181999999994</v>
      </c>
    </row>
    <row r="2512" spans="1:12" x14ac:dyDescent="0.25">
      <c r="A2512" s="30" t="s">
        <v>87</v>
      </c>
      <c r="B2512" s="15" t="s">
        <v>1114</v>
      </c>
      <c r="C2512" s="19" t="s">
        <v>46</v>
      </c>
      <c r="D2512" s="20">
        <v>27087273</v>
      </c>
      <c r="E2512" s="21">
        <v>45627</v>
      </c>
      <c r="F2512" s="18">
        <f>MONTH(Data!$E2512)</f>
        <v>12</v>
      </c>
      <c r="G2512" s="16">
        <f>YEAR(Data!$E2512)</f>
        <v>2024</v>
      </c>
      <c r="H2512" s="19" t="s">
        <v>29</v>
      </c>
      <c r="I2512" s="15" t="str">
        <f t="shared" si="39"/>
        <v>Doanh nghiệp</v>
      </c>
      <c r="J2512" s="15" t="s">
        <v>1285</v>
      </c>
      <c r="K2512" s="19" t="s">
        <v>1271</v>
      </c>
      <c r="L2512" s="32">
        <f>Data!$D2512/10^6</f>
        <v>27.087273</v>
      </c>
    </row>
    <row r="2513" spans="1:12" x14ac:dyDescent="0.25">
      <c r="A2513" s="30" t="s">
        <v>85</v>
      </c>
      <c r="B2513" s="19" t="s">
        <v>769</v>
      </c>
      <c r="C2513" s="19" t="s">
        <v>10</v>
      </c>
      <c r="D2513" s="20">
        <v>44480000</v>
      </c>
      <c r="E2513" s="21">
        <v>45627</v>
      </c>
      <c r="F2513" s="18">
        <f>MONTH(Data!$E2513)</f>
        <v>12</v>
      </c>
      <c r="G2513" s="16">
        <f>YEAR(Data!$E2513)</f>
        <v>2024</v>
      </c>
      <c r="H2513" s="19" t="s">
        <v>15</v>
      </c>
      <c r="I2513" s="15" t="str">
        <f t="shared" si="39"/>
        <v>Sở ban ngành</v>
      </c>
      <c r="J2513" s="15" t="s">
        <v>1284</v>
      </c>
      <c r="K2513" s="19" t="s">
        <v>1263</v>
      </c>
      <c r="L2513" s="32">
        <f>Data!$D2513/10^6</f>
        <v>44.48</v>
      </c>
    </row>
    <row r="2514" spans="1:12" x14ac:dyDescent="0.25">
      <c r="A2514" s="30" t="s">
        <v>17</v>
      </c>
      <c r="B2514" s="19" t="s">
        <v>799</v>
      </c>
      <c r="C2514" s="19" t="s">
        <v>14</v>
      </c>
      <c r="D2514" s="20">
        <v>152727273</v>
      </c>
      <c r="E2514" s="21">
        <v>45627</v>
      </c>
      <c r="F2514" s="18">
        <f>MONTH(Data!$E2514)</f>
        <v>12</v>
      </c>
      <c r="G2514" s="16">
        <f>YEAR(Data!$E2514)</f>
        <v>2024</v>
      </c>
      <c r="H2514" s="19" t="s">
        <v>11</v>
      </c>
      <c r="I2514" s="15" t="str">
        <f t="shared" si="39"/>
        <v>Sở ban ngành</v>
      </c>
      <c r="J2514" s="15" t="s">
        <v>1285</v>
      </c>
      <c r="K2514" s="19" t="s">
        <v>1273</v>
      </c>
      <c r="L2514" s="32">
        <f>Data!$D2514/10^6</f>
        <v>152.727273</v>
      </c>
    </row>
    <row r="2515" spans="1:12" x14ac:dyDescent="0.25">
      <c r="A2515" s="30" t="s">
        <v>17</v>
      </c>
      <c r="B2515" s="19" t="s">
        <v>635</v>
      </c>
      <c r="C2515" s="19" t="s">
        <v>10</v>
      </c>
      <c r="D2515" s="20">
        <v>293156411</v>
      </c>
      <c r="E2515" s="21">
        <v>45627</v>
      </c>
      <c r="F2515" s="18">
        <f>MONTH(Data!$E2515)</f>
        <v>12</v>
      </c>
      <c r="G2515" s="16">
        <f>YEAR(Data!$E2515)</f>
        <v>2024</v>
      </c>
      <c r="H2515" s="19" t="s">
        <v>11</v>
      </c>
      <c r="I2515" s="15" t="str">
        <f t="shared" si="39"/>
        <v>Sở ban ngành</v>
      </c>
      <c r="J2515" s="15" t="s">
        <v>1284</v>
      </c>
      <c r="K2515" s="19" t="s">
        <v>1267</v>
      </c>
      <c r="L2515" s="32">
        <f>Data!$D2515/10^6</f>
        <v>293.15641099999999</v>
      </c>
    </row>
    <row r="2516" spans="1:12" x14ac:dyDescent="0.25">
      <c r="A2516" s="30" t="s">
        <v>98</v>
      </c>
      <c r="B2516" s="19" t="s">
        <v>764</v>
      </c>
      <c r="C2516" s="19" t="s">
        <v>149</v>
      </c>
      <c r="D2516" s="20">
        <v>287289091</v>
      </c>
      <c r="E2516" s="21">
        <v>45627</v>
      </c>
      <c r="F2516" s="18">
        <f>MONTH(Data!$E2516)</f>
        <v>12</v>
      </c>
      <c r="G2516" s="16">
        <f>YEAR(Data!$E2516)</f>
        <v>2024</v>
      </c>
      <c r="H2516" s="19" t="s">
        <v>11</v>
      </c>
      <c r="I2516" s="15" t="str">
        <f t="shared" si="39"/>
        <v>Sở ban ngành</v>
      </c>
      <c r="J2516" s="15" t="s">
        <v>1285</v>
      </c>
      <c r="K2516" s="19" t="s">
        <v>1263</v>
      </c>
      <c r="L2516" s="32">
        <f>Data!$D2516/10^6</f>
        <v>287.28909099999998</v>
      </c>
    </row>
    <row r="2517" spans="1:12" x14ac:dyDescent="0.25">
      <c r="A2517" s="30" t="s">
        <v>160</v>
      </c>
      <c r="B2517" s="19" t="s">
        <v>780</v>
      </c>
      <c r="C2517" s="19" t="s">
        <v>10</v>
      </c>
      <c r="D2517" s="20">
        <v>567727273</v>
      </c>
      <c r="E2517" s="21">
        <v>45627</v>
      </c>
      <c r="F2517" s="18">
        <f>MONTH(Data!$E2517)</f>
        <v>12</v>
      </c>
      <c r="G2517" s="16">
        <f>YEAR(Data!$E2517)</f>
        <v>2024</v>
      </c>
      <c r="H2517" s="19" t="s">
        <v>35</v>
      </c>
      <c r="I2517" s="15" t="str">
        <f t="shared" si="39"/>
        <v>Sở ban ngành</v>
      </c>
      <c r="J2517" s="15" t="s">
        <v>1284</v>
      </c>
      <c r="K2517" s="19" t="s">
        <v>1267</v>
      </c>
      <c r="L2517" s="32">
        <f>Data!$D2517/10^6</f>
        <v>567.72727299999997</v>
      </c>
    </row>
    <row r="2518" spans="1:12" x14ac:dyDescent="0.25">
      <c r="A2518" s="30" t="s">
        <v>255</v>
      </c>
      <c r="B2518" s="19" t="s">
        <v>784</v>
      </c>
      <c r="C2518" s="19" t="s">
        <v>10</v>
      </c>
      <c r="D2518" s="20">
        <v>146242224</v>
      </c>
      <c r="E2518" s="21">
        <v>45627</v>
      </c>
      <c r="F2518" s="18">
        <f>MONTH(Data!$E2518)</f>
        <v>12</v>
      </c>
      <c r="G2518" s="16">
        <f>YEAR(Data!$E2518)</f>
        <v>2024</v>
      </c>
      <c r="H2518" s="19" t="s">
        <v>11</v>
      </c>
      <c r="I2518" s="15" t="str">
        <f t="shared" si="39"/>
        <v>Sở ban ngành</v>
      </c>
      <c r="J2518" s="15" t="s">
        <v>1285</v>
      </c>
      <c r="K2518" s="19" t="s">
        <v>1263</v>
      </c>
      <c r="L2518" s="32">
        <f>Data!$D2518/10^6</f>
        <v>146.24222399999999</v>
      </c>
    </row>
    <row r="2519" spans="1:12" x14ac:dyDescent="0.25">
      <c r="A2519" s="30" t="s">
        <v>79</v>
      </c>
      <c r="B2519" s="19" t="s">
        <v>753</v>
      </c>
      <c r="C2519" s="19" t="s">
        <v>10</v>
      </c>
      <c r="D2519" s="20">
        <v>40919182</v>
      </c>
      <c r="E2519" s="21">
        <v>45627</v>
      </c>
      <c r="F2519" s="18">
        <f>MONTH(Data!$E2519)</f>
        <v>12</v>
      </c>
      <c r="G2519" s="16">
        <f>YEAR(Data!$E2519)</f>
        <v>2024</v>
      </c>
      <c r="H2519" s="19" t="s">
        <v>15</v>
      </c>
      <c r="I2519" s="15" t="str">
        <f t="shared" si="39"/>
        <v>Sở ban ngành</v>
      </c>
      <c r="J2519" s="15" t="s">
        <v>1284</v>
      </c>
      <c r="K2519" s="19" t="s">
        <v>1263</v>
      </c>
      <c r="L2519" s="32">
        <f>Data!$D2519/10^6</f>
        <v>40.919181999999999</v>
      </c>
    </row>
    <row r="2520" spans="1:12" x14ac:dyDescent="0.25">
      <c r="A2520" s="30" t="s">
        <v>52</v>
      </c>
      <c r="B2520" s="19" t="s">
        <v>767</v>
      </c>
      <c r="C2520" s="19" t="s">
        <v>10</v>
      </c>
      <c r="D2520" s="20">
        <v>536400000</v>
      </c>
      <c r="E2520" s="21">
        <v>45627</v>
      </c>
      <c r="F2520" s="18">
        <f>MONTH(Data!$E2520)</f>
        <v>12</v>
      </c>
      <c r="G2520" s="16">
        <f>YEAR(Data!$E2520)</f>
        <v>2024</v>
      </c>
      <c r="H2520" s="19" t="s">
        <v>35</v>
      </c>
      <c r="I2520" s="15" t="str">
        <f t="shared" si="39"/>
        <v>Sở ban ngành</v>
      </c>
      <c r="J2520" s="15" t="s">
        <v>1285</v>
      </c>
      <c r="K2520" s="19" t="s">
        <v>1267</v>
      </c>
      <c r="L2520" s="32">
        <f>Data!$D2520/10^6</f>
        <v>536.4</v>
      </c>
    </row>
    <row r="2521" spans="1:12" x14ac:dyDescent="0.25">
      <c r="A2521" s="30" t="s">
        <v>79</v>
      </c>
      <c r="B2521" s="19" t="s">
        <v>574</v>
      </c>
      <c r="C2521" s="19" t="s">
        <v>10</v>
      </c>
      <c r="D2521" s="20">
        <v>36304873</v>
      </c>
      <c r="E2521" s="21">
        <v>45627</v>
      </c>
      <c r="F2521" s="18">
        <f>MONTH(Data!$E2521)</f>
        <v>12</v>
      </c>
      <c r="G2521" s="16">
        <f>YEAR(Data!$E2521)</f>
        <v>2024</v>
      </c>
      <c r="H2521" s="19" t="s">
        <v>15</v>
      </c>
      <c r="I2521" s="15" t="str">
        <f t="shared" si="39"/>
        <v>Sở ban ngành</v>
      </c>
      <c r="J2521" s="15" t="s">
        <v>1284</v>
      </c>
      <c r="K2521" s="19" t="s">
        <v>1263</v>
      </c>
      <c r="L2521" s="32">
        <f>Data!$D2521/10^6</f>
        <v>36.304873000000001</v>
      </c>
    </row>
    <row r="2522" spans="1:12" x14ac:dyDescent="0.25">
      <c r="A2522" s="30" t="s">
        <v>79</v>
      </c>
      <c r="B2522" s="19" t="s">
        <v>574</v>
      </c>
      <c r="C2522" s="19" t="s">
        <v>10</v>
      </c>
      <c r="D2522" s="20">
        <v>18989745</v>
      </c>
      <c r="E2522" s="21">
        <v>45627</v>
      </c>
      <c r="F2522" s="18">
        <f>MONTH(Data!$E2522)</f>
        <v>12</v>
      </c>
      <c r="G2522" s="16">
        <f>YEAR(Data!$E2522)</f>
        <v>2024</v>
      </c>
      <c r="H2522" s="19" t="s">
        <v>15</v>
      </c>
      <c r="I2522" s="15" t="str">
        <f t="shared" si="39"/>
        <v>Sở ban ngành</v>
      </c>
      <c r="J2522" s="15" t="s">
        <v>1285</v>
      </c>
      <c r="K2522" s="19" t="s">
        <v>1263</v>
      </c>
      <c r="L2522" s="32">
        <f>Data!$D2522/10^6</f>
        <v>18.989744999999999</v>
      </c>
    </row>
    <row r="2523" spans="1:12" x14ac:dyDescent="0.25">
      <c r="A2523" s="30" t="s">
        <v>255</v>
      </c>
      <c r="B2523" s="19" t="s">
        <v>751</v>
      </c>
      <c r="C2523" s="19" t="s">
        <v>10</v>
      </c>
      <c r="D2523" s="20">
        <v>250657386</v>
      </c>
      <c r="E2523" s="21">
        <v>45627</v>
      </c>
      <c r="F2523" s="18">
        <f>MONTH(Data!$E2523)</f>
        <v>12</v>
      </c>
      <c r="G2523" s="16">
        <f>YEAR(Data!$E2523)</f>
        <v>2024</v>
      </c>
      <c r="H2523" s="19" t="s">
        <v>11</v>
      </c>
      <c r="I2523" s="15" t="str">
        <f t="shared" si="39"/>
        <v>Sở ban ngành</v>
      </c>
      <c r="J2523" s="15" t="s">
        <v>1284</v>
      </c>
      <c r="K2523" s="19" t="s">
        <v>1263</v>
      </c>
      <c r="L2523" s="32">
        <f>Data!$D2523/10^6</f>
        <v>250.657386</v>
      </c>
    </row>
    <row r="2524" spans="1:12" x14ac:dyDescent="0.25">
      <c r="A2524" s="30" t="s">
        <v>255</v>
      </c>
      <c r="B2524" s="19" t="s">
        <v>751</v>
      </c>
      <c r="C2524" s="19" t="s">
        <v>10</v>
      </c>
      <c r="D2524" s="20">
        <v>125083636</v>
      </c>
      <c r="E2524" s="21">
        <v>45627</v>
      </c>
      <c r="F2524" s="18">
        <f>MONTH(Data!$E2524)</f>
        <v>12</v>
      </c>
      <c r="G2524" s="16">
        <f>YEAR(Data!$E2524)</f>
        <v>2024</v>
      </c>
      <c r="H2524" s="19" t="s">
        <v>11</v>
      </c>
      <c r="I2524" s="15" t="str">
        <f t="shared" si="39"/>
        <v>Sở ban ngành</v>
      </c>
      <c r="J2524" s="15" t="s">
        <v>1285</v>
      </c>
      <c r="K2524" s="19" t="s">
        <v>1263</v>
      </c>
      <c r="L2524" s="32">
        <f>Data!$D2524/10^6</f>
        <v>125.083636</v>
      </c>
    </row>
    <row r="2525" spans="1:12" x14ac:dyDescent="0.25">
      <c r="A2525" s="30" t="s">
        <v>89</v>
      </c>
      <c r="B2525" s="15" t="s">
        <v>1025</v>
      </c>
      <c r="C2525" s="19" t="s">
        <v>46</v>
      </c>
      <c r="D2525" s="20">
        <v>9090909</v>
      </c>
      <c r="E2525" s="21">
        <v>45627</v>
      </c>
      <c r="F2525" s="18">
        <f>MONTH(Data!$E2525)</f>
        <v>12</v>
      </c>
      <c r="G2525" s="16">
        <f>YEAR(Data!$E2525)</f>
        <v>2024</v>
      </c>
      <c r="H2525" s="19" t="s">
        <v>11</v>
      </c>
      <c r="I2525" s="15" t="str">
        <f t="shared" si="39"/>
        <v>Doanh nghiệp</v>
      </c>
      <c r="J2525" s="15" t="s">
        <v>1284</v>
      </c>
      <c r="K2525" s="19" t="s">
        <v>1271</v>
      </c>
      <c r="L2525" s="32">
        <f>Data!$D2525/10^6</f>
        <v>9.0909089999999999</v>
      </c>
    </row>
    <row r="2526" spans="1:12" x14ac:dyDescent="0.25">
      <c r="A2526" s="30" t="s">
        <v>89</v>
      </c>
      <c r="B2526" s="15" t="s">
        <v>1026</v>
      </c>
      <c r="C2526" s="19" t="s">
        <v>46</v>
      </c>
      <c r="D2526" s="20">
        <v>9090909</v>
      </c>
      <c r="E2526" s="21">
        <v>45627</v>
      </c>
      <c r="F2526" s="18">
        <f>MONTH(Data!$E2526)</f>
        <v>12</v>
      </c>
      <c r="G2526" s="16">
        <f>YEAR(Data!$E2526)</f>
        <v>2024</v>
      </c>
      <c r="H2526" s="19" t="s">
        <v>11</v>
      </c>
      <c r="I2526" s="15" t="str">
        <f t="shared" si="39"/>
        <v>Doanh nghiệp</v>
      </c>
      <c r="J2526" s="15" t="s">
        <v>1285</v>
      </c>
      <c r="K2526" s="19" t="s">
        <v>1271</v>
      </c>
      <c r="L2526" s="32">
        <f>Data!$D2526/10^6</f>
        <v>9.0909089999999999</v>
      </c>
    </row>
    <row r="2527" spans="1:12" x14ac:dyDescent="0.25">
      <c r="A2527" s="30" t="s">
        <v>89</v>
      </c>
      <c r="B2527" s="15" t="s">
        <v>1028</v>
      </c>
      <c r="C2527" s="19" t="s">
        <v>46</v>
      </c>
      <c r="D2527" s="20">
        <v>9090909</v>
      </c>
      <c r="E2527" s="21">
        <v>45627</v>
      </c>
      <c r="F2527" s="18">
        <f>MONTH(Data!$E2527)</f>
        <v>12</v>
      </c>
      <c r="G2527" s="16">
        <f>YEAR(Data!$E2527)</f>
        <v>2024</v>
      </c>
      <c r="H2527" s="19" t="s">
        <v>11</v>
      </c>
      <c r="I2527" s="15" t="str">
        <f t="shared" si="39"/>
        <v>Doanh nghiệp</v>
      </c>
      <c r="J2527" s="15" t="s">
        <v>1284</v>
      </c>
      <c r="K2527" s="19" t="s">
        <v>1271</v>
      </c>
      <c r="L2527" s="32">
        <f>Data!$D2527/10^6</f>
        <v>9.0909089999999999</v>
      </c>
    </row>
    <row r="2528" spans="1:12" x14ac:dyDescent="0.25">
      <c r="A2528" s="30" t="s">
        <v>89</v>
      </c>
      <c r="B2528" s="15" t="s">
        <v>1029</v>
      </c>
      <c r="C2528" s="19" t="s">
        <v>46</v>
      </c>
      <c r="D2528" s="20">
        <v>9090909</v>
      </c>
      <c r="E2528" s="21">
        <v>45627</v>
      </c>
      <c r="F2528" s="18">
        <f>MONTH(Data!$E2528)</f>
        <v>12</v>
      </c>
      <c r="G2528" s="16">
        <f>YEAR(Data!$E2528)</f>
        <v>2024</v>
      </c>
      <c r="H2528" s="19" t="s">
        <v>11</v>
      </c>
      <c r="I2528" s="15" t="str">
        <f t="shared" si="39"/>
        <v>Doanh nghiệp</v>
      </c>
      <c r="J2528" s="15" t="s">
        <v>1285</v>
      </c>
      <c r="K2528" s="19" t="s">
        <v>1271</v>
      </c>
      <c r="L2528" s="32">
        <f>Data!$D2528/10^6</f>
        <v>9.0909089999999999</v>
      </c>
    </row>
    <row r="2529" spans="1:12" x14ac:dyDescent="0.25">
      <c r="A2529" s="30" t="s">
        <v>89</v>
      </c>
      <c r="B2529" s="15" t="s">
        <v>1031</v>
      </c>
      <c r="C2529" s="19" t="s">
        <v>46</v>
      </c>
      <c r="D2529" s="20">
        <v>9090909</v>
      </c>
      <c r="E2529" s="21">
        <v>45627</v>
      </c>
      <c r="F2529" s="18">
        <f>MONTH(Data!$E2529)</f>
        <v>12</v>
      </c>
      <c r="G2529" s="16">
        <f>YEAR(Data!$E2529)</f>
        <v>2024</v>
      </c>
      <c r="H2529" s="19" t="s">
        <v>11</v>
      </c>
      <c r="I2529" s="15" t="str">
        <f t="shared" si="39"/>
        <v>Doanh nghiệp</v>
      </c>
      <c r="J2529" s="15" t="s">
        <v>1284</v>
      </c>
      <c r="K2529" s="19" t="s">
        <v>1271</v>
      </c>
      <c r="L2529" s="32">
        <f>Data!$D2529/10^6</f>
        <v>9.0909089999999999</v>
      </c>
    </row>
    <row r="2530" spans="1:12" x14ac:dyDescent="0.25">
      <c r="A2530" s="30" t="s">
        <v>89</v>
      </c>
      <c r="B2530" s="15" t="s">
        <v>1033</v>
      </c>
      <c r="C2530" s="19" t="s">
        <v>46</v>
      </c>
      <c r="D2530" s="20">
        <v>22327273</v>
      </c>
      <c r="E2530" s="21">
        <v>45627</v>
      </c>
      <c r="F2530" s="18">
        <f>MONTH(Data!$E2530)</f>
        <v>12</v>
      </c>
      <c r="G2530" s="16">
        <f>YEAR(Data!$E2530)</f>
        <v>2024</v>
      </c>
      <c r="H2530" s="19" t="s">
        <v>11</v>
      </c>
      <c r="I2530" s="15" t="str">
        <f t="shared" si="39"/>
        <v>Doanh nghiệp</v>
      </c>
      <c r="J2530" s="15" t="s">
        <v>1285</v>
      </c>
      <c r="K2530" s="19" t="s">
        <v>1271</v>
      </c>
      <c r="L2530" s="32">
        <f>Data!$D2530/10^6</f>
        <v>22.327273000000002</v>
      </c>
    </row>
    <row r="2531" spans="1:12" x14ac:dyDescent="0.25">
      <c r="A2531" s="30" t="s">
        <v>89</v>
      </c>
      <c r="B2531" s="15" t="s">
        <v>1036</v>
      </c>
      <c r="C2531" s="19" t="s">
        <v>46</v>
      </c>
      <c r="D2531" s="20">
        <v>9090909</v>
      </c>
      <c r="E2531" s="21">
        <v>45627</v>
      </c>
      <c r="F2531" s="18">
        <f>MONTH(Data!$E2531)</f>
        <v>12</v>
      </c>
      <c r="G2531" s="16">
        <f>YEAR(Data!$E2531)</f>
        <v>2024</v>
      </c>
      <c r="H2531" s="19" t="s">
        <v>11</v>
      </c>
      <c r="I2531" s="15" t="str">
        <f t="shared" si="39"/>
        <v>Doanh nghiệp</v>
      </c>
      <c r="J2531" s="15" t="s">
        <v>1284</v>
      </c>
      <c r="K2531" s="19" t="s">
        <v>1271</v>
      </c>
      <c r="L2531" s="32">
        <f>Data!$D2531/10^6</f>
        <v>9.0909089999999999</v>
      </c>
    </row>
    <row r="2532" spans="1:12" x14ac:dyDescent="0.25">
      <c r="A2532" s="30" t="s">
        <v>89</v>
      </c>
      <c r="B2532" s="15" t="s">
        <v>1037</v>
      </c>
      <c r="C2532" s="19" t="s">
        <v>46</v>
      </c>
      <c r="D2532" s="20">
        <v>9090909</v>
      </c>
      <c r="E2532" s="21">
        <v>45627</v>
      </c>
      <c r="F2532" s="18">
        <f>MONTH(Data!$E2532)</f>
        <v>12</v>
      </c>
      <c r="G2532" s="16">
        <f>YEAR(Data!$E2532)</f>
        <v>2024</v>
      </c>
      <c r="H2532" s="19" t="s">
        <v>11</v>
      </c>
      <c r="I2532" s="15" t="str">
        <f t="shared" si="39"/>
        <v>Doanh nghiệp</v>
      </c>
      <c r="J2532" s="15" t="s">
        <v>1285</v>
      </c>
      <c r="K2532" s="19" t="s">
        <v>1271</v>
      </c>
      <c r="L2532" s="32">
        <f>Data!$D2532/10^6</f>
        <v>9.0909089999999999</v>
      </c>
    </row>
    <row r="2533" spans="1:12" x14ac:dyDescent="0.25">
      <c r="A2533" s="30" t="s">
        <v>89</v>
      </c>
      <c r="B2533" s="15" t="s">
        <v>1038</v>
      </c>
      <c r="C2533" s="19" t="s">
        <v>46</v>
      </c>
      <c r="D2533" s="20">
        <v>9090909</v>
      </c>
      <c r="E2533" s="21">
        <v>45627</v>
      </c>
      <c r="F2533" s="18">
        <f>MONTH(Data!$E2533)</f>
        <v>12</v>
      </c>
      <c r="G2533" s="16">
        <f>YEAR(Data!$E2533)</f>
        <v>2024</v>
      </c>
      <c r="H2533" s="19" t="s">
        <v>11</v>
      </c>
      <c r="I2533" s="15" t="str">
        <f t="shared" si="39"/>
        <v>Doanh nghiệp</v>
      </c>
      <c r="J2533" s="15" t="s">
        <v>1284</v>
      </c>
      <c r="K2533" s="19" t="s">
        <v>1271</v>
      </c>
      <c r="L2533" s="32">
        <f>Data!$D2533/10^6</f>
        <v>9.0909089999999999</v>
      </c>
    </row>
    <row r="2534" spans="1:12" x14ac:dyDescent="0.25">
      <c r="A2534" s="30" t="s">
        <v>89</v>
      </c>
      <c r="B2534" s="15" t="s">
        <v>1039</v>
      </c>
      <c r="C2534" s="19" t="s">
        <v>46</v>
      </c>
      <c r="D2534" s="20">
        <v>45381818</v>
      </c>
      <c r="E2534" s="21">
        <v>45627</v>
      </c>
      <c r="F2534" s="18">
        <f>MONTH(Data!$E2534)</f>
        <v>12</v>
      </c>
      <c r="G2534" s="16">
        <f>YEAR(Data!$E2534)</f>
        <v>2024</v>
      </c>
      <c r="H2534" s="19" t="s">
        <v>11</v>
      </c>
      <c r="I2534" s="15" t="str">
        <f t="shared" si="39"/>
        <v>Doanh nghiệp</v>
      </c>
      <c r="J2534" s="15" t="s">
        <v>1285</v>
      </c>
      <c r="K2534" s="19" t="s">
        <v>1271</v>
      </c>
      <c r="L2534" s="32">
        <f>Data!$D2534/10^6</f>
        <v>45.381818000000003</v>
      </c>
    </row>
    <row r="2535" spans="1:12" x14ac:dyDescent="0.25">
      <c r="A2535" s="30" t="s">
        <v>85</v>
      </c>
      <c r="B2535" s="19" t="s">
        <v>802</v>
      </c>
      <c r="C2535" s="19" t="s">
        <v>14</v>
      </c>
      <c r="D2535" s="20">
        <v>387873636</v>
      </c>
      <c r="E2535" s="21">
        <v>45627</v>
      </c>
      <c r="F2535" s="18">
        <f>MONTH(Data!$E2535)</f>
        <v>12</v>
      </c>
      <c r="G2535" s="16">
        <f>YEAR(Data!$E2535)</f>
        <v>2024</v>
      </c>
      <c r="H2535" s="19" t="s">
        <v>15</v>
      </c>
      <c r="I2535" s="15" t="str">
        <f t="shared" si="39"/>
        <v>Sở ban ngành</v>
      </c>
      <c r="J2535" s="15" t="s">
        <v>1284</v>
      </c>
      <c r="K2535" s="19" t="s">
        <v>1264</v>
      </c>
      <c r="L2535" s="32">
        <f>Data!$D2535/10^6</f>
        <v>387.87363599999998</v>
      </c>
    </row>
    <row r="2536" spans="1:12" x14ac:dyDescent="0.25">
      <c r="A2536" s="30" t="s">
        <v>75</v>
      </c>
      <c r="B2536" s="19" t="s">
        <v>670</v>
      </c>
      <c r="C2536" s="19" t="s">
        <v>10</v>
      </c>
      <c r="D2536" s="20">
        <v>11818182</v>
      </c>
      <c r="E2536" s="21">
        <v>45627</v>
      </c>
      <c r="F2536" s="18">
        <f>MONTH(Data!$E2536)</f>
        <v>12</v>
      </c>
      <c r="G2536" s="16">
        <f>YEAR(Data!$E2536)</f>
        <v>2024</v>
      </c>
      <c r="H2536" s="19" t="s">
        <v>15</v>
      </c>
      <c r="I2536" s="15" t="str">
        <f t="shared" si="39"/>
        <v>Ngân hàng</v>
      </c>
      <c r="J2536" s="15" t="s">
        <v>1285</v>
      </c>
      <c r="K2536" s="19" t="s">
        <v>1262</v>
      </c>
      <c r="L2536" s="32">
        <f>Data!$D2536/10^6</f>
        <v>11.818182</v>
      </c>
    </row>
    <row r="2537" spans="1:12" x14ac:dyDescent="0.25">
      <c r="A2537" s="30" t="s">
        <v>127</v>
      </c>
      <c r="B2537" s="19" t="s">
        <v>771</v>
      </c>
      <c r="C2537" s="19" t="s">
        <v>14</v>
      </c>
      <c r="D2537" s="20">
        <v>417434545</v>
      </c>
      <c r="E2537" s="21">
        <v>45627</v>
      </c>
      <c r="F2537" s="18">
        <f>MONTH(Data!$E2537)</f>
        <v>12</v>
      </c>
      <c r="G2537" s="16">
        <f>YEAR(Data!$E2537)</f>
        <v>2024</v>
      </c>
      <c r="H2537" s="19" t="s">
        <v>32</v>
      </c>
      <c r="I2537" s="15" t="str">
        <f t="shared" si="39"/>
        <v>Ngân hàng</v>
      </c>
      <c r="J2537" s="15" t="s">
        <v>1284</v>
      </c>
      <c r="K2537" s="19" t="s">
        <v>1264</v>
      </c>
      <c r="L2537" s="32">
        <f>Data!$D2537/10^6</f>
        <v>417.43454500000001</v>
      </c>
    </row>
    <row r="2538" spans="1:12" x14ac:dyDescent="0.25">
      <c r="A2538" s="30" t="s">
        <v>36</v>
      </c>
      <c r="B2538" s="19" t="s">
        <v>697</v>
      </c>
      <c r="C2538" s="19" t="s">
        <v>149</v>
      </c>
      <c r="D2538" s="20">
        <v>17636364</v>
      </c>
      <c r="E2538" s="21">
        <v>45627</v>
      </c>
      <c r="F2538" s="18">
        <f>MONTH(Data!$E2538)</f>
        <v>12</v>
      </c>
      <c r="G2538" s="16">
        <f>YEAR(Data!$E2538)</f>
        <v>2024</v>
      </c>
      <c r="H2538" s="19" t="s">
        <v>15</v>
      </c>
      <c r="I2538" s="15" t="str">
        <f t="shared" si="39"/>
        <v>Ngân hàng</v>
      </c>
      <c r="J2538" s="15" t="s">
        <v>1285</v>
      </c>
      <c r="K2538" s="19" t="s">
        <v>1264</v>
      </c>
      <c r="L2538" s="32">
        <f>Data!$D2538/10^6</f>
        <v>17.636364</v>
      </c>
    </row>
    <row r="2539" spans="1:12" x14ac:dyDescent="0.25">
      <c r="A2539" s="30" t="s">
        <v>37</v>
      </c>
      <c r="B2539" s="19" t="s">
        <v>781</v>
      </c>
      <c r="C2539" s="19" t="s">
        <v>14</v>
      </c>
      <c r="D2539" s="20">
        <v>704954545</v>
      </c>
      <c r="E2539" s="21">
        <v>45627</v>
      </c>
      <c r="F2539" s="18">
        <f>MONTH(Data!$E2539)</f>
        <v>12</v>
      </c>
      <c r="G2539" s="16">
        <f>YEAR(Data!$E2539)</f>
        <v>2024</v>
      </c>
      <c r="H2539" s="19" t="s">
        <v>11</v>
      </c>
      <c r="I2539" s="15" t="str">
        <f t="shared" si="39"/>
        <v>Sở ban ngành</v>
      </c>
      <c r="J2539" s="15" t="s">
        <v>1284</v>
      </c>
      <c r="K2539" s="19" t="s">
        <v>1275</v>
      </c>
      <c r="L2539" s="32">
        <f>Data!$D2539/10^6</f>
        <v>704.95454500000005</v>
      </c>
    </row>
    <row r="2540" spans="1:12" x14ac:dyDescent="0.25">
      <c r="A2540" s="30" t="s">
        <v>27</v>
      </c>
      <c r="B2540" s="19" t="s">
        <v>677</v>
      </c>
      <c r="C2540" s="19" t="s">
        <v>10</v>
      </c>
      <c r="D2540" s="20">
        <v>1928000</v>
      </c>
      <c r="E2540" s="21">
        <v>45627</v>
      </c>
      <c r="F2540" s="18">
        <f>MONTH(Data!$E2540)</f>
        <v>12</v>
      </c>
      <c r="G2540" s="16">
        <f>YEAR(Data!$E2540)</f>
        <v>2024</v>
      </c>
      <c r="H2540" s="19" t="s">
        <v>11</v>
      </c>
      <c r="I2540" s="15" t="str">
        <f t="shared" si="39"/>
        <v>Ngân hàng</v>
      </c>
      <c r="J2540" s="15" t="s">
        <v>1285</v>
      </c>
      <c r="K2540" s="19" t="s">
        <v>1263</v>
      </c>
      <c r="L2540" s="32">
        <f>Data!$D2540/10^6</f>
        <v>1.9279999999999999</v>
      </c>
    </row>
    <row r="2541" spans="1:12" x14ac:dyDescent="0.25">
      <c r="A2541" s="30" t="s">
        <v>27</v>
      </c>
      <c r="B2541" s="19" t="s">
        <v>458</v>
      </c>
      <c r="C2541" s="19" t="s">
        <v>10</v>
      </c>
      <c r="D2541" s="20">
        <v>1928000</v>
      </c>
      <c r="E2541" s="21">
        <v>45627</v>
      </c>
      <c r="F2541" s="18">
        <f>MONTH(Data!$E2541)</f>
        <v>12</v>
      </c>
      <c r="G2541" s="16">
        <f>YEAR(Data!$E2541)</f>
        <v>2024</v>
      </c>
      <c r="H2541" s="19" t="s">
        <v>11</v>
      </c>
      <c r="I2541" s="15" t="str">
        <f t="shared" si="39"/>
        <v>Ngân hàng</v>
      </c>
      <c r="J2541" s="15" t="s">
        <v>1284</v>
      </c>
      <c r="K2541" s="19" t="s">
        <v>1263</v>
      </c>
      <c r="L2541" s="32">
        <f>Data!$D2541/10^6</f>
        <v>1.9279999999999999</v>
      </c>
    </row>
    <row r="2542" spans="1:12" x14ac:dyDescent="0.25">
      <c r="A2542" s="30" t="s">
        <v>65</v>
      </c>
      <c r="B2542" s="19" t="s">
        <v>667</v>
      </c>
      <c r="C2542" s="19" t="s">
        <v>41</v>
      </c>
      <c r="D2542" s="20">
        <v>881836364</v>
      </c>
      <c r="E2542" s="21">
        <v>45627</v>
      </c>
      <c r="F2542" s="18">
        <f>MONTH(Data!$E2542)</f>
        <v>12</v>
      </c>
      <c r="G2542" s="16">
        <f>YEAR(Data!$E2542)</f>
        <v>2024</v>
      </c>
      <c r="H2542" s="19" t="s">
        <v>25</v>
      </c>
      <c r="I2542" s="15" t="str">
        <f t="shared" si="39"/>
        <v>Sở ban ngành</v>
      </c>
      <c r="J2542" s="15" t="s">
        <v>1285</v>
      </c>
      <c r="K2542" s="19" t="s">
        <v>1269</v>
      </c>
      <c r="L2542" s="32">
        <f>Data!$D2542/10^6</f>
        <v>881.836364</v>
      </c>
    </row>
    <row r="2543" spans="1:12" x14ac:dyDescent="0.25">
      <c r="A2543" s="30" t="s">
        <v>28</v>
      </c>
      <c r="B2543" s="19" t="s">
        <v>744</v>
      </c>
      <c r="C2543" s="19" t="s">
        <v>10</v>
      </c>
      <c r="D2543" s="20">
        <v>714900826</v>
      </c>
      <c r="E2543" s="21">
        <v>45627</v>
      </c>
      <c r="F2543" s="18">
        <f>MONTH(Data!$E2543)</f>
        <v>12</v>
      </c>
      <c r="G2543" s="16">
        <f>YEAR(Data!$E2543)</f>
        <v>2024</v>
      </c>
      <c r="H2543" s="19" t="s">
        <v>29</v>
      </c>
      <c r="I2543" s="15" t="str">
        <f t="shared" si="39"/>
        <v>Sở ban ngành</v>
      </c>
      <c r="J2543" s="15" t="s">
        <v>1284</v>
      </c>
      <c r="K2543" s="19" t="s">
        <v>1267</v>
      </c>
      <c r="L2543" s="32">
        <f>Data!$D2543/10^6</f>
        <v>714.90082600000005</v>
      </c>
    </row>
    <row r="2544" spans="1:12" x14ac:dyDescent="0.25">
      <c r="A2544" s="30" t="s">
        <v>54</v>
      </c>
      <c r="B2544" s="19" t="s">
        <v>708</v>
      </c>
      <c r="C2544" s="19" t="s">
        <v>14</v>
      </c>
      <c r="D2544" s="20">
        <v>40419091</v>
      </c>
      <c r="E2544" s="21">
        <v>45627</v>
      </c>
      <c r="F2544" s="18">
        <f>MONTH(Data!$E2544)</f>
        <v>12</v>
      </c>
      <c r="G2544" s="16">
        <f>YEAR(Data!$E2544)</f>
        <v>2024</v>
      </c>
      <c r="H2544" s="19" t="s">
        <v>15</v>
      </c>
      <c r="I2544" s="15" t="str">
        <f t="shared" si="39"/>
        <v>Sở ban ngành</v>
      </c>
      <c r="J2544" s="15" t="s">
        <v>1285</v>
      </c>
      <c r="K2544" s="19" t="s">
        <v>1263</v>
      </c>
      <c r="L2544" s="32">
        <f>Data!$D2544/10^6</f>
        <v>40.419091000000002</v>
      </c>
    </row>
    <row r="2545" spans="1:12" x14ac:dyDescent="0.25">
      <c r="A2545" s="30" t="s">
        <v>54</v>
      </c>
      <c r="B2545" s="19" t="s">
        <v>708</v>
      </c>
      <c r="C2545" s="19" t="s">
        <v>14</v>
      </c>
      <c r="D2545" s="20">
        <v>40419091</v>
      </c>
      <c r="E2545" s="21">
        <v>45627</v>
      </c>
      <c r="F2545" s="18">
        <f>MONTH(Data!$E2545)</f>
        <v>12</v>
      </c>
      <c r="G2545" s="16">
        <f>YEAR(Data!$E2545)</f>
        <v>2024</v>
      </c>
      <c r="H2545" s="19" t="s">
        <v>15</v>
      </c>
      <c r="I2545" s="15" t="str">
        <f t="shared" si="39"/>
        <v>Sở ban ngành</v>
      </c>
      <c r="J2545" s="15" t="s">
        <v>1284</v>
      </c>
      <c r="K2545" s="19" t="s">
        <v>1263</v>
      </c>
      <c r="L2545" s="32">
        <f>Data!$D2545/10^6</f>
        <v>40.419091000000002</v>
      </c>
    </row>
    <row r="2546" spans="1:12" x14ac:dyDescent="0.25">
      <c r="A2546" s="30" t="s">
        <v>54</v>
      </c>
      <c r="B2546" s="19" t="s">
        <v>708</v>
      </c>
      <c r="C2546" s="19" t="s">
        <v>14</v>
      </c>
      <c r="D2546" s="20">
        <v>40419091</v>
      </c>
      <c r="E2546" s="21">
        <v>45627</v>
      </c>
      <c r="F2546" s="18">
        <f>MONTH(Data!$E2546)</f>
        <v>12</v>
      </c>
      <c r="G2546" s="16">
        <f>YEAR(Data!$E2546)</f>
        <v>2024</v>
      </c>
      <c r="H2546" s="19" t="s">
        <v>15</v>
      </c>
      <c r="I2546" s="15" t="str">
        <f t="shared" si="39"/>
        <v>Sở ban ngành</v>
      </c>
      <c r="J2546" s="15" t="s">
        <v>1285</v>
      </c>
      <c r="K2546" s="19" t="s">
        <v>1263</v>
      </c>
      <c r="L2546" s="32">
        <f>Data!$D2546/10^6</f>
        <v>40.419091000000002</v>
      </c>
    </row>
    <row r="2547" spans="1:12" x14ac:dyDescent="0.25">
      <c r="A2547" s="30" t="s">
        <v>54</v>
      </c>
      <c r="B2547" s="19" t="s">
        <v>708</v>
      </c>
      <c r="C2547" s="19" t="s">
        <v>14</v>
      </c>
      <c r="D2547" s="20">
        <v>40419091</v>
      </c>
      <c r="E2547" s="21">
        <v>45627</v>
      </c>
      <c r="F2547" s="18">
        <f>MONTH(Data!$E2547)</f>
        <v>12</v>
      </c>
      <c r="G2547" s="16">
        <f>YEAR(Data!$E2547)</f>
        <v>2024</v>
      </c>
      <c r="H2547" s="19" t="s">
        <v>15</v>
      </c>
      <c r="I2547" s="15" t="str">
        <f t="shared" si="39"/>
        <v>Sở ban ngành</v>
      </c>
      <c r="J2547" s="15" t="s">
        <v>1284</v>
      </c>
      <c r="K2547" s="19" t="s">
        <v>1263</v>
      </c>
      <c r="L2547" s="32">
        <f>Data!$D2547/10^6</f>
        <v>40.419091000000002</v>
      </c>
    </row>
    <row r="2548" spans="1:12" x14ac:dyDescent="0.25">
      <c r="A2548" s="30" t="s">
        <v>54</v>
      </c>
      <c r="B2548" s="19" t="s">
        <v>708</v>
      </c>
      <c r="C2548" s="19" t="s">
        <v>14</v>
      </c>
      <c r="D2548" s="20">
        <v>40419091</v>
      </c>
      <c r="E2548" s="21">
        <v>45627</v>
      </c>
      <c r="F2548" s="18">
        <f>MONTH(Data!$E2548)</f>
        <v>12</v>
      </c>
      <c r="G2548" s="16">
        <f>YEAR(Data!$E2548)</f>
        <v>2024</v>
      </c>
      <c r="H2548" s="19" t="s">
        <v>15</v>
      </c>
      <c r="I2548" s="15" t="str">
        <f t="shared" si="39"/>
        <v>Sở ban ngành</v>
      </c>
      <c r="J2548" s="15" t="s">
        <v>1285</v>
      </c>
      <c r="K2548" s="19" t="s">
        <v>1263</v>
      </c>
      <c r="L2548" s="32">
        <f>Data!$D2548/10^6</f>
        <v>40.419091000000002</v>
      </c>
    </row>
    <row r="2549" spans="1:12" x14ac:dyDescent="0.25">
      <c r="A2549" s="30" t="s">
        <v>13</v>
      </c>
      <c r="B2549" s="19" t="s">
        <v>721</v>
      </c>
      <c r="C2549" s="19" t="s">
        <v>41</v>
      </c>
      <c r="D2549" s="20">
        <v>432763636</v>
      </c>
      <c r="E2549" s="21">
        <v>45627</v>
      </c>
      <c r="F2549" s="18">
        <f>MONTH(Data!$E2549)</f>
        <v>12</v>
      </c>
      <c r="G2549" s="16">
        <f>YEAR(Data!$E2549)</f>
        <v>2024</v>
      </c>
      <c r="H2549" s="19" t="s">
        <v>15</v>
      </c>
      <c r="I2549" s="15" t="str">
        <f t="shared" si="39"/>
        <v>Sở ban ngành</v>
      </c>
      <c r="J2549" s="15" t="s">
        <v>1284</v>
      </c>
      <c r="K2549" s="19" t="s">
        <v>1269</v>
      </c>
      <c r="L2549" s="32">
        <f>Data!$D2549/10^6</f>
        <v>432.76363600000002</v>
      </c>
    </row>
    <row r="2550" spans="1:12" x14ac:dyDescent="0.25">
      <c r="A2550" s="30" t="s">
        <v>28</v>
      </c>
      <c r="B2550" s="19" t="s">
        <v>401</v>
      </c>
      <c r="C2550" s="19" t="s">
        <v>14</v>
      </c>
      <c r="D2550" s="20">
        <v>72661570</v>
      </c>
      <c r="E2550" s="21">
        <v>45627</v>
      </c>
      <c r="F2550" s="18">
        <f>MONTH(Data!$E2550)</f>
        <v>12</v>
      </c>
      <c r="G2550" s="16">
        <f>YEAR(Data!$E2550)</f>
        <v>2024</v>
      </c>
      <c r="H2550" s="19" t="s">
        <v>29</v>
      </c>
      <c r="I2550" s="15" t="str">
        <f t="shared" si="39"/>
        <v>Sở ban ngành</v>
      </c>
      <c r="J2550" s="15" t="s">
        <v>1285</v>
      </c>
      <c r="K2550" s="19" t="s">
        <v>1263</v>
      </c>
      <c r="L2550" s="32">
        <f>Data!$D2550/10^6</f>
        <v>72.661569999999998</v>
      </c>
    </row>
    <row r="2551" spans="1:12" x14ac:dyDescent="0.25">
      <c r="A2551" s="30" t="s">
        <v>54</v>
      </c>
      <c r="B2551" s="19" t="s">
        <v>717</v>
      </c>
      <c r="C2551" s="19" t="s">
        <v>10</v>
      </c>
      <c r="D2551" s="20">
        <v>22709091</v>
      </c>
      <c r="E2551" s="21">
        <v>45627</v>
      </c>
      <c r="F2551" s="18">
        <f>MONTH(Data!$E2551)</f>
        <v>12</v>
      </c>
      <c r="G2551" s="16">
        <f>YEAR(Data!$E2551)</f>
        <v>2024</v>
      </c>
      <c r="H2551" s="19" t="s">
        <v>15</v>
      </c>
      <c r="I2551" s="15" t="str">
        <f t="shared" si="39"/>
        <v>Sở ban ngành</v>
      </c>
      <c r="J2551" s="15" t="s">
        <v>1284</v>
      </c>
      <c r="K2551" s="19" t="s">
        <v>1267</v>
      </c>
      <c r="L2551" s="32">
        <f>Data!$D2551/10^6</f>
        <v>22.709091000000001</v>
      </c>
    </row>
    <row r="2552" spans="1:12" x14ac:dyDescent="0.25">
      <c r="A2552" s="30" t="s">
        <v>54</v>
      </c>
      <c r="B2552" s="19" t="s">
        <v>718</v>
      </c>
      <c r="C2552" s="19" t="s">
        <v>10</v>
      </c>
      <c r="D2552" s="20">
        <v>22709091</v>
      </c>
      <c r="E2552" s="21">
        <v>45627</v>
      </c>
      <c r="F2552" s="18">
        <f>MONTH(Data!$E2552)</f>
        <v>12</v>
      </c>
      <c r="G2552" s="16">
        <f>YEAR(Data!$E2552)</f>
        <v>2024</v>
      </c>
      <c r="H2552" s="19" t="s">
        <v>15</v>
      </c>
      <c r="I2552" s="15" t="str">
        <f t="shared" si="39"/>
        <v>Sở ban ngành</v>
      </c>
      <c r="J2552" s="15" t="s">
        <v>1285</v>
      </c>
      <c r="K2552" s="19" t="s">
        <v>1267</v>
      </c>
      <c r="L2552" s="32">
        <f>Data!$D2552/10^6</f>
        <v>22.709091000000001</v>
      </c>
    </row>
    <row r="2553" spans="1:12" x14ac:dyDescent="0.25">
      <c r="A2553" s="30" t="s">
        <v>73</v>
      </c>
      <c r="B2553" s="19" t="s">
        <v>750</v>
      </c>
      <c r="C2553" s="19" t="s">
        <v>10</v>
      </c>
      <c r="D2553" s="20">
        <v>227541818</v>
      </c>
      <c r="E2553" s="21">
        <v>45627</v>
      </c>
      <c r="F2553" s="18">
        <f>MONTH(Data!$E2553)</f>
        <v>12</v>
      </c>
      <c r="G2553" s="16">
        <f>YEAR(Data!$E2553)</f>
        <v>2024</v>
      </c>
      <c r="H2553" s="19" t="s">
        <v>32</v>
      </c>
      <c r="I2553" s="15" t="str">
        <f t="shared" si="39"/>
        <v>Sở ban ngành</v>
      </c>
      <c r="J2553" s="15" t="s">
        <v>1284</v>
      </c>
      <c r="K2553" s="19" t="s">
        <v>1262</v>
      </c>
      <c r="L2553" s="32">
        <f>Data!$D2553/10^6</f>
        <v>227.54181800000001</v>
      </c>
    </row>
    <row r="2554" spans="1:12" x14ac:dyDescent="0.25">
      <c r="A2554" s="30" t="s">
        <v>37</v>
      </c>
      <c r="B2554" s="19" t="s">
        <v>535</v>
      </c>
      <c r="C2554" s="19" t="s">
        <v>10</v>
      </c>
      <c r="D2554" s="20">
        <v>278345455</v>
      </c>
      <c r="E2554" s="21">
        <v>45627</v>
      </c>
      <c r="F2554" s="18">
        <f>MONTH(Data!$E2554)</f>
        <v>12</v>
      </c>
      <c r="G2554" s="16">
        <f>YEAR(Data!$E2554)</f>
        <v>2024</v>
      </c>
      <c r="H2554" s="19" t="s">
        <v>11</v>
      </c>
      <c r="I2554" s="15" t="str">
        <f t="shared" si="39"/>
        <v>Sở ban ngành</v>
      </c>
      <c r="J2554" s="15" t="s">
        <v>1285</v>
      </c>
      <c r="K2554" s="19" t="s">
        <v>1278</v>
      </c>
      <c r="L2554" s="32">
        <f>Data!$D2554/10^6</f>
        <v>278.34545500000002</v>
      </c>
    </row>
    <row r="2555" spans="1:12" x14ac:dyDescent="0.25">
      <c r="A2555" s="30" t="s">
        <v>37</v>
      </c>
      <c r="B2555" s="19" t="s">
        <v>782</v>
      </c>
      <c r="C2555" s="19" t="s">
        <v>10</v>
      </c>
      <c r="D2555" s="20">
        <v>891090909</v>
      </c>
      <c r="E2555" s="21">
        <v>45627</v>
      </c>
      <c r="F2555" s="18">
        <f>MONTH(Data!$E2555)</f>
        <v>12</v>
      </c>
      <c r="G2555" s="16">
        <f>YEAR(Data!$E2555)</f>
        <v>2024</v>
      </c>
      <c r="H2555" s="19" t="s">
        <v>11</v>
      </c>
      <c r="I2555" s="15" t="str">
        <f t="shared" si="39"/>
        <v>Sở ban ngành</v>
      </c>
      <c r="J2555" s="15" t="s">
        <v>1284</v>
      </c>
      <c r="K2555" s="19" t="s">
        <v>1278</v>
      </c>
      <c r="L2555" s="32">
        <f>Data!$D2555/10^6</f>
        <v>891.09090900000001</v>
      </c>
    </row>
    <row r="2556" spans="1:12" x14ac:dyDescent="0.25">
      <c r="A2556" s="30" t="s">
        <v>75</v>
      </c>
      <c r="B2556" s="19" t="s">
        <v>698</v>
      </c>
      <c r="C2556" s="19" t="s">
        <v>10</v>
      </c>
      <c r="D2556" s="20">
        <v>336300000</v>
      </c>
      <c r="E2556" s="21">
        <v>45627</v>
      </c>
      <c r="F2556" s="18">
        <f>MONTH(Data!$E2556)</f>
        <v>12</v>
      </c>
      <c r="G2556" s="16">
        <f>YEAR(Data!$E2556)</f>
        <v>2024</v>
      </c>
      <c r="H2556" s="19" t="s">
        <v>15</v>
      </c>
      <c r="I2556" s="15" t="str">
        <f t="shared" si="39"/>
        <v>Sở ban ngành</v>
      </c>
      <c r="J2556" s="15" t="s">
        <v>1285</v>
      </c>
      <c r="K2556" s="19" t="s">
        <v>1262</v>
      </c>
      <c r="L2556" s="32">
        <f>Data!$D2556/10^6</f>
        <v>336.3</v>
      </c>
    </row>
    <row r="2557" spans="1:12" x14ac:dyDescent="0.25">
      <c r="A2557" s="30" t="s">
        <v>218</v>
      </c>
      <c r="B2557" s="19" t="s">
        <v>755</v>
      </c>
      <c r="C2557" s="19" t="s">
        <v>41</v>
      </c>
      <c r="D2557" s="20">
        <v>255450000</v>
      </c>
      <c r="E2557" s="21">
        <v>45627</v>
      </c>
      <c r="F2557" s="18">
        <f>MONTH(Data!$E2557)</f>
        <v>12</v>
      </c>
      <c r="G2557" s="16">
        <f>YEAR(Data!$E2557)</f>
        <v>2024</v>
      </c>
      <c r="H2557" s="19" t="s">
        <v>15</v>
      </c>
      <c r="I2557" s="15" t="str">
        <f t="shared" si="39"/>
        <v>Sở ban ngành</v>
      </c>
      <c r="J2557" s="15" t="s">
        <v>1284</v>
      </c>
      <c r="K2557" s="19" t="s">
        <v>1269</v>
      </c>
      <c r="L2557" s="32">
        <f>Data!$D2557/10^6</f>
        <v>255.45</v>
      </c>
    </row>
    <row r="2558" spans="1:12" x14ac:dyDescent="0.25">
      <c r="A2558" s="30" t="s">
        <v>218</v>
      </c>
      <c r="B2558" s="19" t="s">
        <v>755</v>
      </c>
      <c r="C2558" s="19" t="s">
        <v>41</v>
      </c>
      <c r="D2558" s="20">
        <v>87272727</v>
      </c>
      <c r="E2558" s="21">
        <v>45627</v>
      </c>
      <c r="F2558" s="18">
        <f>MONTH(Data!$E2558)</f>
        <v>12</v>
      </c>
      <c r="G2558" s="16">
        <f>YEAR(Data!$E2558)</f>
        <v>2024</v>
      </c>
      <c r="H2558" s="19" t="s">
        <v>15</v>
      </c>
      <c r="I2558" s="15" t="str">
        <f t="shared" si="39"/>
        <v>Sở ban ngành</v>
      </c>
      <c r="J2558" s="15" t="s">
        <v>1285</v>
      </c>
      <c r="K2558" s="19" t="s">
        <v>1269</v>
      </c>
      <c r="L2558" s="32">
        <f>Data!$D2558/10^6</f>
        <v>87.272727000000003</v>
      </c>
    </row>
    <row r="2559" spans="1:12" x14ac:dyDescent="0.25">
      <c r="A2559" s="30" t="s">
        <v>54</v>
      </c>
      <c r="B2559" s="19" t="s">
        <v>716</v>
      </c>
      <c r="C2559" s="19" t="s">
        <v>10</v>
      </c>
      <c r="D2559" s="20">
        <v>22709091</v>
      </c>
      <c r="E2559" s="21">
        <v>45627</v>
      </c>
      <c r="F2559" s="18">
        <f>MONTH(Data!$E2559)</f>
        <v>12</v>
      </c>
      <c r="G2559" s="16">
        <f>YEAR(Data!$E2559)</f>
        <v>2024</v>
      </c>
      <c r="H2559" s="19" t="s">
        <v>15</v>
      </c>
      <c r="I2559" s="15" t="str">
        <f t="shared" si="39"/>
        <v>Sở ban ngành</v>
      </c>
      <c r="J2559" s="15" t="s">
        <v>1284</v>
      </c>
      <c r="K2559" s="19" t="s">
        <v>1267</v>
      </c>
      <c r="L2559" s="32">
        <f>Data!$D2559/10^6</f>
        <v>22.709091000000001</v>
      </c>
    </row>
    <row r="2560" spans="1:12" x14ac:dyDescent="0.25">
      <c r="A2560" s="30" t="s">
        <v>79</v>
      </c>
      <c r="B2560" s="19" t="s">
        <v>765</v>
      </c>
      <c r="C2560" s="19" t="s">
        <v>10</v>
      </c>
      <c r="D2560" s="20">
        <v>90902727</v>
      </c>
      <c r="E2560" s="21">
        <v>45627</v>
      </c>
      <c r="F2560" s="18">
        <f>MONTH(Data!$E2560)</f>
        <v>12</v>
      </c>
      <c r="G2560" s="16">
        <f>YEAR(Data!$E2560)</f>
        <v>2024</v>
      </c>
      <c r="H2560" s="19" t="s">
        <v>15</v>
      </c>
      <c r="I2560" s="15" t="str">
        <f t="shared" si="39"/>
        <v>Sở ban ngành</v>
      </c>
      <c r="J2560" s="15" t="s">
        <v>1285</v>
      </c>
      <c r="K2560" s="19" t="s">
        <v>1262</v>
      </c>
      <c r="L2560" s="32">
        <f>Data!$D2560/10^6</f>
        <v>90.902726999999999</v>
      </c>
    </row>
    <row r="2561" spans="1:12" x14ac:dyDescent="0.25">
      <c r="A2561" s="30" t="s">
        <v>45</v>
      </c>
      <c r="B2561" s="19" t="s">
        <v>761</v>
      </c>
      <c r="C2561" s="19" t="s">
        <v>10</v>
      </c>
      <c r="D2561" s="20">
        <v>32241818</v>
      </c>
      <c r="E2561" s="21">
        <v>45627</v>
      </c>
      <c r="F2561" s="18">
        <f>MONTH(Data!$E2561)</f>
        <v>12</v>
      </c>
      <c r="G2561" s="16">
        <f>YEAR(Data!$E2561)</f>
        <v>2024</v>
      </c>
      <c r="H2561" s="19" t="s">
        <v>29</v>
      </c>
      <c r="I2561" s="15" t="str">
        <f t="shared" si="39"/>
        <v>Sở ban ngành</v>
      </c>
      <c r="J2561" s="15" t="s">
        <v>1284</v>
      </c>
      <c r="K2561" s="19" t="s">
        <v>1262</v>
      </c>
      <c r="L2561" s="32">
        <f>Data!$D2561/10^6</f>
        <v>32.241818000000002</v>
      </c>
    </row>
    <row r="2562" spans="1:12" x14ac:dyDescent="0.25">
      <c r="A2562" s="30" t="s">
        <v>45</v>
      </c>
      <c r="B2562" s="19" t="s">
        <v>761</v>
      </c>
      <c r="C2562" s="19" t="s">
        <v>10</v>
      </c>
      <c r="D2562" s="20">
        <v>18000000</v>
      </c>
      <c r="E2562" s="21">
        <v>45627</v>
      </c>
      <c r="F2562" s="18">
        <f>MONTH(Data!$E2562)</f>
        <v>12</v>
      </c>
      <c r="G2562" s="16">
        <f>YEAR(Data!$E2562)</f>
        <v>2024</v>
      </c>
      <c r="H2562" s="19" t="s">
        <v>29</v>
      </c>
      <c r="I2562" s="15" t="str">
        <f t="shared" si="39"/>
        <v>Sở ban ngành</v>
      </c>
      <c r="J2562" s="15" t="s">
        <v>1285</v>
      </c>
      <c r="K2562" s="19" t="s">
        <v>1262</v>
      </c>
      <c r="L2562" s="32">
        <f>Data!$D2562/10^6</f>
        <v>18</v>
      </c>
    </row>
    <row r="2563" spans="1:12" x14ac:dyDescent="0.25">
      <c r="A2563" s="30" t="s">
        <v>89</v>
      </c>
      <c r="B2563" s="19" t="s">
        <v>90</v>
      </c>
      <c r="C2563" s="19" t="s">
        <v>14</v>
      </c>
      <c r="D2563" s="20">
        <v>351976182</v>
      </c>
      <c r="E2563" s="21">
        <v>45627</v>
      </c>
      <c r="F2563" s="18">
        <f>MONTH(Data!$E2563)</f>
        <v>12</v>
      </c>
      <c r="G2563" s="16">
        <f>YEAR(Data!$E2563)</f>
        <v>2024</v>
      </c>
      <c r="H2563" s="19" t="s">
        <v>11</v>
      </c>
      <c r="I2563" s="15" t="str">
        <f t="shared" ref="I2563:I2626" si="40">IF(ISNUMBER(SEARCH("Công ty",$B2563)),"Doanh nghiệp",IF(ISNUMBER(SEARCH("Doanh nghiệp",$B2563)),"Doanh nghiệp",IF(ISNUMBER(SEARCH("Tập đoàn",$B2563)),"Doanh nghiệp",
IF(ISNUMBER(SEARCH("Bệnh viện",$B2563)),"Bệnh viện",
IF(ISNUMBER(SEARCH("Ngân hàng",$B2563)),"Ngân hàng",IF(ISNUMBER(SEARCH("trường",$B2563)),"Trường học",IF(ISNUMBER(SEARCH("học viện",$B2563)),"Trường học",
IF(ISNUMBER(SEARCH("Bộ",$B2563)),"Sở ban ngành",IF(ISNUMBER(SEARCH("Đoàn",$B2563)),"Sở ban ngành",IF(ISNUMBER(SEARCH("Phòng",$B2563)),"Sở ban ngành",IF(ISNUMBER(SEARCH("UBND",$B2563)),"Sở ban ngành",IF(ISNUMBER(SEARCH("ủy ban",$B2563)),"Sở ban ngành",IF(ISNUMBER(SEARCH("công an",$B2563)),"Sở ban ngành",IF(ISNUMBER(SEARCH("sở",$B2563)),"Sở ban ngành",IF(ISNUMBER(SEARCH("thôn",$B2563)),"Sở ban ngành",IF(ISNUMBER(SEARCH("xã",$B2563)),"Sở ban ngành",IF(ISNUMBER(SEARCH("quân khu",$B2563)),"Sở ban ngành",IF(ISNUMBER(SEARCH("cục",$B2563)),"Sở ban ngành",IF(ISNUMBER(SEARCH("viện",$B2563)),"Sở ban ngành",IF(ISNUMBER(SEARCH("quỹ",$B2563)),"Sở ban ngành",IF(ISNUMBER(SEARCH("trung tâm",$B2563)),"Sở ban ngành",IF(ISNUMBER(SEARCH("quân chủng",$B2563)),"Sở ban ngành",IF(ISNUMBER(SEARCH("hội",$B2563)),"Sở ban ngành",
"Khác")))))))))))))))))))))))</f>
        <v>Sở ban ngành</v>
      </c>
      <c r="J2563" s="15" t="s">
        <v>1284</v>
      </c>
      <c r="K2563" s="19" t="s">
        <v>1267</v>
      </c>
      <c r="L2563" s="32">
        <f>Data!$D2563/10^6</f>
        <v>351.97618199999999</v>
      </c>
    </row>
    <row r="2564" spans="1:12" x14ac:dyDescent="0.25">
      <c r="A2564" s="30" t="s">
        <v>78</v>
      </c>
      <c r="B2564" s="19" t="s">
        <v>719</v>
      </c>
      <c r="C2564" s="19" t="s">
        <v>14</v>
      </c>
      <c r="D2564" s="20">
        <v>87270000</v>
      </c>
      <c r="E2564" s="21">
        <v>45627</v>
      </c>
      <c r="F2564" s="18">
        <f>MONTH(Data!$E2564)</f>
        <v>12</v>
      </c>
      <c r="G2564" s="16">
        <f>YEAR(Data!$E2564)</f>
        <v>2024</v>
      </c>
      <c r="H2564" s="19" t="s">
        <v>15</v>
      </c>
      <c r="I2564" s="15" t="str">
        <f t="shared" si="40"/>
        <v>Sở ban ngành</v>
      </c>
      <c r="J2564" s="15" t="s">
        <v>1285</v>
      </c>
      <c r="K2564" s="19" t="s">
        <v>1264</v>
      </c>
      <c r="L2564" s="32">
        <f>Data!$D2564/10^6</f>
        <v>87.27</v>
      </c>
    </row>
    <row r="2565" spans="1:12" x14ac:dyDescent="0.25">
      <c r="A2565" s="30" t="s">
        <v>73</v>
      </c>
      <c r="B2565" s="19" t="s">
        <v>686</v>
      </c>
      <c r="C2565" s="19" t="s">
        <v>10</v>
      </c>
      <c r="D2565" s="20">
        <v>145454545</v>
      </c>
      <c r="E2565" s="21">
        <v>45627</v>
      </c>
      <c r="F2565" s="18">
        <f>MONTH(Data!$E2565)</f>
        <v>12</v>
      </c>
      <c r="G2565" s="16">
        <f>YEAR(Data!$E2565)</f>
        <v>2024</v>
      </c>
      <c r="H2565" s="19" t="s">
        <v>32</v>
      </c>
      <c r="I2565" s="15" t="str">
        <f t="shared" si="40"/>
        <v>Sở ban ngành</v>
      </c>
      <c r="J2565" s="15" t="s">
        <v>1284</v>
      </c>
      <c r="K2565" s="19" t="s">
        <v>1276</v>
      </c>
      <c r="L2565" s="32">
        <f>Data!$D2565/10^6</f>
        <v>145.454545</v>
      </c>
    </row>
    <row r="2566" spans="1:12" x14ac:dyDescent="0.25">
      <c r="A2566" s="30" t="s">
        <v>78</v>
      </c>
      <c r="B2566" s="19" t="s">
        <v>720</v>
      </c>
      <c r="C2566" s="19" t="s">
        <v>14</v>
      </c>
      <c r="D2566" s="20">
        <v>63636145</v>
      </c>
      <c r="E2566" s="21">
        <v>45627</v>
      </c>
      <c r="F2566" s="18">
        <f>MONTH(Data!$E2566)</f>
        <v>12</v>
      </c>
      <c r="G2566" s="16">
        <f>YEAR(Data!$E2566)</f>
        <v>2024</v>
      </c>
      <c r="H2566" s="19" t="s">
        <v>15</v>
      </c>
      <c r="I2566" s="15" t="str">
        <f t="shared" si="40"/>
        <v>Sở ban ngành</v>
      </c>
      <c r="J2566" s="15" t="s">
        <v>1285</v>
      </c>
      <c r="K2566" s="19" t="s">
        <v>1264</v>
      </c>
      <c r="L2566" s="32">
        <f>Data!$D2566/10^6</f>
        <v>63.636144999999999</v>
      </c>
    </row>
    <row r="2567" spans="1:12" x14ac:dyDescent="0.25">
      <c r="A2567" s="30" t="s">
        <v>85</v>
      </c>
      <c r="B2567" s="19" t="s">
        <v>793</v>
      </c>
      <c r="C2567" s="19" t="s">
        <v>149</v>
      </c>
      <c r="D2567" s="20">
        <v>14181818</v>
      </c>
      <c r="E2567" s="21">
        <v>45627</v>
      </c>
      <c r="F2567" s="18">
        <f>MONTH(Data!$E2567)</f>
        <v>12</v>
      </c>
      <c r="G2567" s="16">
        <f>YEAR(Data!$E2567)</f>
        <v>2024</v>
      </c>
      <c r="H2567" s="19" t="s">
        <v>15</v>
      </c>
      <c r="I2567" s="15" t="str">
        <f t="shared" si="40"/>
        <v>Sở ban ngành</v>
      </c>
      <c r="J2567" s="15" t="s">
        <v>1284</v>
      </c>
      <c r="K2567" s="19" t="s">
        <v>1264</v>
      </c>
      <c r="L2567" s="32">
        <f>Data!$D2567/10^6</f>
        <v>14.181818</v>
      </c>
    </row>
    <row r="2568" spans="1:12" x14ac:dyDescent="0.25">
      <c r="A2568" s="30" t="s">
        <v>109</v>
      </c>
      <c r="B2568" s="19" t="s">
        <v>711</v>
      </c>
      <c r="C2568" s="19" t="s">
        <v>10</v>
      </c>
      <c r="D2568" s="20">
        <v>1338587273</v>
      </c>
      <c r="E2568" s="21">
        <v>45627</v>
      </c>
      <c r="F2568" s="18">
        <f>MONTH(Data!$E2568)</f>
        <v>12</v>
      </c>
      <c r="G2568" s="16">
        <f>YEAR(Data!$E2568)</f>
        <v>2024</v>
      </c>
      <c r="H2568" s="19" t="s">
        <v>22</v>
      </c>
      <c r="I2568" s="15" t="str">
        <f t="shared" si="40"/>
        <v>Sở ban ngành</v>
      </c>
      <c r="J2568" s="15" t="s">
        <v>1285</v>
      </c>
      <c r="K2568" s="19" t="s">
        <v>1278</v>
      </c>
      <c r="L2568" s="32">
        <f>Data!$D2568/10^6</f>
        <v>1338.5872730000001</v>
      </c>
    </row>
    <row r="2569" spans="1:12" x14ac:dyDescent="0.25">
      <c r="A2569" s="30" t="s">
        <v>146</v>
      </c>
      <c r="B2569" s="19" t="s">
        <v>701</v>
      </c>
      <c r="C2569" s="19" t="s">
        <v>14</v>
      </c>
      <c r="D2569" s="20">
        <v>1436090909</v>
      </c>
      <c r="E2569" s="21">
        <v>45627</v>
      </c>
      <c r="F2569" s="18">
        <f>MONTH(Data!$E2569)</f>
        <v>12</v>
      </c>
      <c r="G2569" s="16">
        <f>YEAR(Data!$E2569)</f>
        <v>2024</v>
      </c>
      <c r="H2569" s="19" t="s">
        <v>32</v>
      </c>
      <c r="I2569" s="15" t="str">
        <f t="shared" si="40"/>
        <v>Sở ban ngành</v>
      </c>
      <c r="J2569" s="15" t="s">
        <v>1284</v>
      </c>
      <c r="K2569" s="19" t="s">
        <v>1275</v>
      </c>
      <c r="L2569" s="32">
        <f>Data!$D2569/10^6</f>
        <v>1436.090909</v>
      </c>
    </row>
    <row r="2570" spans="1:12" x14ac:dyDescent="0.25">
      <c r="A2570" s="30" t="s">
        <v>27</v>
      </c>
      <c r="B2570" s="19" t="s">
        <v>314</v>
      </c>
      <c r="C2570" s="19" t="s">
        <v>10</v>
      </c>
      <c r="D2570" s="20">
        <v>215860727</v>
      </c>
      <c r="E2570" s="21">
        <v>45627</v>
      </c>
      <c r="F2570" s="18">
        <f>MONTH(Data!$E2570)</f>
        <v>12</v>
      </c>
      <c r="G2570" s="16">
        <f>YEAR(Data!$E2570)</f>
        <v>2024</v>
      </c>
      <c r="H2570" s="19" t="s">
        <v>11</v>
      </c>
      <c r="I2570" s="15" t="str">
        <f t="shared" si="40"/>
        <v>Doanh nghiệp</v>
      </c>
      <c r="J2570" s="15" t="s">
        <v>1285</v>
      </c>
      <c r="K2570" s="19" t="s">
        <v>1263</v>
      </c>
      <c r="L2570" s="32">
        <f>Data!$D2570/10^6</f>
        <v>215.860727</v>
      </c>
    </row>
    <row r="2571" spans="1:12" x14ac:dyDescent="0.25">
      <c r="A2571" s="30" t="s">
        <v>27</v>
      </c>
      <c r="B2571" s="19" t="s">
        <v>314</v>
      </c>
      <c r="C2571" s="19" t="s">
        <v>10</v>
      </c>
      <c r="D2571" s="20">
        <v>221881818</v>
      </c>
      <c r="E2571" s="21">
        <v>45627</v>
      </c>
      <c r="F2571" s="18">
        <f>MONTH(Data!$E2571)</f>
        <v>12</v>
      </c>
      <c r="G2571" s="16">
        <f>YEAR(Data!$E2571)</f>
        <v>2024</v>
      </c>
      <c r="H2571" s="19" t="s">
        <v>11</v>
      </c>
      <c r="I2571" s="15" t="str">
        <f t="shared" si="40"/>
        <v>Doanh nghiệp</v>
      </c>
      <c r="J2571" s="15" t="s">
        <v>1284</v>
      </c>
      <c r="K2571" s="19" t="s">
        <v>1262</v>
      </c>
      <c r="L2571" s="32">
        <f>Data!$D2571/10^6</f>
        <v>221.88181800000001</v>
      </c>
    </row>
    <row r="2572" spans="1:12" x14ac:dyDescent="0.25">
      <c r="A2572" s="30" t="s">
        <v>55</v>
      </c>
      <c r="B2572" s="19" t="s">
        <v>314</v>
      </c>
      <c r="C2572" s="19" t="s">
        <v>10</v>
      </c>
      <c r="D2572" s="20">
        <v>1060760937</v>
      </c>
      <c r="E2572" s="21">
        <v>45627</v>
      </c>
      <c r="F2572" s="18">
        <f>MONTH(Data!$E2572)</f>
        <v>12</v>
      </c>
      <c r="G2572" s="16">
        <f>YEAR(Data!$E2572)</f>
        <v>2024</v>
      </c>
      <c r="H2572" s="19" t="s">
        <v>15</v>
      </c>
      <c r="I2572" s="15" t="str">
        <f t="shared" si="40"/>
        <v>Doanh nghiệp</v>
      </c>
      <c r="J2572" s="15" t="s">
        <v>1285</v>
      </c>
      <c r="K2572" s="19" t="s">
        <v>1263</v>
      </c>
      <c r="L2572" s="32">
        <f>Data!$D2572/10^6</f>
        <v>1060.760937</v>
      </c>
    </row>
    <row r="2573" spans="1:12" x14ac:dyDescent="0.25">
      <c r="A2573" s="30" t="s">
        <v>28</v>
      </c>
      <c r="B2573" s="19" t="s">
        <v>314</v>
      </c>
      <c r="C2573" s="19" t="s">
        <v>149</v>
      </c>
      <c r="D2573" s="20">
        <v>27686764</v>
      </c>
      <c r="E2573" s="21">
        <v>45627</v>
      </c>
      <c r="F2573" s="18">
        <f>MONTH(Data!$E2573)</f>
        <v>12</v>
      </c>
      <c r="G2573" s="16">
        <f>YEAR(Data!$E2573)</f>
        <v>2024</v>
      </c>
      <c r="H2573" s="19" t="s">
        <v>29</v>
      </c>
      <c r="I2573" s="15" t="str">
        <f t="shared" si="40"/>
        <v>Doanh nghiệp</v>
      </c>
      <c r="J2573" s="15" t="s">
        <v>1284</v>
      </c>
      <c r="K2573" s="19" t="s">
        <v>1263</v>
      </c>
      <c r="L2573" s="32">
        <f>Data!$D2573/10^6</f>
        <v>27.686764</v>
      </c>
    </row>
    <row r="2574" spans="1:12" x14ac:dyDescent="0.25">
      <c r="A2574" s="30" t="s">
        <v>36</v>
      </c>
      <c r="B2574" s="19" t="s">
        <v>745</v>
      </c>
      <c r="C2574" s="19" t="s">
        <v>149</v>
      </c>
      <c r="D2574" s="20">
        <v>39418182</v>
      </c>
      <c r="E2574" s="21">
        <v>45627</v>
      </c>
      <c r="F2574" s="18">
        <f>MONTH(Data!$E2574)</f>
        <v>12</v>
      </c>
      <c r="G2574" s="16">
        <f>YEAR(Data!$E2574)</f>
        <v>2024</v>
      </c>
      <c r="H2574" s="19" t="s">
        <v>15</v>
      </c>
      <c r="I2574" s="15" t="str">
        <f t="shared" si="40"/>
        <v>Sở ban ngành</v>
      </c>
      <c r="J2574" s="15" t="s">
        <v>1285</v>
      </c>
      <c r="K2574" s="19" t="s">
        <v>1266</v>
      </c>
      <c r="L2574" s="32">
        <f>Data!$D2574/10^6</f>
        <v>39.418182000000002</v>
      </c>
    </row>
    <row r="2575" spans="1:12" x14ac:dyDescent="0.25">
      <c r="A2575" s="30" t="s">
        <v>71</v>
      </c>
      <c r="B2575" s="19" t="s">
        <v>776</v>
      </c>
      <c r="C2575" s="19" t="s">
        <v>10</v>
      </c>
      <c r="D2575" s="20">
        <v>598345708</v>
      </c>
      <c r="E2575" s="21">
        <v>45627</v>
      </c>
      <c r="F2575" s="18">
        <f>MONTH(Data!$E2575)</f>
        <v>12</v>
      </c>
      <c r="G2575" s="16">
        <f>YEAR(Data!$E2575)</f>
        <v>2024</v>
      </c>
      <c r="H2575" s="19" t="s">
        <v>11</v>
      </c>
      <c r="I2575" s="15" t="str">
        <f t="shared" si="40"/>
        <v>Sở ban ngành</v>
      </c>
      <c r="J2575" s="15" t="s">
        <v>1284</v>
      </c>
      <c r="K2575" s="19" t="s">
        <v>1269</v>
      </c>
      <c r="L2575" s="32">
        <f>Data!$D2575/10^6</f>
        <v>598.34570799999995</v>
      </c>
    </row>
    <row r="2576" spans="1:12" x14ac:dyDescent="0.25">
      <c r="A2576" s="30" t="s">
        <v>62</v>
      </c>
      <c r="B2576" s="19" t="s">
        <v>691</v>
      </c>
      <c r="C2576" s="19" t="s">
        <v>10</v>
      </c>
      <c r="D2576" s="20">
        <v>12409636</v>
      </c>
      <c r="E2576" s="21">
        <v>45627</v>
      </c>
      <c r="F2576" s="18">
        <f>MONTH(Data!$E2576)</f>
        <v>12</v>
      </c>
      <c r="G2576" s="16">
        <f>YEAR(Data!$E2576)</f>
        <v>2024</v>
      </c>
      <c r="H2576" s="19" t="s">
        <v>15</v>
      </c>
      <c r="I2576" s="15" t="str">
        <f t="shared" si="40"/>
        <v>Sở ban ngành</v>
      </c>
      <c r="J2576" s="15" t="s">
        <v>1285</v>
      </c>
      <c r="K2576" s="19" t="s">
        <v>1262</v>
      </c>
      <c r="L2576" s="32">
        <f>Data!$D2576/10^6</f>
        <v>12.409636000000001</v>
      </c>
    </row>
    <row r="2577" spans="1:12" x14ac:dyDescent="0.25">
      <c r="A2577" s="30" t="s">
        <v>127</v>
      </c>
      <c r="B2577" s="19" t="s">
        <v>531</v>
      </c>
      <c r="C2577" s="19" t="s">
        <v>149</v>
      </c>
      <c r="D2577" s="20">
        <v>435176836</v>
      </c>
      <c r="E2577" s="21">
        <v>45627</v>
      </c>
      <c r="F2577" s="18">
        <f>MONTH(Data!$E2577)</f>
        <v>12</v>
      </c>
      <c r="G2577" s="16">
        <f>YEAR(Data!$E2577)</f>
        <v>2024</v>
      </c>
      <c r="H2577" s="19" t="s">
        <v>32</v>
      </c>
      <c r="I2577" s="15" t="str">
        <f t="shared" si="40"/>
        <v>Sở ban ngành</v>
      </c>
      <c r="J2577" s="15" t="s">
        <v>1284</v>
      </c>
      <c r="K2577" s="19" t="s">
        <v>1263</v>
      </c>
      <c r="L2577" s="32">
        <f>Data!$D2577/10^6</f>
        <v>435.17683599999998</v>
      </c>
    </row>
    <row r="2578" spans="1:12" x14ac:dyDescent="0.25">
      <c r="A2578" s="30" t="s">
        <v>130</v>
      </c>
      <c r="B2578" s="19" t="s">
        <v>779</v>
      </c>
      <c r="C2578" s="19" t="s">
        <v>14</v>
      </c>
      <c r="D2578" s="20">
        <v>27239091</v>
      </c>
      <c r="E2578" s="21">
        <v>45627</v>
      </c>
      <c r="F2578" s="18">
        <f>MONTH(Data!$E2578)</f>
        <v>12</v>
      </c>
      <c r="G2578" s="16">
        <f>YEAR(Data!$E2578)</f>
        <v>2024</v>
      </c>
      <c r="H2578" s="19" t="s">
        <v>22</v>
      </c>
      <c r="I2578" s="15" t="str">
        <f t="shared" si="40"/>
        <v>Sở ban ngành</v>
      </c>
      <c r="J2578" s="15" t="s">
        <v>1285</v>
      </c>
      <c r="K2578" s="19" t="s">
        <v>1277</v>
      </c>
      <c r="L2578" s="32">
        <f>Data!$D2578/10^6</f>
        <v>27.239090999999998</v>
      </c>
    </row>
    <row r="2579" spans="1:12" x14ac:dyDescent="0.25">
      <c r="A2579" s="30" t="s">
        <v>21</v>
      </c>
      <c r="B2579" s="19" t="s">
        <v>666</v>
      </c>
      <c r="C2579" s="19" t="s">
        <v>149</v>
      </c>
      <c r="D2579" s="20">
        <v>297714000</v>
      </c>
      <c r="E2579" s="21">
        <v>45627</v>
      </c>
      <c r="F2579" s="18">
        <f>MONTH(Data!$E2579)</f>
        <v>12</v>
      </c>
      <c r="G2579" s="16">
        <f>YEAR(Data!$E2579)</f>
        <v>2024</v>
      </c>
      <c r="H2579" s="19" t="s">
        <v>22</v>
      </c>
      <c r="I2579" s="15" t="str">
        <f t="shared" si="40"/>
        <v>Sở ban ngành</v>
      </c>
      <c r="J2579" s="15" t="s">
        <v>1284</v>
      </c>
      <c r="K2579" s="19" t="s">
        <v>1265</v>
      </c>
      <c r="L2579" s="32">
        <f>Data!$D2579/10^6</f>
        <v>297.714</v>
      </c>
    </row>
    <row r="2580" spans="1:12" x14ac:dyDescent="0.25">
      <c r="A2580" s="30" t="s">
        <v>85</v>
      </c>
      <c r="B2580" s="19" t="s">
        <v>795</v>
      </c>
      <c r="C2580" s="19" t="s">
        <v>10</v>
      </c>
      <c r="D2580" s="20">
        <v>227093182</v>
      </c>
      <c r="E2580" s="21">
        <v>45627</v>
      </c>
      <c r="F2580" s="18">
        <f>MONTH(Data!$E2580)</f>
        <v>12</v>
      </c>
      <c r="G2580" s="16">
        <f>YEAR(Data!$E2580)</f>
        <v>2024</v>
      </c>
      <c r="H2580" s="19" t="s">
        <v>15</v>
      </c>
      <c r="I2580" s="15" t="str">
        <f t="shared" si="40"/>
        <v>Sở ban ngành</v>
      </c>
      <c r="J2580" s="15" t="s">
        <v>1285</v>
      </c>
      <c r="K2580" s="19" t="s">
        <v>1267</v>
      </c>
      <c r="L2580" s="32">
        <f>Data!$D2580/10^6</f>
        <v>227.09318200000001</v>
      </c>
    </row>
    <row r="2581" spans="1:12" x14ac:dyDescent="0.25">
      <c r="A2581" s="30" t="s">
        <v>85</v>
      </c>
      <c r="B2581" s="19" t="s">
        <v>795</v>
      </c>
      <c r="C2581" s="19" t="s">
        <v>10</v>
      </c>
      <c r="D2581" s="20">
        <v>227093182</v>
      </c>
      <c r="E2581" s="21">
        <v>45627</v>
      </c>
      <c r="F2581" s="18">
        <f>MONTH(Data!$E2581)</f>
        <v>12</v>
      </c>
      <c r="G2581" s="16">
        <f>YEAR(Data!$E2581)</f>
        <v>2024</v>
      </c>
      <c r="H2581" s="19" t="s">
        <v>15</v>
      </c>
      <c r="I2581" s="15" t="str">
        <f t="shared" si="40"/>
        <v>Sở ban ngành</v>
      </c>
      <c r="J2581" s="15" t="s">
        <v>1284</v>
      </c>
      <c r="K2581" s="19" t="s">
        <v>1267</v>
      </c>
      <c r="L2581" s="32">
        <f>Data!$D2581/10^6</f>
        <v>227.09318200000001</v>
      </c>
    </row>
    <row r="2582" spans="1:12" x14ac:dyDescent="0.25">
      <c r="A2582" s="30" t="s">
        <v>56</v>
      </c>
      <c r="B2582" s="19" t="s">
        <v>712</v>
      </c>
      <c r="C2582" s="19" t="s">
        <v>149</v>
      </c>
      <c r="D2582" s="20">
        <v>68878182</v>
      </c>
      <c r="E2582" s="21">
        <v>45627</v>
      </c>
      <c r="F2582" s="18">
        <f>MONTH(Data!$E2582)</f>
        <v>12</v>
      </c>
      <c r="G2582" s="16">
        <f>YEAR(Data!$E2582)</f>
        <v>2024</v>
      </c>
      <c r="H2582" s="19" t="s">
        <v>25</v>
      </c>
      <c r="I2582" s="15" t="str">
        <f t="shared" si="40"/>
        <v>Sở ban ngành</v>
      </c>
      <c r="J2582" s="15" t="s">
        <v>1285</v>
      </c>
      <c r="K2582" s="19" t="s">
        <v>1264</v>
      </c>
      <c r="L2582" s="32">
        <f>Data!$D2582/10^6</f>
        <v>68.878181999999995</v>
      </c>
    </row>
    <row r="2583" spans="1:12" x14ac:dyDescent="0.25">
      <c r="A2583" s="30" t="s">
        <v>13</v>
      </c>
      <c r="B2583" s="19" t="s">
        <v>723</v>
      </c>
      <c r="C2583" s="19" t="s">
        <v>149</v>
      </c>
      <c r="D2583" s="20">
        <v>43807273</v>
      </c>
      <c r="E2583" s="21">
        <v>45627</v>
      </c>
      <c r="F2583" s="18">
        <f>MONTH(Data!$E2583)</f>
        <v>12</v>
      </c>
      <c r="G2583" s="16">
        <f>YEAR(Data!$E2583)</f>
        <v>2024</v>
      </c>
      <c r="H2583" s="19" t="s">
        <v>15</v>
      </c>
      <c r="I2583" s="15" t="str">
        <f t="shared" si="40"/>
        <v>Sở ban ngành</v>
      </c>
      <c r="J2583" s="15" t="s">
        <v>1284</v>
      </c>
      <c r="K2583" s="19" t="s">
        <v>1262</v>
      </c>
      <c r="L2583" s="32">
        <f>Data!$D2583/10^6</f>
        <v>43.807273000000002</v>
      </c>
    </row>
    <row r="2584" spans="1:12" x14ac:dyDescent="0.25">
      <c r="A2584" s="30" t="s">
        <v>73</v>
      </c>
      <c r="B2584" s="19" t="s">
        <v>683</v>
      </c>
      <c r="C2584" s="19" t="s">
        <v>10</v>
      </c>
      <c r="D2584" s="20">
        <v>270909091</v>
      </c>
      <c r="E2584" s="21">
        <v>45627</v>
      </c>
      <c r="F2584" s="18">
        <f>MONTH(Data!$E2584)</f>
        <v>12</v>
      </c>
      <c r="G2584" s="16">
        <f>YEAR(Data!$E2584)</f>
        <v>2024</v>
      </c>
      <c r="H2584" s="19" t="s">
        <v>32</v>
      </c>
      <c r="I2584" s="15" t="str">
        <f t="shared" si="40"/>
        <v>Sở ban ngành</v>
      </c>
      <c r="J2584" s="15" t="s">
        <v>1285</v>
      </c>
      <c r="K2584" s="19" t="s">
        <v>1276</v>
      </c>
      <c r="L2584" s="32">
        <f>Data!$D2584/10^6</f>
        <v>270.90909099999999</v>
      </c>
    </row>
    <row r="2585" spans="1:12" x14ac:dyDescent="0.25">
      <c r="A2585" s="30" t="s">
        <v>73</v>
      </c>
      <c r="B2585" s="19" t="s">
        <v>696</v>
      </c>
      <c r="C2585" s="19" t="s">
        <v>10</v>
      </c>
      <c r="D2585" s="20">
        <v>180000000</v>
      </c>
      <c r="E2585" s="21">
        <v>45627</v>
      </c>
      <c r="F2585" s="18">
        <f>MONTH(Data!$E2585)</f>
        <v>12</v>
      </c>
      <c r="G2585" s="16">
        <f>YEAR(Data!$E2585)</f>
        <v>2024</v>
      </c>
      <c r="H2585" s="19" t="s">
        <v>32</v>
      </c>
      <c r="I2585" s="15" t="str">
        <f t="shared" si="40"/>
        <v>Sở ban ngành</v>
      </c>
      <c r="J2585" s="15" t="s">
        <v>1284</v>
      </c>
      <c r="K2585" s="19" t="s">
        <v>1276</v>
      </c>
      <c r="L2585" s="32">
        <f>Data!$D2585/10^6</f>
        <v>180</v>
      </c>
    </row>
    <row r="2586" spans="1:12" x14ac:dyDescent="0.25">
      <c r="A2586" s="30" t="s">
        <v>52</v>
      </c>
      <c r="B2586" s="19" t="s">
        <v>700</v>
      </c>
      <c r="C2586" s="19" t="s">
        <v>10</v>
      </c>
      <c r="D2586" s="20">
        <v>81722274</v>
      </c>
      <c r="E2586" s="21">
        <v>45627</v>
      </c>
      <c r="F2586" s="18">
        <f>MONTH(Data!$E2586)</f>
        <v>12</v>
      </c>
      <c r="G2586" s="16">
        <f>YEAR(Data!$E2586)</f>
        <v>2024</v>
      </c>
      <c r="H2586" s="19" t="s">
        <v>35</v>
      </c>
      <c r="I2586" s="15" t="str">
        <f t="shared" si="40"/>
        <v>Sở ban ngành</v>
      </c>
      <c r="J2586" s="15" t="s">
        <v>1285</v>
      </c>
      <c r="K2586" s="19" t="s">
        <v>1263</v>
      </c>
      <c r="L2586" s="32">
        <f>Data!$D2586/10^6</f>
        <v>81.722273999999999</v>
      </c>
    </row>
    <row r="2587" spans="1:12" x14ac:dyDescent="0.25">
      <c r="A2587" s="30" t="s">
        <v>109</v>
      </c>
      <c r="B2587" s="19" t="s">
        <v>742</v>
      </c>
      <c r="C2587" s="19" t="s">
        <v>14</v>
      </c>
      <c r="D2587" s="20">
        <v>46773818</v>
      </c>
      <c r="E2587" s="21">
        <v>45627</v>
      </c>
      <c r="F2587" s="18">
        <f>MONTH(Data!$E2587)</f>
        <v>12</v>
      </c>
      <c r="G2587" s="16">
        <f>YEAR(Data!$E2587)</f>
        <v>2024</v>
      </c>
      <c r="H2587" s="19" t="s">
        <v>22</v>
      </c>
      <c r="I2587" s="15" t="str">
        <f t="shared" si="40"/>
        <v>Sở ban ngành</v>
      </c>
      <c r="J2587" s="15" t="s">
        <v>1284</v>
      </c>
      <c r="K2587" s="19" t="s">
        <v>1273</v>
      </c>
      <c r="L2587" s="32">
        <f>Data!$D2587/10^6</f>
        <v>46.773817999999999</v>
      </c>
    </row>
    <row r="2588" spans="1:12" x14ac:dyDescent="0.25">
      <c r="A2588" s="30" t="s">
        <v>17</v>
      </c>
      <c r="B2588" s="19" t="s">
        <v>728</v>
      </c>
      <c r="C2588" s="19" t="s">
        <v>10</v>
      </c>
      <c r="D2588" s="20">
        <v>8480000</v>
      </c>
      <c r="E2588" s="21">
        <v>45627</v>
      </c>
      <c r="F2588" s="18">
        <f>MONTH(Data!$E2588)</f>
        <v>12</v>
      </c>
      <c r="G2588" s="16">
        <f>YEAR(Data!$E2588)</f>
        <v>2024</v>
      </c>
      <c r="H2588" s="19" t="s">
        <v>11</v>
      </c>
      <c r="I2588" s="15" t="str">
        <f t="shared" si="40"/>
        <v>Sở ban ngành</v>
      </c>
      <c r="J2588" s="15" t="s">
        <v>1285</v>
      </c>
      <c r="K2588" s="19" t="s">
        <v>1267</v>
      </c>
      <c r="L2588" s="32">
        <f>Data!$D2588/10^6</f>
        <v>8.48</v>
      </c>
    </row>
    <row r="2589" spans="1:12" x14ac:dyDescent="0.25">
      <c r="A2589" s="30" t="s">
        <v>98</v>
      </c>
      <c r="B2589" s="19" t="s">
        <v>786</v>
      </c>
      <c r="C2589" s="19" t="s">
        <v>149</v>
      </c>
      <c r="D2589" s="20">
        <v>16690909</v>
      </c>
      <c r="E2589" s="21">
        <v>45627</v>
      </c>
      <c r="F2589" s="18">
        <f>MONTH(Data!$E2589)</f>
        <v>12</v>
      </c>
      <c r="G2589" s="16">
        <f>YEAR(Data!$E2589)</f>
        <v>2024</v>
      </c>
      <c r="H2589" s="19" t="s">
        <v>11</v>
      </c>
      <c r="I2589" s="15" t="str">
        <f t="shared" si="40"/>
        <v>Sở ban ngành</v>
      </c>
      <c r="J2589" s="15" t="s">
        <v>1284</v>
      </c>
      <c r="K2589" s="19" t="s">
        <v>1263</v>
      </c>
      <c r="L2589" s="32">
        <f>Data!$D2589/10^6</f>
        <v>16.690909000000001</v>
      </c>
    </row>
    <row r="2590" spans="1:12" x14ac:dyDescent="0.25">
      <c r="A2590" s="30" t="s">
        <v>218</v>
      </c>
      <c r="B2590" s="19" t="s">
        <v>743</v>
      </c>
      <c r="C2590" s="19" t="s">
        <v>10</v>
      </c>
      <c r="D2590" s="20">
        <v>19709091</v>
      </c>
      <c r="E2590" s="21">
        <v>45627</v>
      </c>
      <c r="F2590" s="18">
        <f>MONTH(Data!$E2590)</f>
        <v>12</v>
      </c>
      <c r="G2590" s="16">
        <f>YEAR(Data!$E2590)</f>
        <v>2024</v>
      </c>
      <c r="H2590" s="19" t="s">
        <v>15</v>
      </c>
      <c r="I2590" s="15" t="str">
        <f t="shared" si="40"/>
        <v>Sở ban ngành</v>
      </c>
      <c r="J2590" s="15" t="s">
        <v>1285</v>
      </c>
      <c r="K2590" s="19" t="s">
        <v>1262</v>
      </c>
      <c r="L2590" s="32">
        <f>Data!$D2590/10^6</f>
        <v>19.709091000000001</v>
      </c>
    </row>
    <row r="2591" spans="1:12" x14ac:dyDescent="0.25">
      <c r="A2591" s="30" t="s">
        <v>68</v>
      </c>
      <c r="B2591" s="19" t="s">
        <v>263</v>
      </c>
      <c r="C2591" s="19" t="s">
        <v>41</v>
      </c>
      <c r="D2591" s="20">
        <v>185367000</v>
      </c>
      <c r="E2591" s="21">
        <v>45627</v>
      </c>
      <c r="F2591" s="18">
        <f>MONTH(Data!$E2591)</f>
        <v>12</v>
      </c>
      <c r="G2591" s="16">
        <f>YEAR(Data!$E2591)</f>
        <v>2024</v>
      </c>
      <c r="H2591" s="19" t="s">
        <v>22</v>
      </c>
      <c r="I2591" s="15" t="str">
        <f t="shared" si="40"/>
        <v>Sở ban ngành</v>
      </c>
      <c r="J2591" s="15" t="s">
        <v>1284</v>
      </c>
      <c r="K2591" s="19" t="s">
        <v>1280</v>
      </c>
      <c r="L2591" s="32">
        <f>Data!$D2591/10^6</f>
        <v>185.36699999999999</v>
      </c>
    </row>
    <row r="2592" spans="1:12" x14ac:dyDescent="0.25">
      <c r="A2592" s="30" t="s">
        <v>37</v>
      </c>
      <c r="B2592" s="19" t="s">
        <v>274</v>
      </c>
      <c r="C2592" s="19" t="s">
        <v>46</v>
      </c>
      <c r="D2592" s="20">
        <v>27272727</v>
      </c>
      <c r="E2592" s="21">
        <v>45627</v>
      </c>
      <c r="F2592" s="18">
        <f>MONTH(Data!$E2592)</f>
        <v>12</v>
      </c>
      <c r="G2592" s="16">
        <f>YEAR(Data!$E2592)</f>
        <v>2024</v>
      </c>
      <c r="H2592" s="19" t="s">
        <v>11</v>
      </c>
      <c r="I2592" s="15" t="str">
        <f t="shared" si="40"/>
        <v>Sở ban ngành</v>
      </c>
      <c r="J2592" s="15" t="s">
        <v>1285</v>
      </c>
      <c r="K2592" s="19" t="s">
        <v>1271</v>
      </c>
      <c r="L2592" s="32">
        <f>Data!$D2592/10^6</f>
        <v>27.272727</v>
      </c>
    </row>
    <row r="2593" spans="1:12" x14ac:dyDescent="0.25">
      <c r="A2593" s="30" t="s">
        <v>17</v>
      </c>
      <c r="B2593" s="19" t="s">
        <v>695</v>
      </c>
      <c r="C2593" s="19" t="s">
        <v>41</v>
      </c>
      <c r="D2593" s="20">
        <v>4200000</v>
      </c>
      <c r="E2593" s="21">
        <v>45627</v>
      </c>
      <c r="F2593" s="18">
        <f>MONTH(Data!$E2593)</f>
        <v>12</v>
      </c>
      <c r="G2593" s="16">
        <f>YEAR(Data!$E2593)</f>
        <v>2024</v>
      </c>
      <c r="H2593" s="19" t="s">
        <v>11</v>
      </c>
      <c r="I2593" s="15" t="str">
        <f t="shared" si="40"/>
        <v>Sở ban ngành</v>
      </c>
      <c r="J2593" s="15" t="s">
        <v>1284</v>
      </c>
      <c r="K2593" s="19" t="s">
        <v>1269</v>
      </c>
      <c r="L2593" s="32">
        <f>Data!$D2593/10^6</f>
        <v>4.2</v>
      </c>
    </row>
    <row r="2594" spans="1:12" x14ac:dyDescent="0.25">
      <c r="A2594" s="30" t="s">
        <v>268</v>
      </c>
      <c r="B2594" s="19" t="s">
        <v>675</v>
      </c>
      <c r="C2594" s="19" t="s">
        <v>41</v>
      </c>
      <c r="D2594" s="20">
        <v>128181818</v>
      </c>
      <c r="E2594" s="21">
        <v>45627</v>
      </c>
      <c r="F2594" s="18">
        <f>MONTH(Data!$E2594)</f>
        <v>12</v>
      </c>
      <c r="G2594" s="16">
        <f>YEAR(Data!$E2594)</f>
        <v>2024</v>
      </c>
      <c r="H2594" s="19" t="s">
        <v>25</v>
      </c>
      <c r="I2594" s="15" t="str">
        <f t="shared" si="40"/>
        <v>Sở ban ngành</v>
      </c>
      <c r="J2594" s="15" t="s">
        <v>1285</v>
      </c>
      <c r="K2594" s="19" t="s">
        <v>1280</v>
      </c>
      <c r="L2594" s="32">
        <f>Data!$D2594/10^6</f>
        <v>128.18181799999999</v>
      </c>
    </row>
    <row r="2595" spans="1:12" x14ac:dyDescent="0.25">
      <c r="A2595" s="30" t="s">
        <v>268</v>
      </c>
      <c r="B2595" s="19" t="s">
        <v>483</v>
      </c>
      <c r="C2595" s="19" t="s">
        <v>46</v>
      </c>
      <c r="D2595" s="20">
        <v>53636364</v>
      </c>
      <c r="E2595" s="21">
        <v>45627</v>
      </c>
      <c r="F2595" s="18">
        <f>MONTH(Data!$E2595)</f>
        <v>12</v>
      </c>
      <c r="G2595" s="16">
        <f>YEAR(Data!$E2595)</f>
        <v>2024</v>
      </c>
      <c r="H2595" s="19" t="s">
        <v>25</v>
      </c>
      <c r="I2595" s="15" t="str">
        <f t="shared" si="40"/>
        <v>Sở ban ngành</v>
      </c>
      <c r="J2595" s="15" t="s">
        <v>1284</v>
      </c>
      <c r="K2595" s="19" t="s">
        <v>1271</v>
      </c>
      <c r="L2595" s="32">
        <f>Data!$D2595/10^6</f>
        <v>53.636364</v>
      </c>
    </row>
    <row r="2596" spans="1:12" x14ac:dyDescent="0.25">
      <c r="A2596" s="30" t="s">
        <v>17</v>
      </c>
      <c r="B2596" s="19" t="s">
        <v>694</v>
      </c>
      <c r="C2596" s="19" t="s">
        <v>41</v>
      </c>
      <c r="D2596" s="20">
        <v>4200000</v>
      </c>
      <c r="E2596" s="21">
        <v>45627</v>
      </c>
      <c r="F2596" s="18">
        <f>MONTH(Data!$E2596)</f>
        <v>12</v>
      </c>
      <c r="G2596" s="16">
        <f>YEAR(Data!$E2596)</f>
        <v>2024</v>
      </c>
      <c r="H2596" s="19" t="s">
        <v>11</v>
      </c>
      <c r="I2596" s="15" t="str">
        <f t="shared" si="40"/>
        <v>Sở ban ngành</v>
      </c>
      <c r="J2596" s="15" t="s">
        <v>1285</v>
      </c>
      <c r="K2596" s="19" t="s">
        <v>1269</v>
      </c>
      <c r="L2596" s="32">
        <f>Data!$D2596/10^6</f>
        <v>4.2</v>
      </c>
    </row>
    <row r="2597" spans="1:12" x14ac:dyDescent="0.25">
      <c r="A2597" s="30" t="s">
        <v>17</v>
      </c>
      <c r="B2597" s="19" t="s">
        <v>741</v>
      </c>
      <c r="C2597" s="19" t="s">
        <v>10</v>
      </c>
      <c r="D2597" s="20">
        <v>4200000</v>
      </c>
      <c r="E2597" s="21">
        <v>45627</v>
      </c>
      <c r="F2597" s="18">
        <f>MONTH(Data!$E2597)</f>
        <v>12</v>
      </c>
      <c r="G2597" s="16">
        <f>YEAR(Data!$E2597)</f>
        <v>2024</v>
      </c>
      <c r="H2597" s="19" t="s">
        <v>11</v>
      </c>
      <c r="I2597" s="15" t="str">
        <f t="shared" si="40"/>
        <v>Sở ban ngành</v>
      </c>
      <c r="J2597" s="15" t="s">
        <v>1284</v>
      </c>
      <c r="K2597" s="19" t="s">
        <v>1267</v>
      </c>
      <c r="L2597" s="32">
        <f>Data!$D2597/10^6</f>
        <v>4.2</v>
      </c>
    </row>
    <row r="2598" spans="1:12" x14ac:dyDescent="0.25">
      <c r="A2598" s="30" t="s">
        <v>17</v>
      </c>
      <c r="B2598" s="19" t="s">
        <v>739</v>
      </c>
      <c r="C2598" s="19" t="s">
        <v>10</v>
      </c>
      <c r="D2598" s="20">
        <v>4200000</v>
      </c>
      <c r="E2598" s="21">
        <v>45627</v>
      </c>
      <c r="F2598" s="18">
        <f>MONTH(Data!$E2598)</f>
        <v>12</v>
      </c>
      <c r="G2598" s="16">
        <f>YEAR(Data!$E2598)</f>
        <v>2024</v>
      </c>
      <c r="H2598" s="19" t="s">
        <v>11</v>
      </c>
      <c r="I2598" s="15" t="str">
        <f t="shared" si="40"/>
        <v>Sở ban ngành</v>
      </c>
      <c r="J2598" s="15" t="s">
        <v>1285</v>
      </c>
      <c r="K2598" s="19" t="s">
        <v>1267</v>
      </c>
      <c r="L2598" s="32">
        <f>Data!$D2598/10^6</f>
        <v>4.2</v>
      </c>
    </row>
    <row r="2599" spans="1:12" x14ac:dyDescent="0.25">
      <c r="A2599" s="30" t="s">
        <v>48</v>
      </c>
      <c r="B2599" s="19" t="s">
        <v>353</v>
      </c>
      <c r="C2599" s="19" t="s">
        <v>10</v>
      </c>
      <c r="D2599" s="20">
        <v>26527400</v>
      </c>
      <c r="E2599" s="21">
        <v>45627</v>
      </c>
      <c r="F2599" s="18">
        <f>MONTH(Data!$E2599)</f>
        <v>12</v>
      </c>
      <c r="G2599" s="16">
        <f>YEAR(Data!$E2599)</f>
        <v>2024</v>
      </c>
      <c r="H2599" s="19" t="s">
        <v>25</v>
      </c>
      <c r="I2599" s="15" t="str">
        <f t="shared" si="40"/>
        <v>Sở ban ngành</v>
      </c>
      <c r="J2599" s="15" t="s">
        <v>1284</v>
      </c>
      <c r="K2599" s="19" t="s">
        <v>1263</v>
      </c>
      <c r="L2599" s="32">
        <f>Data!$D2599/10^6</f>
        <v>26.5274</v>
      </c>
    </row>
    <row r="2600" spans="1:12" x14ac:dyDescent="0.25">
      <c r="A2600" s="30" t="s">
        <v>109</v>
      </c>
      <c r="B2600" s="19" t="s">
        <v>665</v>
      </c>
      <c r="C2600" s="19" t="s">
        <v>10</v>
      </c>
      <c r="D2600" s="20">
        <v>146266364</v>
      </c>
      <c r="E2600" s="21">
        <v>45627</v>
      </c>
      <c r="F2600" s="18">
        <f>MONTH(Data!$E2600)</f>
        <v>12</v>
      </c>
      <c r="G2600" s="16">
        <f>YEAR(Data!$E2600)</f>
        <v>2024</v>
      </c>
      <c r="H2600" s="19" t="s">
        <v>22</v>
      </c>
      <c r="I2600" s="15" t="str">
        <f t="shared" si="40"/>
        <v>Sở ban ngành</v>
      </c>
      <c r="J2600" s="15" t="s">
        <v>1285</v>
      </c>
      <c r="K2600" s="19" t="s">
        <v>1263</v>
      </c>
      <c r="L2600" s="32">
        <f>Data!$D2600/10^6</f>
        <v>146.26636400000001</v>
      </c>
    </row>
    <row r="2601" spans="1:12" x14ac:dyDescent="0.25">
      <c r="A2601" s="30" t="s">
        <v>17</v>
      </c>
      <c r="B2601" s="19" t="s">
        <v>727</v>
      </c>
      <c r="C2601" s="19" t="s">
        <v>10</v>
      </c>
      <c r="D2601" s="20">
        <v>8480000</v>
      </c>
      <c r="E2601" s="21">
        <v>45627</v>
      </c>
      <c r="F2601" s="18">
        <f>MONTH(Data!$E2601)</f>
        <v>12</v>
      </c>
      <c r="G2601" s="16">
        <f>YEAR(Data!$E2601)</f>
        <v>2024</v>
      </c>
      <c r="H2601" s="19" t="s">
        <v>11</v>
      </c>
      <c r="I2601" s="15" t="str">
        <f t="shared" si="40"/>
        <v>Sở ban ngành</v>
      </c>
      <c r="J2601" s="15" t="s">
        <v>1284</v>
      </c>
      <c r="K2601" s="19" t="s">
        <v>1267</v>
      </c>
      <c r="L2601" s="32">
        <f>Data!$D2601/10^6</f>
        <v>8.48</v>
      </c>
    </row>
    <row r="2602" spans="1:12" x14ac:dyDescent="0.25">
      <c r="A2602" s="30" t="s">
        <v>74</v>
      </c>
      <c r="B2602" s="19" t="s">
        <v>637</v>
      </c>
      <c r="C2602" s="19" t="s">
        <v>14</v>
      </c>
      <c r="D2602" s="20">
        <v>38534971</v>
      </c>
      <c r="E2602" s="21">
        <v>45627</v>
      </c>
      <c r="F2602" s="18">
        <f>MONTH(Data!$E2602)</f>
        <v>12</v>
      </c>
      <c r="G2602" s="16">
        <f>YEAR(Data!$E2602)</f>
        <v>2024</v>
      </c>
      <c r="H2602" s="19" t="s">
        <v>11</v>
      </c>
      <c r="I2602" s="15" t="str">
        <f t="shared" si="40"/>
        <v>Sở ban ngành</v>
      </c>
      <c r="J2602" s="15" t="s">
        <v>1285</v>
      </c>
      <c r="K2602" s="19" t="s">
        <v>1266</v>
      </c>
      <c r="L2602" s="32">
        <f>Data!$D2602/10^6</f>
        <v>38.534970999999999</v>
      </c>
    </row>
    <row r="2603" spans="1:12" x14ac:dyDescent="0.25">
      <c r="A2603" s="30" t="s">
        <v>123</v>
      </c>
      <c r="B2603" s="19" t="s">
        <v>760</v>
      </c>
      <c r="C2603" s="19" t="s">
        <v>46</v>
      </c>
      <c r="D2603" s="20">
        <v>568066227</v>
      </c>
      <c r="E2603" s="21">
        <v>45627</v>
      </c>
      <c r="F2603" s="18">
        <f>MONTH(Data!$E2603)</f>
        <v>12</v>
      </c>
      <c r="G2603" s="16">
        <f>YEAR(Data!$E2603)</f>
        <v>2024</v>
      </c>
      <c r="H2603" s="19" t="s">
        <v>15</v>
      </c>
      <c r="I2603" s="15" t="str">
        <f t="shared" si="40"/>
        <v>Sở ban ngành</v>
      </c>
      <c r="J2603" s="15" t="s">
        <v>1284</v>
      </c>
      <c r="K2603" s="19" t="s">
        <v>1271</v>
      </c>
      <c r="L2603" s="32">
        <f>Data!$D2603/10^6</f>
        <v>568.06622700000003</v>
      </c>
    </row>
    <row r="2604" spans="1:12" x14ac:dyDescent="0.25">
      <c r="A2604" s="30" t="s">
        <v>68</v>
      </c>
      <c r="B2604" s="19" t="s">
        <v>681</v>
      </c>
      <c r="C2604" s="19" t="s">
        <v>46</v>
      </c>
      <c r="D2604" s="20">
        <v>9454545</v>
      </c>
      <c r="E2604" s="21">
        <v>45627</v>
      </c>
      <c r="F2604" s="18">
        <f>MONTH(Data!$E2604)</f>
        <v>12</v>
      </c>
      <c r="G2604" s="16">
        <f>YEAR(Data!$E2604)</f>
        <v>2024</v>
      </c>
      <c r="H2604" s="19" t="s">
        <v>22</v>
      </c>
      <c r="I2604" s="15" t="str">
        <f t="shared" si="40"/>
        <v>Sở ban ngành</v>
      </c>
      <c r="J2604" s="15" t="s">
        <v>1285</v>
      </c>
      <c r="K2604" s="19" t="s">
        <v>1271</v>
      </c>
      <c r="L2604" s="32">
        <f>Data!$D2604/10^6</f>
        <v>9.4545449999999995</v>
      </c>
    </row>
    <row r="2605" spans="1:12" x14ac:dyDescent="0.25">
      <c r="A2605" s="30" t="s">
        <v>111</v>
      </c>
      <c r="B2605" s="19" t="s">
        <v>693</v>
      </c>
      <c r="C2605" s="19" t="s">
        <v>14</v>
      </c>
      <c r="D2605" s="20">
        <v>72722727</v>
      </c>
      <c r="E2605" s="21">
        <v>45627</v>
      </c>
      <c r="F2605" s="18">
        <f>MONTH(Data!$E2605)</f>
        <v>12</v>
      </c>
      <c r="G2605" s="16">
        <f>YEAR(Data!$E2605)</f>
        <v>2024</v>
      </c>
      <c r="H2605" s="19" t="s">
        <v>22</v>
      </c>
      <c r="I2605" s="15" t="str">
        <f t="shared" si="40"/>
        <v>Sở ban ngành</v>
      </c>
      <c r="J2605" s="15" t="s">
        <v>1284</v>
      </c>
      <c r="K2605" s="19" t="s">
        <v>1272</v>
      </c>
      <c r="L2605" s="32">
        <f>Data!$D2605/10^6</f>
        <v>72.722727000000006</v>
      </c>
    </row>
    <row r="2606" spans="1:12" x14ac:dyDescent="0.25">
      <c r="A2606" s="30" t="s">
        <v>111</v>
      </c>
      <c r="B2606" s="19" t="s">
        <v>682</v>
      </c>
      <c r="C2606" s="19" t="s">
        <v>14</v>
      </c>
      <c r="D2606" s="20">
        <v>81736364</v>
      </c>
      <c r="E2606" s="21">
        <v>45627</v>
      </c>
      <c r="F2606" s="18">
        <f>MONTH(Data!$E2606)</f>
        <v>12</v>
      </c>
      <c r="G2606" s="16">
        <f>YEAR(Data!$E2606)</f>
        <v>2024</v>
      </c>
      <c r="H2606" s="19" t="s">
        <v>22</v>
      </c>
      <c r="I2606" s="15" t="str">
        <f t="shared" si="40"/>
        <v>Sở ban ngành</v>
      </c>
      <c r="J2606" s="15" t="s">
        <v>1285</v>
      </c>
      <c r="K2606" s="19" t="s">
        <v>1272</v>
      </c>
      <c r="L2606" s="32">
        <f>Data!$D2606/10^6</f>
        <v>81.736363999999995</v>
      </c>
    </row>
    <row r="2607" spans="1:12" x14ac:dyDescent="0.25">
      <c r="A2607" s="30" t="s">
        <v>87</v>
      </c>
      <c r="B2607" s="19" t="s">
        <v>797</v>
      </c>
      <c r="C2607" s="19" t="s">
        <v>46</v>
      </c>
      <c r="D2607" s="20">
        <v>90454545</v>
      </c>
      <c r="E2607" s="21">
        <v>45627</v>
      </c>
      <c r="F2607" s="18">
        <f>MONTH(Data!$E2607)</f>
        <v>12</v>
      </c>
      <c r="G2607" s="16">
        <f>YEAR(Data!$E2607)</f>
        <v>2024</v>
      </c>
      <c r="H2607" s="19" t="s">
        <v>29</v>
      </c>
      <c r="I2607" s="15" t="str">
        <f t="shared" si="40"/>
        <v>Sở ban ngành</v>
      </c>
      <c r="J2607" s="15" t="s">
        <v>1284</v>
      </c>
      <c r="K2607" s="19" t="s">
        <v>1271</v>
      </c>
      <c r="L2607" s="32">
        <f>Data!$D2607/10^6</f>
        <v>90.454544999999996</v>
      </c>
    </row>
    <row r="2608" spans="1:12" x14ac:dyDescent="0.25">
      <c r="A2608" s="30" t="s">
        <v>68</v>
      </c>
      <c r="B2608" s="19" t="s">
        <v>260</v>
      </c>
      <c r="C2608" s="19" t="s">
        <v>41</v>
      </c>
      <c r="D2608" s="20">
        <v>205921300</v>
      </c>
      <c r="E2608" s="21">
        <v>45627</v>
      </c>
      <c r="F2608" s="18">
        <f>MONTH(Data!$E2608)</f>
        <v>12</v>
      </c>
      <c r="G2608" s="16">
        <f>YEAR(Data!$E2608)</f>
        <v>2024</v>
      </c>
      <c r="H2608" s="19" t="s">
        <v>22</v>
      </c>
      <c r="I2608" s="15" t="str">
        <f t="shared" si="40"/>
        <v>Sở ban ngành</v>
      </c>
      <c r="J2608" s="15" t="s">
        <v>1285</v>
      </c>
      <c r="K2608" s="19" t="s">
        <v>1280</v>
      </c>
      <c r="L2608" s="32">
        <f>Data!$D2608/10^6</f>
        <v>205.9213</v>
      </c>
    </row>
    <row r="2609" spans="1:12" x14ac:dyDescent="0.25">
      <c r="A2609" s="30" t="s">
        <v>68</v>
      </c>
      <c r="B2609" s="19" t="s">
        <v>260</v>
      </c>
      <c r="C2609" s="19" t="s">
        <v>41</v>
      </c>
      <c r="D2609" s="20">
        <v>205921300</v>
      </c>
      <c r="E2609" s="21">
        <v>45627</v>
      </c>
      <c r="F2609" s="18">
        <f>MONTH(Data!$E2609)</f>
        <v>12</v>
      </c>
      <c r="G2609" s="16">
        <f>YEAR(Data!$E2609)</f>
        <v>2024</v>
      </c>
      <c r="H2609" s="19" t="s">
        <v>22</v>
      </c>
      <c r="I2609" s="15" t="str">
        <f t="shared" si="40"/>
        <v>Sở ban ngành</v>
      </c>
      <c r="J2609" s="15" t="s">
        <v>1284</v>
      </c>
      <c r="K2609" s="19" t="s">
        <v>1280</v>
      </c>
      <c r="L2609" s="32">
        <f>Data!$D2609/10^6</f>
        <v>205.9213</v>
      </c>
    </row>
    <row r="2610" spans="1:12" x14ac:dyDescent="0.25">
      <c r="A2610" s="30" t="s">
        <v>68</v>
      </c>
      <c r="B2610" s="19" t="s">
        <v>69</v>
      </c>
      <c r="C2610" s="19" t="s">
        <v>41</v>
      </c>
      <c r="D2610" s="20">
        <v>207696400</v>
      </c>
      <c r="E2610" s="21">
        <v>45627</v>
      </c>
      <c r="F2610" s="18">
        <f>MONTH(Data!$E2610)</f>
        <v>12</v>
      </c>
      <c r="G2610" s="16">
        <f>YEAR(Data!$E2610)</f>
        <v>2024</v>
      </c>
      <c r="H2610" s="19" t="s">
        <v>22</v>
      </c>
      <c r="I2610" s="15" t="str">
        <f t="shared" si="40"/>
        <v>Sở ban ngành</v>
      </c>
      <c r="J2610" s="15" t="s">
        <v>1285</v>
      </c>
      <c r="K2610" s="19" t="s">
        <v>1280</v>
      </c>
      <c r="L2610" s="32">
        <f>Data!$D2610/10^6</f>
        <v>207.69640000000001</v>
      </c>
    </row>
    <row r="2611" spans="1:12" x14ac:dyDescent="0.25">
      <c r="A2611" s="30" t="s">
        <v>130</v>
      </c>
      <c r="B2611" s="19" t="s">
        <v>726</v>
      </c>
      <c r="C2611" s="19" t="s">
        <v>10</v>
      </c>
      <c r="D2611" s="20">
        <v>90669091</v>
      </c>
      <c r="E2611" s="21">
        <v>45627</v>
      </c>
      <c r="F2611" s="18">
        <f>MONTH(Data!$E2611)</f>
        <v>12</v>
      </c>
      <c r="G2611" s="16">
        <f>YEAR(Data!$E2611)</f>
        <v>2024</v>
      </c>
      <c r="H2611" s="19" t="s">
        <v>22</v>
      </c>
      <c r="I2611" s="15" t="str">
        <f t="shared" si="40"/>
        <v>Sở ban ngành</v>
      </c>
      <c r="J2611" s="15" t="s">
        <v>1284</v>
      </c>
      <c r="K2611" s="19" t="s">
        <v>1263</v>
      </c>
      <c r="L2611" s="32">
        <f>Data!$D2611/10^6</f>
        <v>90.669090999999995</v>
      </c>
    </row>
    <row r="2612" spans="1:12" x14ac:dyDescent="0.25">
      <c r="A2612" s="30" t="s">
        <v>17</v>
      </c>
      <c r="B2612" s="19" t="s">
        <v>740</v>
      </c>
      <c r="C2612" s="19" t="s">
        <v>10</v>
      </c>
      <c r="D2612" s="20">
        <v>8480000</v>
      </c>
      <c r="E2612" s="21">
        <v>45627</v>
      </c>
      <c r="F2612" s="18">
        <f>MONTH(Data!$E2612)</f>
        <v>12</v>
      </c>
      <c r="G2612" s="16">
        <f>YEAR(Data!$E2612)</f>
        <v>2024</v>
      </c>
      <c r="H2612" s="19" t="s">
        <v>11</v>
      </c>
      <c r="I2612" s="15" t="str">
        <f t="shared" si="40"/>
        <v>Sở ban ngành</v>
      </c>
      <c r="J2612" s="15" t="s">
        <v>1285</v>
      </c>
      <c r="K2612" s="19" t="s">
        <v>1267</v>
      </c>
      <c r="L2612" s="32">
        <f>Data!$D2612/10^6</f>
        <v>8.48</v>
      </c>
    </row>
    <row r="2613" spans="1:12" x14ac:dyDescent="0.25">
      <c r="A2613" s="30" t="s">
        <v>68</v>
      </c>
      <c r="B2613" s="19" t="s">
        <v>70</v>
      </c>
      <c r="C2613" s="19" t="s">
        <v>41</v>
      </c>
      <c r="D2613" s="20">
        <v>207841900</v>
      </c>
      <c r="E2613" s="21">
        <v>45627</v>
      </c>
      <c r="F2613" s="18">
        <f>MONTH(Data!$E2613)</f>
        <v>12</v>
      </c>
      <c r="G2613" s="16">
        <f>YEAR(Data!$E2613)</f>
        <v>2024</v>
      </c>
      <c r="H2613" s="19" t="s">
        <v>22</v>
      </c>
      <c r="I2613" s="15" t="str">
        <f t="shared" si="40"/>
        <v>Sở ban ngành</v>
      </c>
      <c r="J2613" s="15" t="s">
        <v>1284</v>
      </c>
      <c r="K2613" s="19" t="s">
        <v>1280</v>
      </c>
      <c r="L2613" s="32">
        <f>Data!$D2613/10^6</f>
        <v>207.84190000000001</v>
      </c>
    </row>
    <row r="2614" spans="1:12" x14ac:dyDescent="0.25">
      <c r="A2614" s="30" t="s">
        <v>68</v>
      </c>
      <c r="B2614" s="19" t="s">
        <v>70</v>
      </c>
      <c r="C2614" s="19" t="s">
        <v>14</v>
      </c>
      <c r="D2614" s="20">
        <v>79331818</v>
      </c>
      <c r="E2614" s="21">
        <v>45627</v>
      </c>
      <c r="F2614" s="18">
        <f>MONTH(Data!$E2614)</f>
        <v>12</v>
      </c>
      <c r="G2614" s="16">
        <f>YEAR(Data!$E2614)</f>
        <v>2024</v>
      </c>
      <c r="H2614" s="19" t="s">
        <v>22</v>
      </c>
      <c r="I2614" s="15" t="str">
        <f t="shared" si="40"/>
        <v>Sở ban ngành</v>
      </c>
      <c r="J2614" s="15" t="s">
        <v>1285</v>
      </c>
      <c r="K2614" s="19" t="s">
        <v>1272</v>
      </c>
      <c r="L2614" s="32">
        <f>Data!$D2614/10^6</f>
        <v>79.331817999999998</v>
      </c>
    </row>
    <row r="2615" spans="1:12" x14ac:dyDescent="0.25">
      <c r="A2615" s="30" t="s">
        <v>72</v>
      </c>
      <c r="B2615" s="19" t="s">
        <v>688</v>
      </c>
      <c r="C2615" s="19" t="s">
        <v>10</v>
      </c>
      <c r="D2615" s="20">
        <v>86805000</v>
      </c>
      <c r="E2615" s="21">
        <v>45627</v>
      </c>
      <c r="F2615" s="18">
        <f>MONTH(Data!$E2615)</f>
        <v>12</v>
      </c>
      <c r="G2615" s="16">
        <f>YEAR(Data!$E2615)</f>
        <v>2024</v>
      </c>
      <c r="H2615" s="19" t="s">
        <v>22</v>
      </c>
      <c r="I2615" s="15" t="str">
        <f t="shared" si="40"/>
        <v>Sở ban ngành</v>
      </c>
      <c r="J2615" s="15" t="s">
        <v>1284</v>
      </c>
      <c r="K2615" s="19" t="s">
        <v>1262</v>
      </c>
      <c r="L2615" s="32">
        <f>Data!$D2615/10^6</f>
        <v>86.805000000000007</v>
      </c>
    </row>
    <row r="2616" spans="1:12" x14ac:dyDescent="0.25">
      <c r="A2616" s="30" t="s">
        <v>8</v>
      </c>
      <c r="B2616" s="19" t="s">
        <v>792</v>
      </c>
      <c r="C2616" s="19" t="s">
        <v>10</v>
      </c>
      <c r="D2616" s="20">
        <v>26017727</v>
      </c>
      <c r="E2616" s="21">
        <v>45627</v>
      </c>
      <c r="F2616" s="18">
        <f>MONTH(Data!$E2616)</f>
        <v>12</v>
      </c>
      <c r="G2616" s="16">
        <f>YEAR(Data!$E2616)</f>
        <v>2024</v>
      </c>
      <c r="H2616" s="19" t="s">
        <v>11</v>
      </c>
      <c r="I2616" s="15" t="str">
        <f t="shared" si="40"/>
        <v>Sở ban ngành</v>
      </c>
      <c r="J2616" s="15" t="s">
        <v>1285</v>
      </c>
      <c r="K2616" s="19" t="s">
        <v>1263</v>
      </c>
      <c r="L2616" s="32">
        <f>Data!$D2616/10^6</f>
        <v>26.017727000000001</v>
      </c>
    </row>
    <row r="2617" spans="1:12" x14ac:dyDescent="0.25">
      <c r="A2617" s="30" t="s">
        <v>17</v>
      </c>
      <c r="B2617" s="19" t="s">
        <v>714</v>
      </c>
      <c r="C2617" s="19" t="s">
        <v>10</v>
      </c>
      <c r="D2617" s="20">
        <v>8480000</v>
      </c>
      <c r="E2617" s="21">
        <v>45627</v>
      </c>
      <c r="F2617" s="18">
        <f>MONTH(Data!$E2617)</f>
        <v>12</v>
      </c>
      <c r="G2617" s="16">
        <f>YEAR(Data!$E2617)</f>
        <v>2024</v>
      </c>
      <c r="H2617" s="19" t="s">
        <v>11</v>
      </c>
      <c r="I2617" s="15" t="str">
        <f t="shared" si="40"/>
        <v>Sở ban ngành</v>
      </c>
      <c r="J2617" s="15" t="s">
        <v>1284</v>
      </c>
      <c r="K2617" s="19" t="s">
        <v>1267</v>
      </c>
      <c r="L2617" s="32">
        <f>Data!$D2617/10^6</f>
        <v>8.48</v>
      </c>
    </row>
    <row r="2618" spans="1:12" x14ac:dyDescent="0.25">
      <c r="A2618" s="30" t="s">
        <v>73</v>
      </c>
      <c r="B2618" s="19" t="s">
        <v>722</v>
      </c>
      <c r="C2618" s="19" t="s">
        <v>10</v>
      </c>
      <c r="D2618" s="20">
        <v>85575273</v>
      </c>
      <c r="E2618" s="21">
        <v>45627</v>
      </c>
      <c r="F2618" s="18">
        <f>MONTH(Data!$E2618)</f>
        <v>12</v>
      </c>
      <c r="G2618" s="16">
        <f>YEAR(Data!$E2618)</f>
        <v>2024</v>
      </c>
      <c r="H2618" s="19" t="s">
        <v>32</v>
      </c>
      <c r="I2618" s="15" t="str">
        <f t="shared" si="40"/>
        <v>Sở ban ngành</v>
      </c>
      <c r="J2618" s="15" t="s">
        <v>1285</v>
      </c>
      <c r="K2618" s="19" t="s">
        <v>1263</v>
      </c>
      <c r="L2618" s="32">
        <f>Data!$D2618/10^6</f>
        <v>85.575272999999996</v>
      </c>
    </row>
    <row r="2619" spans="1:12" x14ac:dyDescent="0.25">
      <c r="A2619" s="30" t="s">
        <v>8</v>
      </c>
      <c r="B2619" s="19" t="s">
        <v>692</v>
      </c>
      <c r="C2619" s="19" t="s">
        <v>46</v>
      </c>
      <c r="D2619" s="20">
        <v>90778991</v>
      </c>
      <c r="E2619" s="21">
        <v>45627</v>
      </c>
      <c r="F2619" s="18">
        <f>MONTH(Data!$E2619)</f>
        <v>12</v>
      </c>
      <c r="G2619" s="16">
        <f>YEAR(Data!$E2619)</f>
        <v>2024</v>
      </c>
      <c r="H2619" s="19" t="s">
        <v>11</v>
      </c>
      <c r="I2619" s="15" t="str">
        <f t="shared" si="40"/>
        <v>Sở ban ngành</v>
      </c>
      <c r="J2619" s="15" t="s">
        <v>1284</v>
      </c>
      <c r="K2619" s="19" t="s">
        <v>1271</v>
      </c>
      <c r="L2619" s="32">
        <f>Data!$D2619/10^6</f>
        <v>90.778991000000005</v>
      </c>
    </row>
    <row r="2620" spans="1:12" x14ac:dyDescent="0.25">
      <c r="A2620" s="30" t="s">
        <v>68</v>
      </c>
      <c r="B2620" s="19" t="s">
        <v>1257</v>
      </c>
      <c r="C2620" s="19" t="s">
        <v>10</v>
      </c>
      <c r="D2620" s="20">
        <v>15246199</v>
      </c>
      <c r="E2620" s="21">
        <v>45627</v>
      </c>
      <c r="F2620" s="18">
        <f>MONTH(Data!$E2620)</f>
        <v>12</v>
      </c>
      <c r="G2620" s="16">
        <f>YEAR(Data!$E2620)</f>
        <v>2024</v>
      </c>
      <c r="H2620" s="19" t="s">
        <v>22</v>
      </c>
      <c r="I2620" s="15" t="str">
        <f t="shared" si="40"/>
        <v>Sở ban ngành</v>
      </c>
      <c r="J2620" s="15" t="s">
        <v>1285</v>
      </c>
      <c r="K2620" s="19" t="s">
        <v>1263</v>
      </c>
      <c r="L2620" s="32">
        <f>Data!$D2620/10^6</f>
        <v>15.246199000000001</v>
      </c>
    </row>
    <row r="2621" spans="1:12" x14ac:dyDescent="0.25">
      <c r="A2621" s="30" t="s">
        <v>23</v>
      </c>
      <c r="B2621" s="19" t="s">
        <v>729</v>
      </c>
      <c r="C2621" s="19" t="s">
        <v>14</v>
      </c>
      <c r="D2621" s="20">
        <v>168545455</v>
      </c>
      <c r="E2621" s="21">
        <v>45627</v>
      </c>
      <c r="F2621" s="18">
        <f>MONTH(Data!$E2621)</f>
        <v>12</v>
      </c>
      <c r="G2621" s="16">
        <f>YEAR(Data!$E2621)</f>
        <v>2024</v>
      </c>
      <c r="H2621" s="19" t="s">
        <v>25</v>
      </c>
      <c r="I2621" s="15" t="str">
        <f t="shared" si="40"/>
        <v>Sở ban ngành</v>
      </c>
      <c r="J2621" s="15" t="s">
        <v>1284</v>
      </c>
      <c r="K2621" s="19" t="s">
        <v>1275</v>
      </c>
      <c r="L2621" s="32">
        <f>Data!$D2621/10^6</f>
        <v>168.545455</v>
      </c>
    </row>
    <row r="2622" spans="1:12" x14ac:dyDescent="0.25">
      <c r="A2622" s="30" t="s">
        <v>74</v>
      </c>
      <c r="B2622" s="19" t="s">
        <v>680</v>
      </c>
      <c r="C2622" s="19" t="s">
        <v>10</v>
      </c>
      <c r="D2622" s="20">
        <v>60253914</v>
      </c>
      <c r="E2622" s="21">
        <v>45627</v>
      </c>
      <c r="F2622" s="18">
        <f>MONTH(Data!$E2622)</f>
        <v>12</v>
      </c>
      <c r="G2622" s="16">
        <f>YEAR(Data!$E2622)</f>
        <v>2024</v>
      </c>
      <c r="H2622" s="19" t="s">
        <v>11</v>
      </c>
      <c r="I2622" s="15" t="str">
        <f t="shared" si="40"/>
        <v>Sở ban ngành</v>
      </c>
      <c r="J2622" s="15" t="s">
        <v>1285</v>
      </c>
      <c r="K2622" s="19" t="s">
        <v>1263</v>
      </c>
      <c r="L2622" s="32">
        <f>Data!$D2622/10^6</f>
        <v>60.253914000000002</v>
      </c>
    </row>
    <row r="2623" spans="1:12" x14ac:dyDescent="0.25">
      <c r="A2623" s="30" t="s">
        <v>74</v>
      </c>
      <c r="B2623" s="19" t="s">
        <v>680</v>
      </c>
      <c r="C2623" s="19" t="s">
        <v>10</v>
      </c>
      <c r="D2623" s="20">
        <v>73283727</v>
      </c>
      <c r="E2623" s="21">
        <v>45627</v>
      </c>
      <c r="F2623" s="18">
        <f>MONTH(Data!$E2623)</f>
        <v>12</v>
      </c>
      <c r="G2623" s="16">
        <f>YEAR(Data!$E2623)</f>
        <v>2024</v>
      </c>
      <c r="H2623" s="19" t="s">
        <v>11</v>
      </c>
      <c r="I2623" s="15" t="str">
        <f t="shared" si="40"/>
        <v>Sở ban ngành</v>
      </c>
      <c r="J2623" s="15" t="s">
        <v>1284</v>
      </c>
      <c r="K2623" s="19" t="s">
        <v>1263</v>
      </c>
      <c r="L2623" s="32">
        <f>Data!$D2623/10^6</f>
        <v>73.283726999999999</v>
      </c>
    </row>
    <row r="2624" spans="1:12" x14ac:dyDescent="0.25">
      <c r="A2624" s="30" t="s">
        <v>33</v>
      </c>
      <c r="B2624" s="19" t="s">
        <v>778</v>
      </c>
      <c r="C2624" s="19" t="s">
        <v>10</v>
      </c>
      <c r="D2624" s="20">
        <v>176181818</v>
      </c>
      <c r="E2624" s="21">
        <v>45627</v>
      </c>
      <c r="F2624" s="18">
        <f>MONTH(Data!$E2624)</f>
        <v>12</v>
      </c>
      <c r="G2624" s="16">
        <f>YEAR(Data!$E2624)</f>
        <v>2024</v>
      </c>
      <c r="H2624" s="19" t="s">
        <v>35</v>
      </c>
      <c r="I2624" s="15" t="str">
        <f t="shared" si="40"/>
        <v>Sở ban ngành</v>
      </c>
      <c r="J2624" s="15" t="s">
        <v>1285</v>
      </c>
      <c r="K2624" s="19" t="s">
        <v>1263</v>
      </c>
      <c r="L2624" s="32">
        <f>Data!$D2624/10^6</f>
        <v>176.18181799999999</v>
      </c>
    </row>
    <row r="2625" spans="1:12" x14ac:dyDescent="0.25">
      <c r="A2625" s="30" t="s">
        <v>54</v>
      </c>
      <c r="B2625" s="19" t="s">
        <v>738</v>
      </c>
      <c r="C2625" s="19" t="s">
        <v>10</v>
      </c>
      <c r="D2625" s="20">
        <v>41220000</v>
      </c>
      <c r="E2625" s="21">
        <v>45627</v>
      </c>
      <c r="F2625" s="18">
        <f>MONTH(Data!$E2625)</f>
        <v>12</v>
      </c>
      <c r="G2625" s="16">
        <f>YEAR(Data!$E2625)</f>
        <v>2024</v>
      </c>
      <c r="H2625" s="19" t="s">
        <v>15</v>
      </c>
      <c r="I2625" s="15" t="str">
        <f t="shared" si="40"/>
        <v>Sở ban ngành</v>
      </c>
      <c r="J2625" s="15" t="s">
        <v>1284</v>
      </c>
      <c r="K2625" s="19" t="s">
        <v>1263</v>
      </c>
      <c r="L2625" s="32">
        <f>Data!$D2625/10^6</f>
        <v>41.22</v>
      </c>
    </row>
    <row r="2626" spans="1:12" x14ac:dyDescent="0.25">
      <c r="A2626" s="30" t="s">
        <v>54</v>
      </c>
      <c r="B2626" s="19" t="s">
        <v>735</v>
      </c>
      <c r="C2626" s="19" t="s">
        <v>10</v>
      </c>
      <c r="D2626" s="20">
        <v>41220000</v>
      </c>
      <c r="E2626" s="21">
        <v>45627</v>
      </c>
      <c r="F2626" s="18">
        <f>MONTH(Data!$E2626)</f>
        <v>12</v>
      </c>
      <c r="G2626" s="16">
        <f>YEAR(Data!$E2626)</f>
        <v>2024</v>
      </c>
      <c r="H2626" s="19" t="s">
        <v>15</v>
      </c>
      <c r="I2626" s="15" t="str">
        <f t="shared" si="40"/>
        <v>Sở ban ngành</v>
      </c>
      <c r="J2626" s="15" t="s">
        <v>1285</v>
      </c>
      <c r="K2626" s="19" t="s">
        <v>1263</v>
      </c>
      <c r="L2626" s="32">
        <f>Data!$D2626/10^6</f>
        <v>41.22</v>
      </c>
    </row>
    <row r="2627" spans="1:12" x14ac:dyDescent="0.25">
      <c r="A2627" s="30" t="s">
        <v>54</v>
      </c>
      <c r="B2627" s="19" t="s">
        <v>736</v>
      </c>
      <c r="C2627" s="19" t="s">
        <v>10</v>
      </c>
      <c r="D2627" s="20">
        <v>41220000</v>
      </c>
      <c r="E2627" s="21">
        <v>45627</v>
      </c>
      <c r="F2627" s="18">
        <f>MONTH(Data!$E2627)</f>
        <v>12</v>
      </c>
      <c r="G2627" s="16">
        <f>YEAR(Data!$E2627)</f>
        <v>2024</v>
      </c>
      <c r="H2627" s="19" t="s">
        <v>15</v>
      </c>
      <c r="I2627" s="15" t="str">
        <f t="shared" ref="I2627:I2690" si="41">IF(ISNUMBER(SEARCH("Công ty",$B2627)),"Doanh nghiệp",IF(ISNUMBER(SEARCH("Doanh nghiệp",$B2627)),"Doanh nghiệp",IF(ISNUMBER(SEARCH("Tập đoàn",$B2627)),"Doanh nghiệp",
IF(ISNUMBER(SEARCH("Bệnh viện",$B2627)),"Bệnh viện",
IF(ISNUMBER(SEARCH("Ngân hàng",$B2627)),"Ngân hàng",IF(ISNUMBER(SEARCH("trường",$B2627)),"Trường học",IF(ISNUMBER(SEARCH("học viện",$B2627)),"Trường học",
IF(ISNUMBER(SEARCH("Bộ",$B2627)),"Sở ban ngành",IF(ISNUMBER(SEARCH("Đoàn",$B2627)),"Sở ban ngành",IF(ISNUMBER(SEARCH("Phòng",$B2627)),"Sở ban ngành",IF(ISNUMBER(SEARCH("UBND",$B2627)),"Sở ban ngành",IF(ISNUMBER(SEARCH("ủy ban",$B2627)),"Sở ban ngành",IF(ISNUMBER(SEARCH("công an",$B2627)),"Sở ban ngành",IF(ISNUMBER(SEARCH("sở",$B2627)),"Sở ban ngành",IF(ISNUMBER(SEARCH("thôn",$B2627)),"Sở ban ngành",IF(ISNUMBER(SEARCH("xã",$B2627)),"Sở ban ngành",IF(ISNUMBER(SEARCH("quân khu",$B2627)),"Sở ban ngành",IF(ISNUMBER(SEARCH("cục",$B2627)),"Sở ban ngành",IF(ISNUMBER(SEARCH("viện",$B2627)),"Sở ban ngành",IF(ISNUMBER(SEARCH("quỹ",$B2627)),"Sở ban ngành",IF(ISNUMBER(SEARCH("trung tâm",$B2627)),"Sở ban ngành",IF(ISNUMBER(SEARCH("quân chủng",$B2627)),"Sở ban ngành",IF(ISNUMBER(SEARCH("hội",$B2627)),"Sở ban ngành",
"Khác")))))))))))))))))))))))</f>
        <v>Sở ban ngành</v>
      </c>
      <c r="J2627" s="15" t="s">
        <v>1284</v>
      </c>
      <c r="K2627" s="19" t="s">
        <v>1263</v>
      </c>
      <c r="L2627" s="32">
        <f>Data!$D2627/10^6</f>
        <v>41.22</v>
      </c>
    </row>
    <row r="2628" spans="1:12" x14ac:dyDescent="0.25">
      <c r="A2628" s="30" t="s">
        <v>8</v>
      </c>
      <c r="B2628" s="19" t="s">
        <v>590</v>
      </c>
      <c r="C2628" s="19" t="s">
        <v>149</v>
      </c>
      <c r="D2628" s="20">
        <v>407414545</v>
      </c>
      <c r="E2628" s="21">
        <v>45627</v>
      </c>
      <c r="F2628" s="18">
        <f>MONTH(Data!$E2628)</f>
        <v>12</v>
      </c>
      <c r="G2628" s="16">
        <f>YEAR(Data!$E2628)</f>
        <v>2024</v>
      </c>
      <c r="H2628" s="19" t="s">
        <v>11</v>
      </c>
      <c r="I2628" s="15" t="str">
        <f t="shared" si="41"/>
        <v>Sở ban ngành</v>
      </c>
      <c r="J2628" s="15" t="s">
        <v>1285</v>
      </c>
      <c r="K2628" s="19" t="s">
        <v>1272</v>
      </c>
      <c r="L2628" s="32">
        <f>Data!$D2628/10^6</f>
        <v>407.41454499999998</v>
      </c>
    </row>
    <row r="2629" spans="1:12" x14ac:dyDescent="0.25">
      <c r="A2629" s="30" t="s">
        <v>27</v>
      </c>
      <c r="B2629" s="19" t="s">
        <v>319</v>
      </c>
      <c r="C2629" s="19" t="s">
        <v>10</v>
      </c>
      <c r="D2629" s="20">
        <v>36407000</v>
      </c>
      <c r="E2629" s="21">
        <v>45627</v>
      </c>
      <c r="F2629" s="18">
        <f>MONTH(Data!$E2629)</f>
        <v>12</v>
      </c>
      <c r="G2629" s="16">
        <f>YEAR(Data!$E2629)</f>
        <v>2024</v>
      </c>
      <c r="H2629" s="19" t="s">
        <v>11</v>
      </c>
      <c r="I2629" s="15" t="str">
        <f t="shared" si="41"/>
        <v>Sở ban ngành</v>
      </c>
      <c r="J2629" s="15" t="s">
        <v>1284</v>
      </c>
      <c r="K2629" s="19" t="s">
        <v>1271</v>
      </c>
      <c r="L2629" s="32">
        <f>Data!$D2629/10^6</f>
        <v>36.406999999999996</v>
      </c>
    </row>
    <row r="2630" spans="1:12" x14ac:dyDescent="0.25">
      <c r="A2630" s="30" t="s">
        <v>23</v>
      </c>
      <c r="B2630" s="19" t="s">
        <v>731</v>
      </c>
      <c r="C2630" s="19" t="s">
        <v>14</v>
      </c>
      <c r="D2630" s="20">
        <v>164090909</v>
      </c>
      <c r="E2630" s="21">
        <v>45627</v>
      </c>
      <c r="F2630" s="18">
        <f>MONTH(Data!$E2630)</f>
        <v>12</v>
      </c>
      <c r="G2630" s="16">
        <f>YEAR(Data!$E2630)</f>
        <v>2024</v>
      </c>
      <c r="H2630" s="19" t="s">
        <v>25</v>
      </c>
      <c r="I2630" s="15" t="str">
        <f t="shared" si="41"/>
        <v>Sở ban ngành</v>
      </c>
      <c r="J2630" s="15" t="s">
        <v>1285</v>
      </c>
      <c r="K2630" s="19" t="s">
        <v>1275</v>
      </c>
      <c r="L2630" s="32">
        <f>Data!$D2630/10^6</f>
        <v>164.09090900000001</v>
      </c>
    </row>
    <row r="2631" spans="1:12" x14ac:dyDescent="0.25">
      <c r="A2631" s="30" t="s">
        <v>23</v>
      </c>
      <c r="B2631" s="19" t="s">
        <v>731</v>
      </c>
      <c r="C2631" s="19" t="s">
        <v>46</v>
      </c>
      <c r="D2631" s="20">
        <v>173210909</v>
      </c>
      <c r="E2631" s="21">
        <v>45627</v>
      </c>
      <c r="F2631" s="18">
        <f>MONTH(Data!$E2631)</f>
        <v>12</v>
      </c>
      <c r="G2631" s="16">
        <f>YEAR(Data!$E2631)</f>
        <v>2024</v>
      </c>
      <c r="H2631" s="19" t="s">
        <v>25</v>
      </c>
      <c r="I2631" s="15" t="str">
        <f t="shared" si="41"/>
        <v>Sở ban ngành</v>
      </c>
      <c r="J2631" s="15" t="s">
        <v>1284</v>
      </c>
      <c r="K2631" s="19" t="s">
        <v>1271</v>
      </c>
      <c r="L2631" s="32">
        <f>Data!$D2631/10^6</f>
        <v>173.21090899999999</v>
      </c>
    </row>
    <row r="2632" spans="1:12" x14ac:dyDescent="0.25">
      <c r="A2632" s="30" t="s">
        <v>23</v>
      </c>
      <c r="B2632" s="19" t="s">
        <v>732</v>
      </c>
      <c r="C2632" s="19" t="s">
        <v>14</v>
      </c>
      <c r="D2632" s="20">
        <v>169613636</v>
      </c>
      <c r="E2632" s="21">
        <v>45627</v>
      </c>
      <c r="F2632" s="18">
        <f>MONTH(Data!$E2632)</f>
        <v>12</v>
      </c>
      <c r="G2632" s="16">
        <f>YEAR(Data!$E2632)</f>
        <v>2024</v>
      </c>
      <c r="H2632" s="19" t="s">
        <v>25</v>
      </c>
      <c r="I2632" s="15" t="str">
        <f t="shared" si="41"/>
        <v>Sở ban ngành</v>
      </c>
      <c r="J2632" s="15" t="s">
        <v>1285</v>
      </c>
      <c r="K2632" s="19" t="s">
        <v>1275</v>
      </c>
      <c r="L2632" s="32">
        <f>Data!$D2632/10^6</f>
        <v>169.61363600000001</v>
      </c>
    </row>
    <row r="2633" spans="1:12" x14ac:dyDescent="0.25">
      <c r="A2633" s="30" t="s">
        <v>23</v>
      </c>
      <c r="B2633" s="19" t="s">
        <v>730</v>
      </c>
      <c r="C2633" s="19" t="s">
        <v>14</v>
      </c>
      <c r="D2633" s="20">
        <v>164090909</v>
      </c>
      <c r="E2633" s="21">
        <v>45627</v>
      </c>
      <c r="F2633" s="18">
        <f>MONTH(Data!$E2633)</f>
        <v>12</v>
      </c>
      <c r="G2633" s="16">
        <f>YEAR(Data!$E2633)</f>
        <v>2024</v>
      </c>
      <c r="H2633" s="19" t="s">
        <v>25</v>
      </c>
      <c r="I2633" s="15" t="str">
        <f t="shared" si="41"/>
        <v>Sở ban ngành</v>
      </c>
      <c r="J2633" s="15" t="s">
        <v>1284</v>
      </c>
      <c r="K2633" s="19" t="s">
        <v>1275</v>
      </c>
      <c r="L2633" s="32">
        <f>Data!$D2633/10^6</f>
        <v>164.09090900000001</v>
      </c>
    </row>
    <row r="2634" spans="1:12" x14ac:dyDescent="0.25">
      <c r="A2634" s="30" t="s">
        <v>23</v>
      </c>
      <c r="B2634" s="19" t="s">
        <v>730</v>
      </c>
      <c r="C2634" s="19" t="s">
        <v>46</v>
      </c>
      <c r="D2634" s="20">
        <v>172727273</v>
      </c>
      <c r="E2634" s="21">
        <v>45627</v>
      </c>
      <c r="F2634" s="18">
        <f>MONTH(Data!$E2634)</f>
        <v>12</v>
      </c>
      <c r="G2634" s="16">
        <f>YEAR(Data!$E2634)</f>
        <v>2024</v>
      </c>
      <c r="H2634" s="19" t="s">
        <v>25</v>
      </c>
      <c r="I2634" s="15" t="str">
        <f t="shared" si="41"/>
        <v>Sở ban ngành</v>
      </c>
      <c r="J2634" s="15" t="s">
        <v>1285</v>
      </c>
      <c r="K2634" s="19" t="s">
        <v>1271</v>
      </c>
      <c r="L2634" s="32">
        <f>Data!$D2634/10^6</f>
        <v>172.727273</v>
      </c>
    </row>
    <row r="2635" spans="1:12" x14ac:dyDescent="0.25">
      <c r="A2635" s="30" t="s">
        <v>37</v>
      </c>
      <c r="B2635" s="19" t="s">
        <v>748</v>
      </c>
      <c r="C2635" s="19" t="s">
        <v>46</v>
      </c>
      <c r="D2635" s="20">
        <v>77236364</v>
      </c>
      <c r="E2635" s="21">
        <v>45627</v>
      </c>
      <c r="F2635" s="18">
        <f>MONTH(Data!$E2635)</f>
        <v>12</v>
      </c>
      <c r="G2635" s="16">
        <f>YEAR(Data!$E2635)</f>
        <v>2024</v>
      </c>
      <c r="H2635" s="19" t="s">
        <v>11</v>
      </c>
      <c r="I2635" s="15" t="str">
        <f t="shared" si="41"/>
        <v>Sở ban ngành</v>
      </c>
      <c r="J2635" s="15" t="s">
        <v>1284</v>
      </c>
      <c r="K2635" s="19" t="s">
        <v>1271</v>
      </c>
      <c r="L2635" s="32">
        <f>Data!$D2635/10^6</f>
        <v>77.236363999999995</v>
      </c>
    </row>
    <row r="2636" spans="1:12" x14ac:dyDescent="0.25">
      <c r="A2636" s="30" t="s">
        <v>37</v>
      </c>
      <c r="B2636" s="19" t="s">
        <v>437</v>
      </c>
      <c r="C2636" s="19" t="s">
        <v>14</v>
      </c>
      <c r="D2636" s="20">
        <v>10118182</v>
      </c>
      <c r="E2636" s="21">
        <v>45627</v>
      </c>
      <c r="F2636" s="18">
        <f>MONTH(Data!$E2636)</f>
        <v>12</v>
      </c>
      <c r="G2636" s="16">
        <f>YEAR(Data!$E2636)</f>
        <v>2024</v>
      </c>
      <c r="H2636" s="19" t="s">
        <v>11</v>
      </c>
      <c r="I2636" s="15" t="str">
        <f t="shared" si="41"/>
        <v>Sở ban ngành</v>
      </c>
      <c r="J2636" s="15" t="s">
        <v>1285</v>
      </c>
      <c r="K2636" s="19" t="s">
        <v>1275</v>
      </c>
      <c r="L2636" s="32">
        <f>Data!$D2636/10^6</f>
        <v>10.118181999999999</v>
      </c>
    </row>
    <row r="2637" spans="1:12" x14ac:dyDescent="0.25">
      <c r="A2637" s="30" t="s">
        <v>87</v>
      </c>
      <c r="B2637" s="19" t="s">
        <v>790</v>
      </c>
      <c r="C2637" s="19" t="s">
        <v>46</v>
      </c>
      <c r="D2637" s="20">
        <v>90454545</v>
      </c>
      <c r="E2637" s="21">
        <v>45627</v>
      </c>
      <c r="F2637" s="18">
        <f>MONTH(Data!$E2637)</f>
        <v>12</v>
      </c>
      <c r="G2637" s="16">
        <f>YEAR(Data!$E2637)</f>
        <v>2024</v>
      </c>
      <c r="H2637" s="19" t="s">
        <v>29</v>
      </c>
      <c r="I2637" s="15" t="str">
        <f t="shared" si="41"/>
        <v>Sở ban ngành</v>
      </c>
      <c r="J2637" s="15" t="s">
        <v>1284</v>
      </c>
      <c r="K2637" s="19" t="s">
        <v>1271</v>
      </c>
      <c r="L2637" s="32">
        <f>Data!$D2637/10^6</f>
        <v>90.454544999999996</v>
      </c>
    </row>
    <row r="2638" spans="1:12" x14ac:dyDescent="0.25">
      <c r="A2638" s="30" t="s">
        <v>87</v>
      </c>
      <c r="B2638" s="19" t="s">
        <v>801</v>
      </c>
      <c r="C2638" s="19" t="s">
        <v>46</v>
      </c>
      <c r="D2638" s="20">
        <v>89818182</v>
      </c>
      <c r="E2638" s="21">
        <v>45627</v>
      </c>
      <c r="F2638" s="18">
        <f>MONTH(Data!$E2638)</f>
        <v>12</v>
      </c>
      <c r="G2638" s="16">
        <f>YEAR(Data!$E2638)</f>
        <v>2024</v>
      </c>
      <c r="H2638" s="19" t="s">
        <v>29</v>
      </c>
      <c r="I2638" s="15" t="str">
        <f t="shared" si="41"/>
        <v>Sở ban ngành</v>
      </c>
      <c r="J2638" s="15" t="s">
        <v>1285</v>
      </c>
      <c r="K2638" s="19" t="s">
        <v>1271</v>
      </c>
      <c r="L2638" s="32">
        <f>Data!$D2638/10^6</f>
        <v>89.818181999999993</v>
      </c>
    </row>
    <row r="2639" spans="1:12" x14ac:dyDescent="0.25">
      <c r="A2639" s="30" t="s">
        <v>87</v>
      </c>
      <c r="B2639" s="19" t="s">
        <v>789</v>
      </c>
      <c r="C2639" s="19" t="s">
        <v>46</v>
      </c>
      <c r="D2639" s="20">
        <v>90454545</v>
      </c>
      <c r="E2639" s="21">
        <v>45627</v>
      </c>
      <c r="F2639" s="18">
        <f>MONTH(Data!$E2639)</f>
        <v>12</v>
      </c>
      <c r="G2639" s="16">
        <f>YEAR(Data!$E2639)</f>
        <v>2024</v>
      </c>
      <c r="H2639" s="19" t="s">
        <v>29</v>
      </c>
      <c r="I2639" s="15" t="str">
        <f t="shared" si="41"/>
        <v>Sở ban ngành</v>
      </c>
      <c r="J2639" s="15" t="s">
        <v>1284</v>
      </c>
      <c r="K2639" s="19" t="s">
        <v>1271</v>
      </c>
      <c r="L2639" s="32">
        <f>Data!$D2639/10^6</f>
        <v>90.454544999999996</v>
      </c>
    </row>
    <row r="2640" spans="1:12" x14ac:dyDescent="0.25">
      <c r="A2640" s="30" t="s">
        <v>87</v>
      </c>
      <c r="B2640" s="19" t="s">
        <v>787</v>
      </c>
      <c r="C2640" s="19" t="s">
        <v>46</v>
      </c>
      <c r="D2640" s="20">
        <v>45272727</v>
      </c>
      <c r="E2640" s="21">
        <v>45627</v>
      </c>
      <c r="F2640" s="18">
        <f>MONTH(Data!$E2640)</f>
        <v>12</v>
      </c>
      <c r="G2640" s="16">
        <f>YEAR(Data!$E2640)</f>
        <v>2024</v>
      </c>
      <c r="H2640" s="19" t="s">
        <v>29</v>
      </c>
      <c r="I2640" s="15" t="str">
        <f t="shared" si="41"/>
        <v>Sở ban ngành</v>
      </c>
      <c r="J2640" s="15" t="s">
        <v>1285</v>
      </c>
      <c r="K2640" s="19" t="s">
        <v>1271</v>
      </c>
      <c r="L2640" s="32">
        <f>Data!$D2640/10^6</f>
        <v>45.272727000000003</v>
      </c>
    </row>
    <row r="2641" spans="1:12" x14ac:dyDescent="0.25">
      <c r="A2641" s="30" t="s">
        <v>37</v>
      </c>
      <c r="B2641" s="19" t="s">
        <v>747</v>
      </c>
      <c r="C2641" s="19" t="s">
        <v>46</v>
      </c>
      <c r="D2641" s="20">
        <v>390000000</v>
      </c>
      <c r="E2641" s="21">
        <v>45627</v>
      </c>
      <c r="F2641" s="18">
        <f>MONTH(Data!$E2641)</f>
        <v>12</v>
      </c>
      <c r="G2641" s="16">
        <f>YEAR(Data!$E2641)</f>
        <v>2024</v>
      </c>
      <c r="H2641" s="19" t="s">
        <v>11</v>
      </c>
      <c r="I2641" s="15" t="str">
        <f t="shared" si="41"/>
        <v>Sở ban ngành</v>
      </c>
      <c r="J2641" s="15" t="s">
        <v>1284</v>
      </c>
      <c r="K2641" s="19" t="s">
        <v>1271</v>
      </c>
      <c r="L2641" s="32">
        <f>Data!$D2641/10^6</f>
        <v>390</v>
      </c>
    </row>
    <row r="2642" spans="1:12" x14ac:dyDescent="0.25">
      <c r="A2642" s="30" t="s">
        <v>8</v>
      </c>
      <c r="B2642" s="19" t="s">
        <v>773</v>
      </c>
      <c r="C2642" s="19" t="s">
        <v>46</v>
      </c>
      <c r="D2642" s="20">
        <v>87213955</v>
      </c>
      <c r="E2642" s="21">
        <v>45627</v>
      </c>
      <c r="F2642" s="18">
        <f>MONTH(Data!$E2642)</f>
        <v>12</v>
      </c>
      <c r="G2642" s="16">
        <f>YEAR(Data!$E2642)</f>
        <v>2024</v>
      </c>
      <c r="H2642" s="19" t="s">
        <v>11</v>
      </c>
      <c r="I2642" s="15" t="str">
        <f t="shared" si="41"/>
        <v>Sở ban ngành</v>
      </c>
      <c r="J2642" s="15" t="s">
        <v>1285</v>
      </c>
      <c r="K2642" s="19" t="s">
        <v>1271</v>
      </c>
      <c r="L2642" s="32">
        <f>Data!$D2642/10^6</f>
        <v>87.213954999999999</v>
      </c>
    </row>
    <row r="2643" spans="1:12" x14ac:dyDescent="0.25">
      <c r="A2643" s="30" t="s">
        <v>54</v>
      </c>
      <c r="B2643" s="19" t="s">
        <v>734</v>
      </c>
      <c r="C2643" s="19" t="s">
        <v>10</v>
      </c>
      <c r="D2643" s="20">
        <v>41220000</v>
      </c>
      <c r="E2643" s="21">
        <v>45627</v>
      </c>
      <c r="F2643" s="18">
        <f>MONTH(Data!$E2643)</f>
        <v>12</v>
      </c>
      <c r="G2643" s="16">
        <f>YEAR(Data!$E2643)</f>
        <v>2024</v>
      </c>
      <c r="H2643" s="19" t="s">
        <v>15</v>
      </c>
      <c r="I2643" s="15" t="str">
        <f t="shared" si="41"/>
        <v>Sở ban ngành</v>
      </c>
      <c r="J2643" s="15" t="s">
        <v>1284</v>
      </c>
      <c r="K2643" s="19" t="s">
        <v>1263</v>
      </c>
      <c r="L2643" s="32">
        <f>Data!$D2643/10^6</f>
        <v>41.22</v>
      </c>
    </row>
    <row r="2644" spans="1:12" x14ac:dyDescent="0.25">
      <c r="A2644" s="30" t="s">
        <v>87</v>
      </c>
      <c r="B2644" s="19" t="s">
        <v>798</v>
      </c>
      <c r="C2644" s="19" t="s">
        <v>46</v>
      </c>
      <c r="D2644" s="20">
        <v>90454545</v>
      </c>
      <c r="E2644" s="21">
        <v>45627</v>
      </c>
      <c r="F2644" s="18">
        <f>MONTH(Data!$E2644)</f>
        <v>12</v>
      </c>
      <c r="G2644" s="16">
        <f>YEAR(Data!$E2644)</f>
        <v>2024</v>
      </c>
      <c r="H2644" s="19" t="s">
        <v>29</v>
      </c>
      <c r="I2644" s="15" t="str">
        <f t="shared" si="41"/>
        <v>Sở ban ngành</v>
      </c>
      <c r="J2644" s="15" t="s">
        <v>1285</v>
      </c>
      <c r="K2644" s="19" t="s">
        <v>1271</v>
      </c>
      <c r="L2644" s="32">
        <f>Data!$D2644/10^6</f>
        <v>90.454544999999996</v>
      </c>
    </row>
    <row r="2645" spans="1:12" x14ac:dyDescent="0.25">
      <c r="A2645" s="30" t="s">
        <v>87</v>
      </c>
      <c r="B2645" s="19" t="s">
        <v>796</v>
      </c>
      <c r="C2645" s="19" t="s">
        <v>46</v>
      </c>
      <c r="D2645" s="20">
        <v>90454545</v>
      </c>
      <c r="E2645" s="21">
        <v>45627</v>
      </c>
      <c r="F2645" s="18">
        <f>MONTH(Data!$E2645)</f>
        <v>12</v>
      </c>
      <c r="G2645" s="16">
        <f>YEAR(Data!$E2645)</f>
        <v>2024</v>
      </c>
      <c r="H2645" s="19" t="s">
        <v>29</v>
      </c>
      <c r="I2645" s="15" t="str">
        <f t="shared" si="41"/>
        <v>Sở ban ngành</v>
      </c>
      <c r="J2645" s="15" t="s">
        <v>1284</v>
      </c>
      <c r="K2645" s="19" t="s">
        <v>1271</v>
      </c>
      <c r="L2645" s="32">
        <f>Data!$D2645/10^6</f>
        <v>90.454544999999996</v>
      </c>
    </row>
    <row r="2646" spans="1:12" x14ac:dyDescent="0.25">
      <c r="A2646" s="30" t="s">
        <v>87</v>
      </c>
      <c r="B2646" s="19" t="s">
        <v>791</v>
      </c>
      <c r="C2646" s="19" t="s">
        <v>46</v>
      </c>
      <c r="D2646" s="20">
        <v>90454545</v>
      </c>
      <c r="E2646" s="21">
        <v>45627</v>
      </c>
      <c r="F2646" s="18">
        <f>MONTH(Data!$E2646)</f>
        <v>12</v>
      </c>
      <c r="G2646" s="16">
        <f>YEAR(Data!$E2646)</f>
        <v>2024</v>
      </c>
      <c r="H2646" s="19" t="s">
        <v>29</v>
      </c>
      <c r="I2646" s="15" t="str">
        <f t="shared" si="41"/>
        <v>Sở ban ngành</v>
      </c>
      <c r="J2646" s="15" t="s">
        <v>1285</v>
      </c>
      <c r="K2646" s="19" t="s">
        <v>1271</v>
      </c>
      <c r="L2646" s="32">
        <f>Data!$D2646/10^6</f>
        <v>90.454544999999996</v>
      </c>
    </row>
    <row r="2647" spans="1:12" x14ac:dyDescent="0.25">
      <c r="A2647" s="30" t="s">
        <v>130</v>
      </c>
      <c r="B2647" s="19" t="s">
        <v>766</v>
      </c>
      <c r="C2647" s="19" t="s">
        <v>10</v>
      </c>
      <c r="D2647" s="20">
        <v>66555455</v>
      </c>
      <c r="E2647" s="21">
        <v>45627</v>
      </c>
      <c r="F2647" s="18">
        <f>MONTH(Data!$E2647)</f>
        <v>12</v>
      </c>
      <c r="G2647" s="16">
        <f>YEAR(Data!$E2647)</f>
        <v>2024</v>
      </c>
      <c r="H2647" s="19" t="s">
        <v>22</v>
      </c>
      <c r="I2647" s="15" t="str">
        <f t="shared" si="41"/>
        <v>Sở ban ngành</v>
      </c>
      <c r="J2647" s="15" t="s">
        <v>1284</v>
      </c>
      <c r="K2647" s="19" t="s">
        <v>1263</v>
      </c>
      <c r="L2647" s="32">
        <f>Data!$D2647/10^6</f>
        <v>66.555454999999995</v>
      </c>
    </row>
    <row r="2648" spans="1:12" x14ac:dyDescent="0.25">
      <c r="A2648" s="30" t="s">
        <v>17</v>
      </c>
      <c r="B2648" s="19" t="s">
        <v>794</v>
      </c>
      <c r="C2648" s="19" t="s">
        <v>10</v>
      </c>
      <c r="D2648" s="20">
        <v>14600000</v>
      </c>
      <c r="E2648" s="21">
        <v>45627</v>
      </c>
      <c r="F2648" s="18">
        <f>MONTH(Data!$E2648)</f>
        <v>12</v>
      </c>
      <c r="G2648" s="16">
        <f>YEAR(Data!$E2648)</f>
        <v>2024</v>
      </c>
      <c r="H2648" s="19" t="s">
        <v>11</v>
      </c>
      <c r="I2648" s="15" t="str">
        <f t="shared" si="41"/>
        <v>Sở ban ngành</v>
      </c>
      <c r="J2648" s="15" t="s">
        <v>1285</v>
      </c>
      <c r="K2648" s="19" t="s">
        <v>1267</v>
      </c>
      <c r="L2648" s="32">
        <f>Data!$D2648/10^6</f>
        <v>14.6</v>
      </c>
    </row>
    <row r="2649" spans="1:12" x14ac:dyDescent="0.25">
      <c r="A2649" s="30" t="s">
        <v>85</v>
      </c>
      <c r="B2649" s="19" t="s">
        <v>709</v>
      </c>
      <c r="C2649" s="19" t="s">
        <v>46</v>
      </c>
      <c r="D2649" s="20">
        <v>44975000</v>
      </c>
      <c r="E2649" s="21">
        <v>45627</v>
      </c>
      <c r="F2649" s="18">
        <f>MONTH(Data!$E2649)</f>
        <v>12</v>
      </c>
      <c r="G2649" s="16">
        <f>YEAR(Data!$E2649)</f>
        <v>2024</v>
      </c>
      <c r="H2649" s="19" t="s">
        <v>15</v>
      </c>
      <c r="I2649" s="15" t="str">
        <f t="shared" si="41"/>
        <v>Sở ban ngành</v>
      </c>
      <c r="J2649" s="15" t="s">
        <v>1284</v>
      </c>
      <c r="K2649" s="19" t="s">
        <v>1271</v>
      </c>
      <c r="L2649" s="32">
        <f>Data!$D2649/10^6</f>
        <v>44.975000000000001</v>
      </c>
    </row>
    <row r="2650" spans="1:12" x14ac:dyDescent="0.25">
      <c r="A2650" s="30" t="s">
        <v>8</v>
      </c>
      <c r="B2650" s="19" t="s">
        <v>774</v>
      </c>
      <c r="C2650" s="19" t="s">
        <v>46</v>
      </c>
      <c r="D2650" s="20">
        <v>89957362</v>
      </c>
      <c r="E2650" s="21">
        <v>45627</v>
      </c>
      <c r="F2650" s="18">
        <f>MONTH(Data!$E2650)</f>
        <v>12</v>
      </c>
      <c r="G2650" s="16">
        <f>YEAR(Data!$E2650)</f>
        <v>2024</v>
      </c>
      <c r="H2650" s="19" t="s">
        <v>11</v>
      </c>
      <c r="I2650" s="15" t="str">
        <f t="shared" si="41"/>
        <v>Sở ban ngành</v>
      </c>
      <c r="J2650" s="15" t="s">
        <v>1285</v>
      </c>
      <c r="K2650" s="19" t="s">
        <v>1271</v>
      </c>
      <c r="L2650" s="32">
        <f>Data!$D2650/10^6</f>
        <v>89.957362000000003</v>
      </c>
    </row>
    <row r="2651" spans="1:12" x14ac:dyDescent="0.25">
      <c r="A2651" s="30" t="s">
        <v>54</v>
      </c>
      <c r="B2651" s="19" t="s">
        <v>737</v>
      </c>
      <c r="C2651" s="19" t="s">
        <v>10</v>
      </c>
      <c r="D2651" s="20">
        <v>41220000</v>
      </c>
      <c r="E2651" s="21">
        <v>45627</v>
      </c>
      <c r="F2651" s="18">
        <f>MONTH(Data!$E2651)</f>
        <v>12</v>
      </c>
      <c r="G2651" s="16">
        <f>YEAR(Data!$E2651)</f>
        <v>2024</v>
      </c>
      <c r="H2651" s="19" t="s">
        <v>15</v>
      </c>
      <c r="I2651" s="15" t="str">
        <f t="shared" si="41"/>
        <v>Sở ban ngành</v>
      </c>
      <c r="J2651" s="15" t="s">
        <v>1284</v>
      </c>
      <c r="K2651" s="19" t="s">
        <v>1263</v>
      </c>
      <c r="L2651" s="32">
        <f>Data!$D2651/10^6</f>
        <v>41.22</v>
      </c>
    </row>
    <row r="2652" spans="1:12" x14ac:dyDescent="0.25">
      <c r="A2652" s="30" t="s">
        <v>17</v>
      </c>
      <c r="B2652" s="19" t="s">
        <v>759</v>
      </c>
      <c r="C2652" s="19" t="s">
        <v>10</v>
      </c>
      <c r="D2652" s="20">
        <v>8480000</v>
      </c>
      <c r="E2652" s="21">
        <v>45627</v>
      </c>
      <c r="F2652" s="18">
        <f>MONTH(Data!$E2652)</f>
        <v>12</v>
      </c>
      <c r="G2652" s="16">
        <f>YEAR(Data!$E2652)</f>
        <v>2024</v>
      </c>
      <c r="H2652" s="19" t="s">
        <v>11</v>
      </c>
      <c r="I2652" s="15" t="str">
        <f t="shared" si="41"/>
        <v>Sở ban ngành</v>
      </c>
      <c r="J2652" s="15" t="s">
        <v>1285</v>
      </c>
      <c r="K2652" s="19" t="s">
        <v>1267</v>
      </c>
      <c r="L2652" s="32">
        <f>Data!$D2652/10^6</f>
        <v>8.48</v>
      </c>
    </row>
    <row r="2653" spans="1:12" x14ac:dyDescent="0.25">
      <c r="A2653" s="30" t="s">
        <v>87</v>
      </c>
      <c r="B2653" s="19" t="s">
        <v>788</v>
      </c>
      <c r="C2653" s="19" t="s">
        <v>46</v>
      </c>
      <c r="D2653" s="20">
        <v>90454545</v>
      </c>
      <c r="E2653" s="21">
        <v>45627</v>
      </c>
      <c r="F2653" s="18">
        <f>MONTH(Data!$E2653)</f>
        <v>12</v>
      </c>
      <c r="G2653" s="16">
        <f>YEAR(Data!$E2653)</f>
        <v>2024</v>
      </c>
      <c r="H2653" s="19" t="s">
        <v>29</v>
      </c>
      <c r="I2653" s="15" t="str">
        <f t="shared" si="41"/>
        <v>Sở ban ngành</v>
      </c>
      <c r="J2653" s="15" t="s">
        <v>1284</v>
      </c>
      <c r="K2653" s="19" t="s">
        <v>1271</v>
      </c>
      <c r="L2653" s="32">
        <f>Data!$D2653/10^6</f>
        <v>90.454544999999996</v>
      </c>
    </row>
    <row r="2654" spans="1:12" x14ac:dyDescent="0.25">
      <c r="A2654" s="30" t="s">
        <v>59</v>
      </c>
      <c r="B2654" s="19" t="s">
        <v>687</v>
      </c>
      <c r="C2654" s="19" t="s">
        <v>46</v>
      </c>
      <c r="D2654" s="20">
        <v>18181818</v>
      </c>
      <c r="E2654" s="21">
        <v>45627</v>
      </c>
      <c r="F2654" s="18">
        <f>MONTH(Data!$E2654)</f>
        <v>12</v>
      </c>
      <c r="G2654" s="16">
        <f>YEAR(Data!$E2654)</f>
        <v>2024</v>
      </c>
      <c r="H2654" s="19" t="s">
        <v>22</v>
      </c>
      <c r="I2654" s="15" t="str">
        <f t="shared" si="41"/>
        <v>Sở ban ngành</v>
      </c>
      <c r="J2654" s="15" t="s">
        <v>1285</v>
      </c>
      <c r="K2654" s="19" t="s">
        <v>1271</v>
      </c>
      <c r="L2654" s="32">
        <f>Data!$D2654/10^6</f>
        <v>18.181818</v>
      </c>
    </row>
    <row r="2655" spans="1:12" x14ac:dyDescent="0.25">
      <c r="A2655" s="30" t="s">
        <v>71</v>
      </c>
      <c r="B2655" s="19" t="s">
        <v>775</v>
      </c>
      <c r="C2655" s="19" t="s">
        <v>10</v>
      </c>
      <c r="D2655" s="20">
        <v>299940909</v>
      </c>
      <c r="E2655" s="21">
        <v>45627</v>
      </c>
      <c r="F2655" s="18">
        <f>MONTH(Data!$E2655)</f>
        <v>12</v>
      </c>
      <c r="G2655" s="16">
        <f>YEAR(Data!$E2655)</f>
        <v>2024</v>
      </c>
      <c r="H2655" s="19" t="s">
        <v>11</v>
      </c>
      <c r="I2655" s="15" t="str">
        <f t="shared" si="41"/>
        <v>Sở ban ngành</v>
      </c>
      <c r="J2655" s="15" t="s">
        <v>1284</v>
      </c>
      <c r="K2655" s="19" t="s">
        <v>1263</v>
      </c>
      <c r="L2655" s="32">
        <f>Data!$D2655/10^6</f>
        <v>299.94090899999998</v>
      </c>
    </row>
    <row r="2656" spans="1:12" x14ac:dyDescent="0.25">
      <c r="A2656" s="30" t="s">
        <v>37</v>
      </c>
      <c r="B2656" s="19" t="s">
        <v>685</v>
      </c>
      <c r="C2656" s="19" t="s">
        <v>14</v>
      </c>
      <c r="D2656" s="20">
        <v>79772727</v>
      </c>
      <c r="E2656" s="21">
        <v>45627</v>
      </c>
      <c r="F2656" s="18">
        <f>MONTH(Data!$E2656)</f>
        <v>12</v>
      </c>
      <c r="G2656" s="16">
        <f>YEAR(Data!$E2656)</f>
        <v>2024</v>
      </c>
      <c r="H2656" s="19" t="s">
        <v>11</v>
      </c>
      <c r="I2656" s="15" t="str">
        <f t="shared" si="41"/>
        <v>Sở ban ngành</v>
      </c>
      <c r="J2656" s="15" t="s">
        <v>1285</v>
      </c>
      <c r="K2656" s="19" t="s">
        <v>1275</v>
      </c>
      <c r="L2656" s="32">
        <f>Data!$D2656/10^6</f>
        <v>79.772727000000003</v>
      </c>
    </row>
    <row r="2657" spans="1:12" x14ac:dyDescent="0.25">
      <c r="A2657" s="30" t="s">
        <v>27</v>
      </c>
      <c r="B2657" s="19" t="s">
        <v>320</v>
      </c>
      <c r="C2657" s="19" t="s">
        <v>46</v>
      </c>
      <c r="D2657" s="20">
        <v>36372000</v>
      </c>
      <c r="E2657" s="21">
        <v>45627</v>
      </c>
      <c r="F2657" s="18">
        <f>MONTH(Data!$E2657)</f>
        <v>12</v>
      </c>
      <c r="G2657" s="16">
        <f>YEAR(Data!$E2657)</f>
        <v>2024</v>
      </c>
      <c r="H2657" s="19" t="s">
        <v>11</v>
      </c>
      <c r="I2657" s="15" t="str">
        <f t="shared" si="41"/>
        <v>Sở ban ngành</v>
      </c>
      <c r="J2657" s="15" t="s">
        <v>1284</v>
      </c>
      <c r="K2657" s="19" t="s">
        <v>1271</v>
      </c>
      <c r="L2657" s="32">
        <f>Data!$D2657/10^6</f>
        <v>36.372</v>
      </c>
    </row>
    <row r="2658" spans="1:12" x14ac:dyDescent="0.25">
      <c r="A2658" s="30" t="s">
        <v>21</v>
      </c>
      <c r="B2658" s="19" t="s">
        <v>626</v>
      </c>
      <c r="C2658" s="19" t="s">
        <v>10</v>
      </c>
      <c r="D2658" s="20">
        <v>1071272727</v>
      </c>
      <c r="E2658" s="21">
        <v>45627</v>
      </c>
      <c r="F2658" s="18">
        <f>MONTH(Data!$E2658)</f>
        <v>12</v>
      </c>
      <c r="G2658" s="16">
        <f>YEAR(Data!$E2658)</f>
        <v>2024</v>
      </c>
      <c r="H2658" s="19" t="s">
        <v>22</v>
      </c>
      <c r="I2658" s="15" t="str">
        <f t="shared" si="41"/>
        <v>Sở ban ngành</v>
      </c>
      <c r="J2658" s="15" t="s">
        <v>1285</v>
      </c>
      <c r="K2658" s="19" t="s">
        <v>1267</v>
      </c>
      <c r="L2658" s="32">
        <f>Data!$D2658/10^6</f>
        <v>1071.272727</v>
      </c>
    </row>
    <row r="2659" spans="1:12" x14ac:dyDescent="0.25">
      <c r="A2659" s="30" t="s">
        <v>109</v>
      </c>
      <c r="B2659" s="19" t="s">
        <v>762</v>
      </c>
      <c r="C2659" s="19" t="s">
        <v>10</v>
      </c>
      <c r="D2659" s="20">
        <v>151272727</v>
      </c>
      <c r="E2659" s="21">
        <v>45627</v>
      </c>
      <c r="F2659" s="18">
        <f>MONTH(Data!$E2659)</f>
        <v>12</v>
      </c>
      <c r="G2659" s="16">
        <f>YEAR(Data!$E2659)</f>
        <v>2024</v>
      </c>
      <c r="H2659" s="19" t="s">
        <v>22</v>
      </c>
      <c r="I2659" s="15" t="str">
        <f t="shared" si="41"/>
        <v>Sở ban ngành</v>
      </c>
      <c r="J2659" s="15" t="s">
        <v>1284</v>
      </c>
      <c r="K2659" s="19" t="s">
        <v>1267</v>
      </c>
      <c r="L2659" s="32">
        <f>Data!$D2659/10^6</f>
        <v>151.272727</v>
      </c>
    </row>
    <row r="2660" spans="1:12" x14ac:dyDescent="0.25">
      <c r="A2660" s="30" t="s">
        <v>8</v>
      </c>
      <c r="B2660" s="19" t="s">
        <v>684</v>
      </c>
      <c r="C2660" s="19" t="s">
        <v>149</v>
      </c>
      <c r="D2660" s="20">
        <v>14490909</v>
      </c>
      <c r="E2660" s="21">
        <v>45627</v>
      </c>
      <c r="F2660" s="18">
        <f>MONTH(Data!$E2660)</f>
        <v>12</v>
      </c>
      <c r="G2660" s="16">
        <f>YEAR(Data!$E2660)</f>
        <v>2024</v>
      </c>
      <c r="H2660" s="19" t="s">
        <v>11</v>
      </c>
      <c r="I2660" s="15" t="str">
        <f t="shared" si="41"/>
        <v>Sở ban ngành</v>
      </c>
      <c r="J2660" s="15" t="s">
        <v>1285</v>
      </c>
      <c r="K2660" s="19" t="s">
        <v>1264</v>
      </c>
      <c r="L2660" s="32">
        <f>Data!$D2660/10^6</f>
        <v>14.490909</v>
      </c>
    </row>
    <row r="2661" spans="1:12" x14ac:dyDescent="0.25">
      <c r="A2661" s="30" t="s">
        <v>17</v>
      </c>
      <c r="B2661" s="19" t="s">
        <v>578</v>
      </c>
      <c r="C2661" s="19" t="s">
        <v>14</v>
      </c>
      <c r="D2661" s="20">
        <v>89860000</v>
      </c>
      <c r="E2661" s="21">
        <v>45627</v>
      </c>
      <c r="F2661" s="18">
        <f>MONTH(Data!$E2661)</f>
        <v>12</v>
      </c>
      <c r="G2661" s="16">
        <f>YEAR(Data!$E2661)</f>
        <v>2024</v>
      </c>
      <c r="H2661" s="19" t="s">
        <v>11</v>
      </c>
      <c r="I2661" s="15" t="str">
        <f t="shared" si="41"/>
        <v>Sở ban ngành</v>
      </c>
      <c r="J2661" s="15" t="s">
        <v>1284</v>
      </c>
      <c r="K2661" s="19" t="s">
        <v>1269</v>
      </c>
      <c r="L2661" s="32">
        <f>Data!$D2661/10^6</f>
        <v>89.86</v>
      </c>
    </row>
    <row r="2662" spans="1:12" x14ac:dyDescent="0.25">
      <c r="A2662" s="30" t="s">
        <v>68</v>
      </c>
      <c r="B2662" s="19" t="s">
        <v>777</v>
      </c>
      <c r="C2662" s="19" t="s">
        <v>149</v>
      </c>
      <c r="D2662" s="20">
        <v>10227273</v>
      </c>
      <c r="E2662" s="21">
        <v>45627</v>
      </c>
      <c r="F2662" s="18">
        <f>MONTH(Data!$E2662)</f>
        <v>12</v>
      </c>
      <c r="G2662" s="16">
        <f>YEAR(Data!$E2662)</f>
        <v>2024</v>
      </c>
      <c r="H2662" s="19" t="s">
        <v>22</v>
      </c>
      <c r="I2662" s="15" t="str">
        <f t="shared" si="41"/>
        <v>Sở ban ngành</v>
      </c>
      <c r="J2662" s="15" t="s">
        <v>1285</v>
      </c>
      <c r="K2662" s="19" t="s">
        <v>1262</v>
      </c>
      <c r="L2662" s="32">
        <f>Data!$D2662/10^6</f>
        <v>10.227273</v>
      </c>
    </row>
    <row r="2663" spans="1:12" x14ac:dyDescent="0.25">
      <c r="A2663" s="30" t="s">
        <v>65</v>
      </c>
      <c r="B2663" s="19" t="s">
        <v>668</v>
      </c>
      <c r="C2663" s="19" t="s">
        <v>10</v>
      </c>
      <c r="D2663" s="20">
        <v>310636364</v>
      </c>
      <c r="E2663" s="21">
        <v>45627</v>
      </c>
      <c r="F2663" s="18">
        <f>MONTH(Data!$E2663)</f>
        <v>12</v>
      </c>
      <c r="G2663" s="16">
        <f>YEAR(Data!$E2663)</f>
        <v>2024</v>
      </c>
      <c r="H2663" s="19" t="s">
        <v>25</v>
      </c>
      <c r="I2663" s="15" t="str">
        <f t="shared" si="41"/>
        <v>Sở ban ngành</v>
      </c>
      <c r="J2663" s="15" t="s">
        <v>1284</v>
      </c>
      <c r="K2663" s="19" t="s">
        <v>1267</v>
      </c>
      <c r="L2663" s="32">
        <f>Data!$D2663/10^6</f>
        <v>310.63636400000001</v>
      </c>
    </row>
    <row r="2664" spans="1:12" x14ac:dyDescent="0.25">
      <c r="A2664" s="30" t="s">
        <v>48</v>
      </c>
      <c r="B2664" s="19" t="s">
        <v>752</v>
      </c>
      <c r="C2664" s="19" t="s">
        <v>10</v>
      </c>
      <c r="D2664" s="20">
        <v>162470000</v>
      </c>
      <c r="E2664" s="21">
        <v>45627</v>
      </c>
      <c r="F2664" s="18">
        <f>MONTH(Data!$E2664)</f>
        <v>12</v>
      </c>
      <c r="G2664" s="16">
        <f>YEAR(Data!$E2664)</f>
        <v>2024</v>
      </c>
      <c r="H2664" s="19" t="s">
        <v>25</v>
      </c>
      <c r="I2664" s="15" t="str">
        <f t="shared" si="41"/>
        <v>Trường học</v>
      </c>
      <c r="J2664" s="15" t="s">
        <v>1285</v>
      </c>
      <c r="K2664" s="19" t="s">
        <v>1267</v>
      </c>
      <c r="L2664" s="32">
        <f>Data!$D2664/10^6</f>
        <v>162.47</v>
      </c>
    </row>
    <row r="2665" spans="1:12" x14ac:dyDescent="0.25">
      <c r="A2665" s="30" t="s">
        <v>65</v>
      </c>
      <c r="B2665" s="19" t="s">
        <v>746</v>
      </c>
      <c r="C2665" s="19" t="s">
        <v>10</v>
      </c>
      <c r="D2665" s="20">
        <v>384000000</v>
      </c>
      <c r="E2665" s="21">
        <v>45627</v>
      </c>
      <c r="F2665" s="18">
        <f>MONTH(Data!$E2665)</f>
        <v>12</v>
      </c>
      <c r="G2665" s="16">
        <f>YEAR(Data!$E2665)</f>
        <v>2024</v>
      </c>
      <c r="H2665" s="19" t="s">
        <v>25</v>
      </c>
      <c r="I2665" s="15" t="str">
        <f t="shared" si="41"/>
        <v>Trường học</v>
      </c>
      <c r="J2665" s="15" t="s">
        <v>1284</v>
      </c>
      <c r="K2665" s="19" t="s">
        <v>1267</v>
      </c>
      <c r="L2665" s="32">
        <f>Data!$D2665/10^6</f>
        <v>384</v>
      </c>
    </row>
    <row r="2666" spans="1:12" x14ac:dyDescent="0.25">
      <c r="A2666" s="30" t="s">
        <v>33</v>
      </c>
      <c r="B2666" s="19" t="s">
        <v>702</v>
      </c>
      <c r="C2666" s="19" t="s">
        <v>14</v>
      </c>
      <c r="D2666" s="20">
        <v>85402727</v>
      </c>
      <c r="E2666" s="21">
        <v>45627</v>
      </c>
      <c r="F2666" s="18">
        <f>MONTH(Data!$E2666)</f>
        <v>12</v>
      </c>
      <c r="G2666" s="16">
        <f>YEAR(Data!$E2666)</f>
        <v>2024</v>
      </c>
      <c r="H2666" s="19" t="s">
        <v>35</v>
      </c>
      <c r="I2666" s="15" t="str">
        <f t="shared" si="41"/>
        <v>Trường học</v>
      </c>
      <c r="J2666" s="15" t="s">
        <v>1285</v>
      </c>
      <c r="K2666" s="19" t="s">
        <v>1264</v>
      </c>
      <c r="L2666" s="32">
        <f>Data!$D2666/10^6</f>
        <v>85.402726999999999</v>
      </c>
    </row>
    <row r="2667" spans="1:12" x14ac:dyDescent="0.25">
      <c r="A2667" s="30" t="s">
        <v>59</v>
      </c>
      <c r="B2667" s="19" t="s">
        <v>713</v>
      </c>
      <c r="C2667" s="19" t="s">
        <v>10</v>
      </c>
      <c r="D2667" s="20">
        <v>18731818</v>
      </c>
      <c r="E2667" s="21">
        <v>45627</v>
      </c>
      <c r="F2667" s="18">
        <f>MONTH(Data!$E2667)</f>
        <v>12</v>
      </c>
      <c r="G2667" s="16">
        <f>YEAR(Data!$E2667)</f>
        <v>2024</v>
      </c>
      <c r="H2667" s="19" t="s">
        <v>22</v>
      </c>
      <c r="I2667" s="15" t="str">
        <f t="shared" si="41"/>
        <v>Trường học</v>
      </c>
      <c r="J2667" s="15" t="s">
        <v>1284</v>
      </c>
      <c r="K2667" s="19" t="s">
        <v>1262</v>
      </c>
      <c r="L2667" s="32">
        <f>Data!$D2667/10^6</f>
        <v>18.731818000000001</v>
      </c>
    </row>
    <row r="2668" spans="1:12" x14ac:dyDescent="0.25">
      <c r="A2668" s="30" t="s">
        <v>30</v>
      </c>
      <c r="B2668" s="19" t="s">
        <v>763</v>
      </c>
      <c r="C2668" s="19" t="s">
        <v>10</v>
      </c>
      <c r="D2668" s="20">
        <v>12848821</v>
      </c>
      <c r="E2668" s="21">
        <v>45627</v>
      </c>
      <c r="F2668" s="18">
        <f>MONTH(Data!$E2668)</f>
        <v>12</v>
      </c>
      <c r="G2668" s="16">
        <f>YEAR(Data!$E2668)</f>
        <v>2024</v>
      </c>
      <c r="H2668" s="19" t="s">
        <v>32</v>
      </c>
      <c r="I2668" s="15" t="str">
        <f t="shared" si="41"/>
        <v>Trường học</v>
      </c>
      <c r="J2668" s="15" t="s">
        <v>1285</v>
      </c>
      <c r="K2668" s="19" t="s">
        <v>1262</v>
      </c>
      <c r="L2668" s="32">
        <f>Data!$D2668/10^6</f>
        <v>12.848820999999999</v>
      </c>
    </row>
    <row r="2669" spans="1:12" x14ac:dyDescent="0.25">
      <c r="A2669" s="30" t="s">
        <v>56</v>
      </c>
      <c r="B2669" s="19" t="s">
        <v>710</v>
      </c>
      <c r="C2669" s="19" t="s">
        <v>10</v>
      </c>
      <c r="D2669" s="20">
        <v>8500000</v>
      </c>
      <c r="E2669" s="21">
        <v>45627</v>
      </c>
      <c r="F2669" s="18">
        <f>MONTH(Data!$E2669)</f>
        <v>12</v>
      </c>
      <c r="G2669" s="16">
        <f>YEAR(Data!$E2669)</f>
        <v>2024</v>
      </c>
      <c r="H2669" s="19" t="s">
        <v>25</v>
      </c>
      <c r="I2669" s="15" t="str">
        <f t="shared" si="41"/>
        <v>Trường học</v>
      </c>
      <c r="J2669" s="15" t="s">
        <v>1284</v>
      </c>
      <c r="K2669" s="19" t="s">
        <v>1262</v>
      </c>
      <c r="L2669" s="32">
        <f>Data!$D2669/10^6</f>
        <v>8.5</v>
      </c>
    </row>
    <row r="2670" spans="1:12" x14ac:dyDescent="0.25">
      <c r="A2670" s="30" t="s">
        <v>37</v>
      </c>
      <c r="B2670" s="19" t="s">
        <v>706</v>
      </c>
      <c r="C2670" s="19" t="s">
        <v>10</v>
      </c>
      <c r="D2670" s="20">
        <v>224556482</v>
      </c>
      <c r="E2670" s="21">
        <v>45627</v>
      </c>
      <c r="F2670" s="18">
        <f>MONTH(Data!$E2670)</f>
        <v>12</v>
      </c>
      <c r="G2670" s="16">
        <f>YEAR(Data!$E2670)</f>
        <v>2024</v>
      </c>
      <c r="H2670" s="19" t="s">
        <v>11</v>
      </c>
      <c r="I2670" s="15" t="str">
        <f t="shared" si="41"/>
        <v>Trường học</v>
      </c>
      <c r="J2670" s="15" t="s">
        <v>1285</v>
      </c>
      <c r="K2670" s="19" t="s">
        <v>1267</v>
      </c>
      <c r="L2670" s="32">
        <f>Data!$D2670/10^6</f>
        <v>224.55648199999999</v>
      </c>
    </row>
    <row r="2671" spans="1:12" x14ac:dyDescent="0.25">
      <c r="A2671" s="30" t="s">
        <v>47</v>
      </c>
      <c r="B2671" s="19" t="s">
        <v>772</v>
      </c>
      <c r="C2671" s="19" t="s">
        <v>41</v>
      </c>
      <c r="D2671" s="20">
        <v>87676000</v>
      </c>
      <c r="E2671" s="21">
        <v>45627</v>
      </c>
      <c r="F2671" s="18">
        <f>MONTH(Data!$E2671)</f>
        <v>12</v>
      </c>
      <c r="G2671" s="16">
        <f>YEAR(Data!$E2671)</f>
        <v>2024</v>
      </c>
      <c r="H2671" s="19" t="s">
        <v>29</v>
      </c>
      <c r="I2671" s="15" t="str">
        <f t="shared" si="41"/>
        <v>Trường học</v>
      </c>
      <c r="J2671" s="15" t="s">
        <v>1284</v>
      </c>
      <c r="K2671" s="19" t="s">
        <v>1269</v>
      </c>
      <c r="L2671" s="32">
        <f>Data!$D2671/10^6</f>
        <v>87.676000000000002</v>
      </c>
    </row>
    <row r="2672" spans="1:12" x14ac:dyDescent="0.25">
      <c r="A2672" s="30" t="s">
        <v>47</v>
      </c>
      <c r="B2672" s="19" t="s">
        <v>770</v>
      </c>
      <c r="C2672" s="19" t="s">
        <v>41</v>
      </c>
      <c r="D2672" s="20">
        <v>129100000</v>
      </c>
      <c r="E2672" s="21">
        <v>45627</v>
      </c>
      <c r="F2672" s="18">
        <f>MONTH(Data!$E2672)</f>
        <v>12</v>
      </c>
      <c r="G2672" s="16">
        <f>YEAR(Data!$E2672)</f>
        <v>2024</v>
      </c>
      <c r="H2672" s="19" t="s">
        <v>29</v>
      </c>
      <c r="I2672" s="15" t="str">
        <f t="shared" si="41"/>
        <v>Trường học</v>
      </c>
      <c r="J2672" s="15" t="s">
        <v>1285</v>
      </c>
      <c r="K2672" s="19" t="s">
        <v>1269</v>
      </c>
      <c r="L2672" s="32">
        <f>Data!$D2672/10^6</f>
        <v>129.1</v>
      </c>
    </row>
    <row r="2673" spans="1:12" x14ac:dyDescent="0.25">
      <c r="A2673" s="30" t="s">
        <v>17</v>
      </c>
      <c r="B2673" s="19" t="s">
        <v>676</v>
      </c>
      <c r="C2673" s="19" t="s">
        <v>10</v>
      </c>
      <c r="D2673" s="20">
        <v>21070000</v>
      </c>
      <c r="E2673" s="21">
        <v>45627</v>
      </c>
      <c r="F2673" s="18">
        <f>MONTH(Data!$E2673)</f>
        <v>12</v>
      </c>
      <c r="G2673" s="16">
        <f>YEAR(Data!$E2673)</f>
        <v>2024</v>
      </c>
      <c r="H2673" s="19" t="s">
        <v>11</v>
      </c>
      <c r="I2673" s="15" t="str">
        <f t="shared" si="41"/>
        <v>Trường học</v>
      </c>
      <c r="J2673" s="15" t="s">
        <v>1284</v>
      </c>
      <c r="K2673" s="19" t="s">
        <v>1262</v>
      </c>
      <c r="L2673" s="32">
        <f>Data!$D2673/10^6</f>
        <v>21.07</v>
      </c>
    </row>
    <row r="2674" spans="1:12" x14ac:dyDescent="0.25">
      <c r="A2674" s="30" t="s">
        <v>30</v>
      </c>
      <c r="B2674" s="19" t="s">
        <v>671</v>
      </c>
      <c r="C2674" s="19" t="s">
        <v>10</v>
      </c>
      <c r="D2674" s="20">
        <v>13568182</v>
      </c>
      <c r="E2674" s="21">
        <v>45627</v>
      </c>
      <c r="F2674" s="18">
        <f>MONTH(Data!$E2674)</f>
        <v>12</v>
      </c>
      <c r="G2674" s="16">
        <f>YEAR(Data!$E2674)</f>
        <v>2024</v>
      </c>
      <c r="H2674" s="19" t="s">
        <v>32</v>
      </c>
      <c r="I2674" s="15" t="str">
        <f t="shared" si="41"/>
        <v>Trường học</v>
      </c>
      <c r="J2674" s="15" t="s">
        <v>1285</v>
      </c>
      <c r="K2674" s="19" t="s">
        <v>1262</v>
      </c>
      <c r="L2674" s="32">
        <f>Data!$D2674/10^6</f>
        <v>13.568182</v>
      </c>
    </row>
    <row r="2675" spans="1:12" x14ac:dyDescent="0.25">
      <c r="A2675" s="30" t="s">
        <v>28</v>
      </c>
      <c r="B2675" s="19" t="s">
        <v>689</v>
      </c>
      <c r="C2675" s="19" t="s">
        <v>10</v>
      </c>
      <c r="D2675" s="20">
        <v>166863636</v>
      </c>
      <c r="E2675" s="21">
        <v>45627</v>
      </c>
      <c r="F2675" s="18">
        <f>MONTH(Data!$E2675)</f>
        <v>12</v>
      </c>
      <c r="G2675" s="16">
        <f>YEAR(Data!$E2675)</f>
        <v>2024</v>
      </c>
      <c r="H2675" s="19" t="s">
        <v>29</v>
      </c>
      <c r="I2675" s="15" t="str">
        <f t="shared" si="41"/>
        <v>Trường học</v>
      </c>
      <c r="J2675" s="15" t="s">
        <v>1284</v>
      </c>
      <c r="K2675" s="19" t="s">
        <v>1267</v>
      </c>
      <c r="L2675" s="32">
        <f>Data!$D2675/10^6</f>
        <v>166.86363600000001</v>
      </c>
    </row>
    <row r="2676" spans="1:12" x14ac:dyDescent="0.25">
      <c r="A2676" s="30" t="s">
        <v>30</v>
      </c>
      <c r="B2676" s="19" t="s">
        <v>669</v>
      </c>
      <c r="C2676" s="19" t="s">
        <v>10</v>
      </c>
      <c r="D2676" s="20">
        <v>10330409</v>
      </c>
      <c r="E2676" s="21">
        <v>45627</v>
      </c>
      <c r="F2676" s="18">
        <f>MONTH(Data!$E2676)</f>
        <v>12</v>
      </c>
      <c r="G2676" s="16">
        <f>YEAR(Data!$E2676)</f>
        <v>2024</v>
      </c>
      <c r="H2676" s="19" t="s">
        <v>32</v>
      </c>
      <c r="I2676" s="15" t="str">
        <f t="shared" si="41"/>
        <v>Trường học</v>
      </c>
      <c r="J2676" s="15" t="s">
        <v>1285</v>
      </c>
      <c r="K2676" s="19" t="s">
        <v>1262</v>
      </c>
      <c r="L2676" s="32">
        <f>Data!$D2676/10^6</f>
        <v>10.330409</v>
      </c>
    </row>
    <row r="2677" spans="1:12" x14ac:dyDescent="0.25">
      <c r="A2677" s="30" t="s">
        <v>75</v>
      </c>
      <c r="B2677" s="19" t="s">
        <v>725</v>
      </c>
      <c r="C2677" s="19" t="s">
        <v>10</v>
      </c>
      <c r="D2677" s="20">
        <v>17909091</v>
      </c>
      <c r="E2677" s="21">
        <v>45627</v>
      </c>
      <c r="F2677" s="18">
        <f>MONTH(Data!$E2677)</f>
        <v>12</v>
      </c>
      <c r="G2677" s="16">
        <f>YEAR(Data!$E2677)</f>
        <v>2024</v>
      </c>
      <c r="H2677" s="19" t="s">
        <v>15</v>
      </c>
      <c r="I2677" s="15" t="str">
        <f t="shared" si="41"/>
        <v>Trường học</v>
      </c>
      <c r="J2677" s="15" t="s">
        <v>1284</v>
      </c>
      <c r="K2677" s="19" t="s">
        <v>1262</v>
      </c>
      <c r="L2677" s="32">
        <f>Data!$D2677/10^6</f>
        <v>17.909091</v>
      </c>
    </row>
    <row r="2678" spans="1:12" x14ac:dyDescent="0.25">
      <c r="A2678" s="30" t="s">
        <v>13</v>
      </c>
      <c r="B2678" s="19" t="s">
        <v>724</v>
      </c>
      <c r="C2678" s="19" t="s">
        <v>149</v>
      </c>
      <c r="D2678" s="20">
        <v>54628182</v>
      </c>
      <c r="E2678" s="21">
        <v>45627</v>
      </c>
      <c r="F2678" s="18">
        <f>MONTH(Data!$E2678)</f>
        <v>12</v>
      </c>
      <c r="G2678" s="16">
        <f>YEAR(Data!$E2678)</f>
        <v>2024</v>
      </c>
      <c r="H2678" s="19" t="s">
        <v>15</v>
      </c>
      <c r="I2678" s="15" t="str">
        <f t="shared" si="41"/>
        <v>Trường học</v>
      </c>
      <c r="J2678" s="15" t="s">
        <v>1285</v>
      </c>
      <c r="K2678" s="19" t="s">
        <v>1262</v>
      </c>
      <c r="L2678" s="32">
        <f>Data!$D2678/10^6</f>
        <v>54.628182000000002</v>
      </c>
    </row>
    <row r="2679" spans="1:12" x14ac:dyDescent="0.25">
      <c r="A2679" s="30" t="s">
        <v>37</v>
      </c>
      <c r="B2679" s="19" t="s">
        <v>768</v>
      </c>
      <c r="C2679" s="19" t="s">
        <v>10</v>
      </c>
      <c r="D2679" s="20">
        <v>114003636</v>
      </c>
      <c r="E2679" s="21">
        <v>45627</v>
      </c>
      <c r="F2679" s="18">
        <f>MONTH(Data!$E2679)</f>
        <v>12</v>
      </c>
      <c r="G2679" s="16">
        <f>YEAR(Data!$E2679)</f>
        <v>2024</v>
      </c>
      <c r="H2679" s="19" t="s">
        <v>11</v>
      </c>
      <c r="I2679" s="15" t="str">
        <f t="shared" si="41"/>
        <v>Trường học</v>
      </c>
      <c r="J2679" s="15" t="s">
        <v>1284</v>
      </c>
      <c r="K2679" s="19" t="s">
        <v>1267</v>
      </c>
      <c r="L2679" s="32">
        <f>Data!$D2679/10^6</f>
        <v>114.003636</v>
      </c>
    </row>
    <row r="2680" spans="1:12" x14ac:dyDescent="0.25">
      <c r="A2680" s="30" t="s">
        <v>30</v>
      </c>
      <c r="B2680" s="19" t="s">
        <v>699</v>
      </c>
      <c r="C2680" s="19" t="s">
        <v>10</v>
      </c>
      <c r="D2680" s="20">
        <v>26045455</v>
      </c>
      <c r="E2680" s="21">
        <v>45627</v>
      </c>
      <c r="F2680" s="18">
        <f>MONTH(Data!$E2680)</f>
        <v>12</v>
      </c>
      <c r="G2680" s="16">
        <f>YEAR(Data!$E2680)</f>
        <v>2024</v>
      </c>
      <c r="H2680" s="19" t="s">
        <v>32</v>
      </c>
      <c r="I2680" s="15" t="str">
        <f t="shared" si="41"/>
        <v>Trường học</v>
      </c>
      <c r="J2680" s="15" t="s">
        <v>1285</v>
      </c>
      <c r="K2680" s="19" t="s">
        <v>1263</v>
      </c>
      <c r="L2680" s="32">
        <f>Data!$D2680/10^6</f>
        <v>26.045455</v>
      </c>
    </row>
    <row r="2681" spans="1:12" x14ac:dyDescent="0.25">
      <c r="A2681" s="30" t="s">
        <v>30</v>
      </c>
      <c r="B2681" s="19" t="s">
        <v>785</v>
      </c>
      <c r="C2681" s="19" t="s">
        <v>41</v>
      </c>
      <c r="D2681" s="20">
        <v>78409091</v>
      </c>
      <c r="E2681" s="21">
        <v>45627</v>
      </c>
      <c r="F2681" s="18">
        <f>MONTH(Data!$E2681)</f>
        <v>12</v>
      </c>
      <c r="G2681" s="16">
        <f>YEAR(Data!$E2681)</f>
        <v>2024</v>
      </c>
      <c r="H2681" s="19" t="s">
        <v>32</v>
      </c>
      <c r="I2681" s="15" t="str">
        <f t="shared" si="41"/>
        <v>Trường học</v>
      </c>
      <c r="J2681" s="15" t="s">
        <v>1284</v>
      </c>
      <c r="K2681" s="19" t="s">
        <v>1272</v>
      </c>
      <c r="L2681" s="32">
        <f>Data!$D2681/10^6</f>
        <v>78.409091000000004</v>
      </c>
    </row>
    <row r="2682" spans="1:12" x14ac:dyDescent="0.25">
      <c r="A2682" s="30" t="s">
        <v>21</v>
      </c>
      <c r="B2682" s="19" t="s">
        <v>703</v>
      </c>
      <c r="C2682" s="19" t="s">
        <v>149</v>
      </c>
      <c r="D2682" s="20">
        <v>4659091</v>
      </c>
      <c r="E2682" s="21">
        <v>45627</v>
      </c>
      <c r="F2682" s="18">
        <f>MONTH(Data!$E2682)</f>
        <v>12</v>
      </c>
      <c r="G2682" s="16">
        <f>YEAR(Data!$E2682)</f>
        <v>2024</v>
      </c>
      <c r="H2682" s="19" t="s">
        <v>22</v>
      </c>
      <c r="I2682" s="15" t="str">
        <f t="shared" si="41"/>
        <v>Trường học</v>
      </c>
      <c r="J2682" s="15" t="s">
        <v>1285</v>
      </c>
      <c r="K2682" s="19" t="s">
        <v>1264</v>
      </c>
      <c r="L2682" s="32">
        <f>Data!$D2682/10^6</f>
        <v>4.6590910000000001</v>
      </c>
    </row>
    <row r="2683" spans="1:12" x14ac:dyDescent="0.25">
      <c r="A2683" s="30" t="s">
        <v>17</v>
      </c>
      <c r="B2683" s="19" t="s">
        <v>715</v>
      </c>
      <c r="C2683" s="19" t="s">
        <v>41</v>
      </c>
      <c r="D2683" s="20">
        <v>87760000</v>
      </c>
      <c r="E2683" s="21">
        <v>45627</v>
      </c>
      <c r="F2683" s="18">
        <f>MONTH(Data!$E2683)</f>
        <v>12</v>
      </c>
      <c r="G2683" s="16">
        <f>YEAR(Data!$E2683)</f>
        <v>2024</v>
      </c>
      <c r="H2683" s="19" t="s">
        <v>11</v>
      </c>
      <c r="I2683" s="15" t="str">
        <f t="shared" si="41"/>
        <v>Trường học</v>
      </c>
      <c r="J2683" s="15" t="s">
        <v>1284</v>
      </c>
      <c r="K2683" s="19" t="s">
        <v>1269</v>
      </c>
      <c r="L2683" s="32">
        <f>Data!$D2683/10^6</f>
        <v>87.76</v>
      </c>
    </row>
    <row r="2684" spans="1:12" x14ac:dyDescent="0.25">
      <c r="A2684" s="30" t="s">
        <v>78</v>
      </c>
      <c r="B2684" s="19" t="s">
        <v>679</v>
      </c>
      <c r="C2684" s="19" t="s">
        <v>41</v>
      </c>
      <c r="D2684" s="20">
        <v>77727273</v>
      </c>
      <c r="E2684" s="21">
        <v>45627</v>
      </c>
      <c r="F2684" s="18">
        <f>MONTH(Data!$E2684)</f>
        <v>12</v>
      </c>
      <c r="G2684" s="16">
        <f>YEAR(Data!$E2684)</f>
        <v>2024</v>
      </c>
      <c r="H2684" s="19" t="s">
        <v>15</v>
      </c>
      <c r="I2684" s="15" t="str">
        <f t="shared" si="41"/>
        <v>Trường học</v>
      </c>
      <c r="J2684" s="15" t="s">
        <v>1285</v>
      </c>
      <c r="K2684" s="19" t="s">
        <v>1270</v>
      </c>
      <c r="L2684" s="32">
        <f>Data!$D2684/10^6</f>
        <v>77.727272999999997</v>
      </c>
    </row>
    <row r="2685" spans="1:12" x14ac:dyDescent="0.25">
      <c r="A2685" s="30" t="s">
        <v>30</v>
      </c>
      <c r="B2685" s="19" t="s">
        <v>673</v>
      </c>
      <c r="C2685" s="19" t="s">
        <v>10</v>
      </c>
      <c r="D2685" s="20">
        <v>35904545</v>
      </c>
      <c r="E2685" s="21">
        <v>45627</v>
      </c>
      <c r="F2685" s="18">
        <f>MONTH(Data!$E2685)</f>
        <v>12</v>
      </c>
      <c r="G2685" s="16">
        <f>YEAR(Data!$E2685)</f>
        <v>2024</v>
      </c>
      <c r="H2685" s="19" t="s">
        <v>32</v>
      </c>
      <c r="I2685" s="15" t="str">
        <f t="shared" si="41"/>
        <v>Trường học</v>
      </c>
      <c r="J2685" s="15" t="s">
        <v>1284</v>
      </c>
      <c r="K2685" s="19" t="s">
        <v>1263</v>
      </c>
      <c r="L2685" s="32">
        <f>Data!$D2685/10^6</f>
        <v>35.904544999999999</v>
      </c>
    </row>
    <row r="2686" spans="1:12" x14ac:dyDescent="0.25">
      <c r="A2686" s="30" t="s">
        <v>30</v>
      </c>
      <c r="B2686" s="19" t="s">
        <v>672</v>
      </c>
      <c r="C2686" s="19" t="s">
        <v>10</v>
      </c>
      <c r="D2686" s="20">
        <v>39618182</v>
      </c>
      <c r="E2686" s="21">
        <v>45627</v>
      </c>
      <c r="F2686" s="18">
        <f>MONTH(Data!$E2686)</f>
        <v>12</v>
      </c>
      <c r="G2686" s="16">
        <f>YEAR(Data!$E2686)</f>
        <v>2024</v>
      </c>
      <c r="H2686" s="19" t="s">
        <v>32</v>
      </c>
      <c r="I2686" s="15" t="str">
        <f t="shared" si="41"/>
        <v>Trường học</v>
      </c>
      <c r="J2686" s="15" t="s">
        <v>1285</v>
      </c>
      <c r="K2686" s="19" t="s">
        <v>1262</v>
      </c>
      <c r="L2686" s="32">
        <f>Data!$D2686/10^6</f>
        <v>39.618181999999997</v>
      </c>
    </row>
    <row r="2687" spans="1:12" x14ac:dyDescent="0.25">
      <c r="A2687" s="30" t="s">
        <v>28</v>
      </c>
      <c r="B2687" s="19" t="s">
        <v>690</v>
      </c>
      <c r="C2687" s="19" t="s">
        <v>10</v>
      </c>
      <c r="D2687" s="20">
        <v>152632727</v>
      </c>
      <c r="E2687" s="21">
        <v>45627</v>
      </c>
      <c r="F2687" s="18">
        <f>MONTH(Data!$E2687)</f>
        <v>12</v>
      </c>
      <c r="G2687" s="16">
        <f>YEAR(Data!$E2687)</f>
        <v>2024</v>
      </c>
      <c r="H2687" s="19" t="s">
        <v>29</v>
      </c>
      <c r="I2687" s="15" t="str">
        <f t="shared" si="41"/>
        <v>Trường học</v>
      </c>
      <c r="J2687" s="15" t="s">
        <v>1284</v>
      </c>
      <c r="K2687" s="19" t="s">
        <v>1267</v>
      </c>
      <c r="L2687" s="32">
        <f>Data!$D2687/10^6</f>
        <v>152.63272699999999</v>
      </c>
    </row>
    <row r="2688" spans="1:12" x14ac:dyDescent="0.25">
      <c r="A2688" s="30" t="s">
        <v>74</v>
      </c>
      <c r="B2688" s="19" t="s">
        <v>800</v>
      </c>
      <c r="C2688" s="19" t="s">
        <v>10</v>
      </c>
      <c r="D2688" s="20">
        <v>5816364</v>
      </c>
      <c r="E2688" s="21">
        <v>45627</v>
      </c>
      <c r="F2688" s="18">
        <f>MONTH(Data!$E2688)</f>
        <v>12</v>
      </c>
      <c r="G2688" s="16">
        <f>YEAR(Data!$E2688)</f>
        <v>2024</v>
      </c>
      <c r="H2688" s="19" t="s">
        <v>11</v>
      </c>
      <c r="I2688" s="15" t="str">
        <f t="shared" si="41"/>
        <v>Trường học</v>
      </c>
      <c r="J2688" s="15" t="s">
        <v>1285</v>
      </c>
      <c r="K2688" s="19" t="s">
        <v>1267</v>
      </c>
      <c r="L2688" s="32">
        <f>Data!$D2688/10^6</f>
        <v>5.8163640000000001</v>
      </c>
    </row>
    <row r="2689" spans="1:12" x14ac:dyDescent="0.25">
      <c r="A2689" s="30" t="s">
        <v>43</v>
      </c>
      <c r="B2689" s="19" t="s">
        <v>585</v>
      </c>
      <c r="C2689" s="19" t="s">
        <v>10</v>
      </c>
      <c r="D2689" s="20">
        <v>44350000</v>
      </c>
      <c r="E2689" s="21">
        <v>45627</v>
      </c>
      <c r="F2689" s="18">
        <f>MONTH(Data!$E2689)</f>
        <v>12</v>
      </c>
      <c r="G2689" s="16">
        <f>YEAR(Data!$E2689)</f>
        <v>2024</v>
      </c>
      <c r="H2689" s="19" t="s">
        <v>35</v>
      </c>
      <c r="I2689" s="15" t="str">
        <f t="shared" si="41"/>
        <v>Trường học</v>
      </c>
      <c r="J2689" s="15" t="s">
        <v>1284</v>
      </c>
      <c r="K2689" s="19" t="s">
        <v>1262</v>
      </c>
      <c r="L2689" s="32">
        <f>Data!$D2689/10^6</f>
        <v>44.35</v>
      </c>
    </row>
    <row r="2690" spans="1:12" x14ac:dyDescent="0.25">
      <c r="A2690" s="30" t="s">
        <v>87</v>
      </c>
      <c r="B2690" s="19" t="s">
        <v>803</v>
      </c>
      <c r="C2690" s="19" t="s">
        <v>10</v>
      </c>
      <c r="D2690" s="20">
        <v>16350000</v>
      </c>
      <c r="E2690" s="21">
        <v>45627</v>
      </c>
      <c r="F2690" s="18">
        <f>MONTH(Data!$E2690)</f>
        <v>12</v>
      </c>
      <c r="G2690" s="16">
        <f>YEAR(Data!$E2690)</f>
        <v>2024</v>
      </c>
      <c r="H2690" s="19" t="s">
        <v>29</v>
      </c>
      <c r="I2690" s="15" t="str">
        <f t="shared" si="41"/>
        <v>Trường học</v>
      </c>
      <c r="J2690" s="15" t="s">
        <v>1285</v>
      </c>
      <c r="K2690" s="19" t="s">
        <v>1262</v>
      </c>
      <c r="L2690" s="32">
        <f>Data!$D2690/10^6</f>
        <v>16.350000000000001</v>
      </c>
    </row>
    <row r="2691" spans="1:12" x14ac:dyDescent="0.25">
      <c r="A2691" s="30" t="s">
        <v>37</v>
      </c>
      <c r="B2691" s="19" t="s">
        <v>705</v>
      </c>
      <c r="C2691" s="19" t="s">
        <v>10</v>
      </c>
      <c r="D2691" s="20">
        <v>276280264</v>
      </c>
      <c r="E2691" s="21">
        <v>45627</v>
      </c>
      <c r="F2691" s="18">
        <f>MONTH(Data!$E2691)</f>
        <v>12</v>
      </c>
      <c r="G2691" s="16">
        <f>YEAR(Data!$E2691)</f>
        <v>2024</v>
      </c>
      <c r="H2691" s="19" t="s">
        <v>11</v>
      </c>
      <c r="I2691" s="15" t="str">
        <f t="shared" ref="I2691:I2700" si="42">IF(ISNUMBER(SEARCH("Công ty",$B2691)),"Doanh nghiệp",IF(ISNUMBER(SEARCH("Doanh nghiệp",$B2691)),"Doanh nghiệp",IF(ISNUMBER(SEARCH("Tập đoàn",$B2691)),"Doanh nghiệp",
IF(ISNUMBER(SEARCH("Bệnh viện",$B2691)),"Bệnh viện",
IF(ISNUMBER(SEARCH("Ngân hàng",$B2691)),"Ngân hàng",IF(ISNUMBER(SEARCH("trường",$B2691)),"Trường học",IF(ISNUMBER(SEARCH("học viện",$B2691)),"Trường học",
IF(ISNUMBER(SEARCH("Bộ",$B2691)),"Sở ban ngành",IF(ISNUMBER(SEARCH("Đoàn",$B2691)),"Sở ban ngành",IF(ISNUMBER(SEARCH("Phòng",$B2691)),"Sở ban ngành",IF(ISNUMBER(SEARCH("UBND",$B2691)),"Sở ban ngành",IF(ISNUMBER(SEARCH("ủy ban",$B2691)),"Sở ban ngành",IF(ISNUMBER(SEARCH("công an",$B2691)),"Sở ban ngành",IF(ISNUMBER(SEARCH("sở",$B2691)),"Sở ban ngành",IF(ISNUMBER(SEARCH("thôn",$B2691)),"Sở ban ngành",IF(ISNUMBER(SEARCH("xã",$B2691)),"Sở ban ngành",IF(ISNUMBER(SEARCH("quân khu",$B2691)),"Sở ban ngành",IF(ISNUMBER(SEARCH("cục",$B2691)),"Sở ban ngành",IF(ISNUMBER(SEARCH("viện",$B2691)),"Sở ban ngành",IF(ISNUMBER(SEARCH("quỹ",$B2691)),"Sở ban ngành",IF(ISNUMBER(SEARCH("trung tâm",$B2691)),"Sở ban ngành",IF(ISNUMBER(SEARCH("quân chủng",$B2691)),"Sở ban ngành",IF(ISNUMBER(SEARCH("hội",$B2691)),"Sở ban ngành",
"Khác")))))))))))))))))))))))</f>
        <v>Trường học</v>
      </c>
      <c r="J2691" s="15" t="s">
        <v>1284</v>
      </c>
      <c r="K2691" s="19" t="s">
        <v>1267</v>
      </c>
      <c r="L2691" s="32">
        <f>Data!$D2691/10^6</f>
        <v>276.28026399999999</v>
      </c>
    </row>
    <row r="2692" spans="1:12" x14ac:dyDescent="0.25">
      <c r="A2692" s="30" t="s">
        <v>37</v>
      </c>
      <c r="B2692" s="19" t="s">
        <v>783</v>
      </c>
      <c r="C2692" s="19" t="s">
        <v>10</v>
      </c>
      <c r="D2692" s="20">
        <v>180562691</v>
      </c>
      <c r="E2692" s="21">
        <v>45627</v>
      </c>
      <c r="F2692" s="18">
        <f>MONTH(Data!$E2692)</f>
        <v>12</v>
      </c>
      <c r="G2692" s="16">
        <f>YEAR(Data!$E2692)</f>
        <v>2024</v>
      </c>
      <c r="H2692" s="19" t="s">
        <v>11</v>
      </c>
      <c r="I2692" s="15" t="str">
        <f t="shared" si="42"/>
        <v>Trường học</v>
      </c>
      <c r="J2692" s="15" t="s">
        <v>1285</v>
      </c>
      <c r="K2692" s="19" t="s">
        <v>1267</v>
      </c>
      <c r="L2692" s="32">
        <f>Data!$D2692/10^6</f>
        <v>180.562691</v>
      </c>
    </row>
    <row r="2693" spans="1:12" x14ac:dyDescent="0.25">
      <c r="A2693" s="30" t="s">
        <v>37</v>
      </c>
      <c r="B2693" s="19" t="s">
        <v>707</v>
      </c>
      <c r="C2693" s="19" t="s">
        <v>10</v>
      </c>
      <c r="D2693" s="20">
        <v>341145455</v>
      </c>
      <c r="E2693" s="21">
        <v>45627</v>
      </c>
      <c r="F2693" s="18">
        <f>MONTH(Data!$E2693)</f>
        <v>12</v>
      </c>
      <c r="G2693" s="16">
        <f>YEAR(Data!$E2693)</f>
        <v>2024</v>
      </c>
      <c r="H2693" s="19" t="s">
        <v>11</v>
      </c>
      <c r="I2693" s="15" t="str">
        <f t="shared" si="42"/>
        <v>Trường học</v>
      </c>
      <c r="J2693" s="15" t="s">
        <v>1284</v>
      </c>
      <c r="K2693" s="19" t="s">
        <v>1267</v>
      </c>
      <c r="L2693" s="32">
        <f>Data!$D2693/10^6</f>
        <v>341.14545500000003</v>
      </c>
    </row>
    <row r="2694" spans="1:12" x14ac:dyDescent="0.25">
      <c r="A2694" s="30" t="s">
        <v>74</v>
      </c>
      <c r="B2694" s="19" t="s">
        <v>733</v>
      </c>
      <c r="C2694" s="19" t="s">
        <v>14</v>
      </c>
      <c r="D2694" s="20">
        <v>45300620</v>
      </c>
      <c r="E2694" s="21">
        <v>45627</v>
      </c>
      <c r="F2694" s="18">
        <f>MONTH(Data!$E2694)</f>
        <v>12</v>
      </c>
      <c r="G2694" s="16">
        <f>YEAR(Data!$E2694)</f>
        <v>2024</v>
      </c>
      <c r="H2694" s="19" t="s">
        <v>11</v>
      </c>
      <c r="I2694" s="15" t="str">
        <f t="shared" si="42"/>
        <v>Trường học</v>
      </c>
      <c r="J2694" s="15" t="s">
        <v>1285</v>
      </c>
      <c r="K2694" s="19" t="s">
        <v>1270</v>
      </c>
      <c r="L2694" s="32">
        <f>Data!$D2694/10^6</f>
        <v>45.300620000000002</v>
      </c>
    </row>
    <row r="2695" spans="1:12" x14ac:dyDescent="0.25">
      <c r="A2695" s="30" t="s">
        <v>13</v>
      </c>
      <c r="B2695" s="19" t="s">
        <v>678</v>
      </c>
      <c r="C2695" s="19" t="s">
        <v>10</v>
      </c>
      <c r="D2695" s="20">
        <v>26363636</v>
      </c>
      <c r="E2695" s="21">
        <v>45627</v>
      </c>
      <c r="F2695" s="18">
        <f>MONTH(Data!$E2695)</f>
        <v>12</v>
      </c>
      <c r="G2695" s="16">
        <f>YEAR(Data!$E2695)</f>
        <v>2024</v>
      </c>
      <c r="H2695" s="19" t="s">
        <v>15</v>
      </c>
      <c r="I2695" s="15" t="str">
        <f t="shared" si="42"/>
        <v>Trường học</v>
      </c>
      <c r="J2695" s="15" t="s">
        <v>1284</v>
      </c>
      <c r="K2695" s="19" t="s">
        <v>1267</v>
      </c>
      <c r="L2695" s="32">
        <f>Data!$D2695/10^6</f>
        <v>26.363636</v>
      </c>
    </row>
    <row r="2696" spans="1:12" x14ac:dyDescent="0.25">
      <c r="A2696" s="30" t="s">
        <v>130</v>
      </c>
      <c r="B2696" s="19" t="s">
        <v>758</v>
      </c>
      <c r="C2696" s="19" t="s">
        <v>10</v>
      </c>
      <c r="D2696" s="20">
        <v>1901645455</v>
      </c>
      <c r="E2696" s="21">
        <v>45627</v>
      </c>
      <c r="F2696" s="18">
        <f>MONTH(Data!$E2696)</f>
        <v>12</v>
      </c>
      <c r="G2696" s="16">
        <f>YEAR(Data!$E2696)</f>
        <v>2024</v>
      </c>
      <c r="H2696" s="19" t="s">
        <v>22</v>
      </c>
      <c r="I2696" s="15" t="str">
        <f t="shared" si="42"/>
        <v>Trường học</v>
      </c>
      <c r="J2696" s="15" t="s">
        <v>1285</v>
      </c>
      <c r="K2696" s="19" t="s">
        <v>1267</v>
      </c>
      <c r="L2696" s="32">
        <f>Data!$D2696/10^6</f>
        <v>1901.6454550000001</v>
      </c>
    </row>
    <row r="2697" spans="1:12" x14ac:dyDescent="0.25">
      <c r="A2697" s="30" t="s">
        <v>37</v>
      </c>
      <c r="B2697" s="19" t="s">
        <v>704</v>
      </c>
      <c r="C2697" s="19" t="s">
        <v>10</v>
      </c>
      <c r="D2697" s="20">
        <v>244402391</v>
      </c>
      <c r="E2697" s="21">
        <v>45627</v>
      </c>
      <c r="F2697" s="18">
        <f>MONTH(Data!$E2697)</f>
        <v>12</v>
      </c>
      <c r="G2697" s="16">
        <f>YEAR(Data!$E2697)</f>
        <v>2024</v>
      </c>
      <c r="H2697" s="19" t="s">
        <v>11</v>
      </c>
      <c r="I2697" s="15" t="str">
        <f t="shared" si="42"/>
        <v>Trường học</v>
      </c>
      <c r="J2697" s="15" t="s">
        <v>1284</v>
      </c>
      <c r="K2697" s="19" t="s">
        <v>1267</v>
      </c>
      <c r="L2697" s="32">
        <f>Data!$D2697/10^6</f>
        <v>244.40239099999999</v>
      </c>
    </row>
    <row r="2698" spans="1:12" x14ac:dyDescent="0.25">
      <c r="A2698" s="30" t="s">
        <v>130</v>
      </c>
      <c r="B2698" s="19" t="s">
        <v>757</v>
      </c>
      <c r="C2698" s="19" t="s">
        <v>10</v>
      </c>
      <c r="D2698" s="20">
        <v>1122290682</v>
      </c>
      <c r="E2698" s="21">
        <v>45627</v>
      </c>
      <c r="F2698" s="18">
        <f>MONTH(Data!$E2698)</f>
        <v>12</v>
      </c>
      <c r="G2698" s="16">
        <f>YEAR(Data!$E2698)</f>
        <v>2024</v>
      </c>
      <c r="H2698" s="19" t="s">
        <v>22</v>
      </c>
      <c r="I2698" s="15" t="str">
        <f t="shared" si="42"/>
        <v>Trường học</v>
      </c>
      <c r="J2698" s="15" t="s">
        <v>1285</v>
      </c>
      <c r="K2698" s="19" t="s">
        <v>1267</v>
      </c>
      <c r="L2698" s="32">
        <f>Data!$D2698/10^6</f>
        <v>1122.2906820000001</v>
      </c>
    </row>
    <row r="2699" spans="1:12" x14ac:dyDescent="0.25">
      <c r="A2699" s="30" t="s">
        <v>130</v>
      </c>
      <c r="B2699" s="19" t="s">
        <v>756</v>
      </c>
      <c r="C2699" s="19" t="s">
        <v>10</v>
      </c>
      <c r="D2699" s="20">
        <v>723190909</v>
      </c>
      <c r="E2699" s="21">
        <v>45627</v>
      </c>
      <c r="F2699" s="18">
        <f>MONTH(Data!$E2699)</f>
        <v>12</v>
      </c>
      <c r="G2699" s="16">
        <f>YEAR(Data!$E2699)</f>
        <v>2024</v>
      </c>
      <c r="H2699" s="19" t="s">
        <v>22</v>
      </c>
      <c r="I2699" s="15" t="str">
        <f t="shared" si="42"/>
        <v>Trường học</v>
      </c>
      <c r="J2699" s="15" t="s">
        <v>1284</v>
      </c>
      <c r="K2699" s="19" t="s">
        <v>1267</v>
      </c>
      <c r="L2699" s="32">
        <f>Data!$D2699/10^6</f>
        <v>723.19090900000003</v>
      </c>
    </row>
    <row r="2700" spans="1:12" x14ac:dyDescent="0.25">
      <c r="A2700" s="31" t="s">
        <v>30</v>
      </c>
      <c r="B2700" s="22" t="s">
        <v>674</v>
      </c>
      <c r="C2700" s="22" t="s">
        <v>10</v>
      </c>
      <c r="D2700" s="23">
        <v>39254545</v>
      </c>
      <c r="E2700" s="24">
        <v>45627</v>
      </c>
      <c r="F2700" s="25">
        <f>MONTH(Data!$E2700)</f>
        <v>12</v>
      </c>
      <c r="G2700" s="26">
        <f>YEAR(Data!$E2700)</f>
        <v>2024</v>
      </c>
      <c r="H2700" s="22" t="s">
        <v>32</v>
      </c>
      <c r="I2700" s="15" t="str">
        <f t="shared" si="42"/>
        <v>Trường học</v>
      </c>
      <c r="J2700" s="15" t="s">
        <v>1285</v>
      </c>
      <c r="K2700" s="22" t="s">
        <v>1262</v>
      </c>
      <c r="L2700" s="33">
        <f>Data!$D2700/10^6</f>
        <v>39.254545</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U67"/>
  <sheetViews>
    <sheetView topLeftCell="G1" workbookViewId="0">
      <selection activeCell="U4" sqref="U4:U5"/>
    </sheetView>
  </sheetViews>
  <sheetFormatPr defaultRowHeight="15.75" x14ac:dyDescent="0.25"/>
  <cols>
    <col min="1" max="1" width="12.75" bestFit="1" customWidth="1"/>
    <col min="2" max="2" width="16.625" bestFit="1" customWidth="1"/>
    <col min="3" max="3" width="8.625" bestFit="1" customWidth="1"/>
    <col min="4" max="4" width="11" bestFit="1" customWidth="1"/>
    <col min="6" max="6" width="12.75" bestFit="1" customWidth="1"/>
    <col min="7" max="7" width="16.625" bestFit="1" customWidth="1"/>
    <col min="9" max="9" width="12.75" customWidth="1"/>
    <col min="10" max="10" width="16.625" bestFit="1" customWidth="1"/>
    <col min="11" max="14" width="10.75" customWidth="1"/>
    <col min="15" max="15" width="16.5" bestFit="1" customWidth="1"/>
    <col min="16" max="16" width="10.25" customWidth="1"/>
    <col min="18" max="18" width="14.875" bestFit="1" customWidth="1"/>
    <col min="19" max="19" width="16.625" bestFit="1" customWidth="1"/>
    <col min="21" max="21" width="9.875" bestFit="1" customWidth="1"/>
  </cols>
  <sheetData>
    <row r="3" spans="1:21" x14ac:dyDescent="0.25">
      <c r="A3" t="s">
        <v>884</v>
      </c>
      <c r="F3" s="5" t="s">
        <v>885</v>
      </c>
      <c r="G3" t="s">
        <v>884</v>
      </c>
      <c r="I3" s="5" t="s">
        <v>885</v>
      </c>
      <c r="J3" t="s">
        <v>884</v>
      </c>
      <c r="O3" t="s">
        <v>1024</v>
      </c>
      <c r="P3" t="s">
        <v>1023</v>
      </c>
      <c r="R3" s="5" t="s">
        <v>885</v>
      </c>
      <c r="S3" t="s">
        <v>884</v>
      </c>
      <c r="U3" t="str">
        <f ca="1">TEXT(TODAY(), "DD/MM/YYYY")</f>
        <v>11/08/2025</v>
      </c>
    </row>
    <row r="4" spans="1:21" x14ac:dyDescent="0.25">
      <c r="A4" s="4">
        <v>765873.47183600068</v>
      </c>
      <c r="F4" s="6" t="s">
        <v>97</v>
      </c>
      <c r="G4" s="4">
        <v>4254.8858550000004</v>
      </c>
      <c r="I4" s="6" t="s">
        <v>78</v>
      </c>
      <c r="J4" s="4">
        <v>6492.4351049999977</v>
      </c>
      <c r="K4" s="4"/>
      <c r="L4" s="4" t="str" cm="1">
        <f t="array" ref="L4:M66">_xlfn._xlws.FILTER(_xlfn.SORTBY(I4:J66, J4:J66, -1), I4:I66 &lt;&gt; "")</f>
        <v>HNI</v>
      </c>
      <c r="M4" s="4">
        <v>58864.912125999988</v>
      </c>
      <c r="N4" s="4"/>
      <c r="O4" s="13" t="s">
        <v>916</v>
      </c>
      <c r="P4" s="4">
        <f t="shared" ref="P4:P35" si="0">J4</f>
        <v>6492.4351049999977</v>
      </c>
      <c r="R4" s="6" t="s">
        <v>1284</v>
      </c>
      <c r="S4" s="1">
        <v>385670.05684500019</v>
      </c>
      <c r="T4" s="39">
        <f>S4/$S$6</f>
        <v>0.50356889359341239</v>
      </c>
      <c r="U4" s="39"/>
    </row>
    <row r="5" spans="1:21" x14ac:dyDescent="0.25">
      <c r="F5" s="6" t="s">
        <v>16</v>
      </c>
      <c r="G5" s="4">
        <v>620502.77152300067</v>
      </c>
      <c r="I5" s="6" t="s">
        <v>39</v>
      </c>
      <c r="J5" s="4">
        <v>18169.264932000002</v>
      </c>
      <c r="K5" s="4"/>
      <c r="L5" s="4" t="str">
        <v>HCM</v>
      </c>
      <c r="M5" s="4">
        <v>48054.520338999995</v>
      </c>
      <c r="N5" s="4"/>
      <c r="O5" s="4" t="s">
        <v>1018</v>
      </c>
      <c r="P5" s="4">
        <f t="shared" si="0"/>
        <v>18169.264932000002</v>
      </c>
      <c r="R5" s="6" t="s">
        <v>1285</v>
      </c>
      <c r="S5" s="1">
        <v>380203.41499100014</v>
      </c>
      <c r="T5" s="39">
        <f>S5/$S$6</f>
        <v>0.49643110640658761</v>
      </c>
      <c r="U5" s="39"/>
    </row>
    <row r="6" spans="1:21" x14ac:dyDescent="0.25">
      <c r="A6" s="5" t="s">
        <v>885</v>
      </c>
      <c r="B6" t="s">
        <v>884</v>
      </c>
      <c r="F6" s="6" t="s">
        <v>12</v>
      </c>
      <c r="G6" s="4">
        <v>112764.21657599992</v>
      </c>
      <c r="I6" s="6" t="s">
        <v>72</v>
      </c>
      <c r="J6" s="4">
        <v>6328.6192240000019</v>
      </c>
      <c r="K6" s="4"/>
      <c r="L6" s="4" t="str">
        <v>VTU</v>
      </c>
      <c r="M6" s="4">
        <v>39044.200606999999</v>
      </c>
      <c r="N6" s="4"/>
      <c r="O6" s="4" t="s">
        <v>963</v>
      </c>
      <c r="P6" s="4">
        <f t="shared" si="0"/>
        <v>6328.6192240000019</v>
      </c>
      <c r="R6" s="6" t="s">
        <v>886</v>
      </c>
      <c r="S6" s="1">
        <v>765873.47183600033</v>
      </c>
    </row>
    <row r="7" spans="1:21" x14ac:dyDescent="0.25">
      <c r="A7" s="6" t="s">
        <v>834</v>
      </c>
      <c r="B7" s="4">
        <v>6934.0263340000001</v>
      </c>
      <c r="F7" s="6" t="s">
        <v>19</v>
      </c>
      <c r="G7" s="4">
        <v>27175.398845</v>
      </c>
      <c r="I7" s="6" t="s">
        <v>17</v>
      </c>
      <c r="J7" s="4">
        <v>10077.914433999998</v>
      </c>
      <c r="K7" s="4"/>
      <c r="L7" s="4" t="str">
        <v>QNM</v>
      </c>
      <c r="M7" s="4">
        <v>38712.175402999994</v>
      </c>
      <c r="N7" s="4"/>
      <c r="O7" s="4" t="s">
        <v>964</v>
      </c>
      <c r="P7" s="4">
        <f t="shared" si="0"/>
        <v>10077.914433999998</v>
      </c>
    </row>
    <row r="8" spans="1:21" x14ac:dyDescent="0.25">
      <c r="A8" s="6" t="s">
        <v>149</v>
      </c>
      <c r="B8" s="4">
        <v>60910.776326999963</v>
      </c>
      <c r="F8" s="6" t="s">
        <v>1282</v>
      </c>
      <c r="G8" s="4">
        <v>1176.1990370000001</v>
      </c>
      <c r="I8" s="6" t="s">
        <v>89</v>
      </c>
      <c r="J8" s="4">
        <v>7482.8184549999942</v>
      </c>
      <c r="K8" s="4"/>
      <c r="L8" s="4" t="str">
        <v>DNI</v>
      </c>
      <c r="M8" s="4">
        <v>37253.054285999991</v>
      </c>
      <c r="N8" s="4"/>
      <c r="O8" s="4" t="s">
        <v>965</v>
      </c>
      <c r="P8" s="4">
        <f t="shared" si="0"/>
        <v>7482.8184549999942</v>
      </c>
    </row>
    <row r="9" spans="1:21" x14ac:dyDescent="0.25">
      <c r="A9" s="6" t="s">
        <v>10</v>
      </c>
      <c r="B9" s="4">
        <v>198681.75588400022</v>
      </c>
      <c r="F9" s="6" t="s">
        <v>886</v>
      </c>
      <c r="G9" s="4">
        <v>765873.47183600056</v>
      </c>
      <c r="I9" s="6" t="s">
        <v>123</v>
      </c>
      <c r="J9" s="4">
        <v>1358.8011140000001</v>
      </c>
      <c r="K9" s="4"/>
      <c r="L9" s="4" t="str">
        <v>TBH</v>
      </c>
      <c r="M9" s="4">
        <v>36020.359414999992</v>
      </c>
      <c r="N9" s="4"/>
      <c r="O9" s="4" t="s">
        <v>966</v>
      </c>
      <c r="P9" s="4">
        <f t="shared" si="0"/>
        <v>1358.8011140000001</v>
      </c>
    </row>
    <row r="10" spans="1:21" x14ac:dyDescent="0.25">
      <c r="A10" s="6" t="s">
        <v>14</v>
      </c>
      <c r="B10" s="4">
        <v>207178.38166099985</v>
      </c>
      <c r="I10" s="6" t="s">
        <v>43</v>
      </c>
      <c r="J10" s="4">
        <v>21093.919848999998</v>
      </c>
      <c r="K10" s="4"/>
      <c r="L10" s="4" t="str">
        <v>TNN</v>
      </c>
      <c r="M10" s="4">
        <v>30017.940513999994</v>
      </c>
      <c r="N10" s="4"/>
      <c r="O10" s="4" t="s">
        <v>968</v>
      </c>
      <c r="P10" s="4">
        <f t="shared" si="0"/>
        <v>21093.919848999998</v>
      </c>
    </row>
    <row r="11" spans="1:21" x14ac:dyDescent="0.25">
      <c r="A11" s="6" t="s">
        <v>46</v>
      </c>
      <c r="B11" s="4">
        <v>267832.91848599963</v>
      </c>
      <c r="I11" s="6" t="s">
        <v>51</v>
      </c>
      <c r="J11" s="4">
        <v>3365.7312200000006</v>
      </c>
      <c r="K11" s="4"/>
      <c r="L11" s="4" t="str">
        <v>QTI</v>
      </c>
      <c r="M11" s="4">
        <v>29579.392193</v>
      </c>
      <c r="N11" s="4"/>
      <c r="O11" s="4" t="s">
        <v>962</v>
      </c>
      <c r="P11" s="4">
        <f t="shared" si="0"/>
        <v>3365.7312200000006</v>
      </c>
    </row>
    <row r="12" spans="1:21" x14ac:dyDescent="0.25">
      <c r="A12" s="6" t="s">
        <v>41</v>
      </c>
      <c r="B12" s="4">
        <v>24335.613143999981</v>
      </c>
      <c r="I12" s="6" t="s">
        <v>75</v>
      </c>
      <c r="J12" s="4">
        <v>3772.3718109999995</v>
      </c>
      <c r="K12" s="4"/>
      <c r="L12" s="4" t="str">
        <v>NAN</v>
      </c>
      <c r="M12" s="4">
        <v>23353.01359799998</v>
      </c>
      <c r="N12" s="4"/>
      <c r="O12" s="4" t="s">
        <v>961</v>
      </c>
      <c r="P12" s="4">
        <f t="shared" si="0"/>
        <v>3772.3718109999995</v>
      </c>
    </row>
    <row r="13" spans="1:21" x14ac:dyDescent="0.25">
      <c r="A13" s="6" t="s">
        <v>886</v>
      </c>
      <c r="B13" s="4">
        <v>765873.47183599963</v>
      </c>
      <c r="F13" s="5" t="s">
        <v>885</v>
      </c>
      <c r="G13" t="s">
        <v>884</v>
      </c>
      <c r="I13" s="6" t="s">
        <v>68</v>
      </c>
      <c r="J13" s="4">
        <v>9778.0370890000031</v>
      </c>
      <c r="K13" s="4"/>
      <c r="L13" s="4" t="str">
        <v>PTO</v>
      </c>
      <c r="M13" s="4">
        <v>21166.137697999999</v>
      </c>
      <c r="N13" s="4"/>
      <c r="O13" s="4" t="s">
        <v>967</v>
      </c>
      <c r="P13" s="4">
        <f t="shared" si="0"/>
        <v>9778.0370890000031</v>
      </c>
    </row>
    <row r="14" spans="1:21" x14ac:dyDescent="0.25">
      <c r="F14" s="6" t="s">
        <v>1262</v>
      </c>
      <c r="G14" s="4">
        <v>48452.321376999971</v>
      </c>
      <c r="I14" s="6" t="s">
        <v>37</v>
      </c>
      <c r="J14" s="4">
        <v>12146.813401999998</v>
      </c>
      <c r="K14" s="4"/>
      <c r="L14" s="4" t="str">
        <v>BNH</v>
      </c>
      <c r="M14" s="4">
        <v>21093.919848999998</v>
      </c>
      <c r="N14" s="4"/>
      <c r="O14" s="4" t="s">
        <v>969</v>
      </c>
      <c r="P14" s="4">
        <f t="shared" si="0"/>
        <v>12146.813401999998</v>
      </c>
    </row>
    <row r="15" spans="1:21" x14ac:dyDescent="0.25">
      <c r="A15" s="5" t="s">
        <v>884</v>
      </c>
      <c r="B15" s="5" t="s">
        <v>887</v>
      </c>
      <c r="F15" s="6" t="s">
        <v>1263</v>
      </c>
      <c r="G15" s="4">
        <v>71237.084737000027</v>
      </c>
      <c r="I15" s="6" t="s">
        <v>79</v>
      </c>
      <c r="J15" s="4">
        <v>2185.073269</v>
      </c>
      <c r="K15" s="4"/>
      <c r="L15" s="4" t="str">
        <v>BDG</v>
      </c>
      <c r="M15" s="4">
        <v>18169.264932000002</v>
      </c>
      <c r="N15" s="4"/>
      <c r="O15" s="4" t="s">
        <v>971</v>
      </c>
      <c r="P15" s="4">
        <f t="shared" si="0"/>
        <v>2185.073269</v>
      </c>
    </row>
    <row r="16" spans="1:21" x14ac:dyDescent="0.25">
      <c r="A16" s="5" t="s">
        <v>885</v>
      </c>
      <c r="B16" s="1">
        <v>2024</v>
      </c>
      <c r="C16" s="1">
        <v>2025</v>
      </c>
      <c r="D16" s="1" t="s">
        <v>886</v>
      </c>
      <c r="F16" s="6" t="s">
        <v>1264</v>
      </c>
      <c r="G16" s="4">
        <v>73191.060454999912</v>
      </c>
      <c r="I16" s="6" t="s">
        <v>55</v>
      </c>
      <c r="J16" s="4">
        <v>7180.0828059999985</v>
      </c>
      <c r="K16" s="4"/>
      <c r="L16" s="4" t="str">
        <v>TGG</v>
      </c>
      <c r="M16" s="4">
        <v>17777.690087999996</v>
      </c>
      <c r="N16" s="4"/>
      <c r="O16" s="4" t="s">
        <v>972</v>
      </c>
      <c r="P16" s="4">
        <f t="shared" si="0"/>
        <v>7180.0828059999985</v>
      </c>
    </row>
    <row r="17" spans="1:16" x14ac:dyDescent="0.25">
      <c r="A17" s="6">
        <v>1</v>
      </c>
      <c r="B17" s="4">
        <v>46229.977625000021</v>
      </c>
      <c r="C17" s="4">
        <v>66868.989847999983</v>
      </c>
      <c r="D17" s="4">
        <v>113098.967473</v>
      </c>
      <c r="F17" s="6" t="s">
        <v>1265</v>
      </c>
      <c r="G17" s="4">
        <v>248566.96579199992</v>
      </c>
      <c r="I17" s="6" t="s">
        <v>87</v>
      </c>
      <c r="J17" s="4">
        <v>7092.8286689999959</v>
      </c>
      <c r="K17" s="4"/>
      <c r="L17" s="4" t="str">
        <v>DNG</v>
      </c>
      <c r="M17" s="4">
        <v>16796.271142000005</v>
      </c>
      <c r="N17" s="4"/>
      <c r="O17" s="4" t="s">
        <v>970</v>
      </c>
      <c r="P17" s="4">
        <f t="shared" si="0"/>
        <v>7092.8286689999959</v>
      </c>
    </row>
    <row r="18" spans="1:16" x14ac:dyDescent="0.25">
      <c r="A18" s="6">
        <v>2</v>
      </c>
      <c r="B18" s="4">
        <v>29340.654751999988</v>
      </c>
      <c r="C18" s="4">
        <v>78898.315411999953</v>
      </c>
      <c r="D18" s="4">
        <v>108238.97016399994</v>
      </c>
      <c r="F18" s="6" t="s">
        <v>1266</v>
      </c>
      <c r="G18" s="4">
        <v>90030.550841000004</v>
      </c>
      <c r="I18" s="6" t="s">
        <v>65</v>
      </c>
      <c r="J18" s="4">
        <v>10562.579433999997</v>
      </c>
      <c r="K18" s="4"/>
      <c r="L18" s="4" t="str">
        <v>NDH</v>
      </c>
      <c r="M18" s="4">
        <v>15985.129304</v>
      </c>
      <c r="N18" s="4"/>
      <c r="O18" s="4" t="s">
        <v>975</v>
      </c>
      <c r="P18" s="4">
        <f t="shared" si="0"/>
        <v>10562.579433999997</v>
      </c>
    </row>
    <row r="19" spans="1:16" x14ac:dyDescent="0.25">
      <c r="A19" s="6">
        <v>3</v>
      </c>
      <c r="B19" s="4">
        <v>25478.976562000003</v>
      </c>
      <c r="C19" s="4">
        <v>19766.519831000009</v>
      </c>
      <c r="D19" s="4">
        <v>45245.496393000009</v>
      </c>
      <c r="F19" s="6" t="s">
        <v>1267</v>
      </c>
      <c r="G19" s="4">
        <v>84792.411631999959</v>
      </c>
      <c r="I19" s="6" t="s">
        <v>48</v>
      </c>
      <c r="J19" s="4">
        <v>1622.812347</v>
      </c>
      <c r="K19" s="4"/>
      <c r="L19" s="4" t="str">
        <v>LSN</v>
      </c>
      <c r="M19" s="4">
        <v>15218.321372999999</v>
      </c>
      <c r="N19" s="4"/>
      <c r="O19" s="4" t="s">
        <v>974</v>
      </c>
      <c r="P19" s="4">
        <f t="shared" si="0"/>
        <v>1622.812347</v>
      </c>
    </row>
    <row r="20" spans="1:16" x14ac:dyDescent="0.25">
      <c r="A20" s="6">
        <v>4</v>
      </c>
      <c r="B20" s="4">
        <v>44719.748781999966</v>
      </c>
      <c r="C20" s="4"/>
      <c r="D20" s="4">
        <v>44719.748781999966</v>
      </c>
      <c r="F20" s="6" t="s">
        <v>1268</v>
      </c>
      <c r="G20" s="4">
        <v>5904.7089619999997</v>
      </c>
      <c r="I20" s="6" t="s">
        <v>21</v>
      </c>
      <c r="J20" s="4">
        <v>16796.271142000005</v>
      </c>
      <c r="K20" s="4"/>
      <c r="L20" s="4" t="str">
        <v>GLI</v>
      </c>
      <c r="M20" s="4">
        <v>13394.809170000002</v>
      </c>
      <c r="N20" s="4"/>
      <c r="O20" s="4" t="s">
        <v>973</v>
      </c>
      <c r="P20" s="4">
        <f t="shared" si="0"/>
        <v>16796.271142000005</v>
      </c>
    </row>
    <row r="21" spans="1:16" x14ac:dyDescent="0.25">
      <c r="A21" s="6">
        <v>5</v>
      </c>
      <c r="B21" s="4">
        <v>34758.735598999992</v>
      </c>
      <c r="C21" s="4"/>
      <c r="D21" s="4">
        <v>34758.735598999992</v>
      </c>
      <c r="F21" s="6" t="s">
        <v>1269</v>
      </c>
      <c r="G21" s="4">
        <v>11885.481587000007</v>
      </c>
      <c r="I21" s="6" t="s">
        <v>128</v>
      </c>
      <c r="J21" s="4">
        <v>37253.054285999991</v>
      </c>
      <c r="K21" s="4"/>
      <c r="L21" s="4" t="str">
        <v>VPC</v>
      </c>
      <c r="M21" s="4">
        <v>13241.832831000002</v>
      </c>
      <c r="N21" s="4"/>
      <c r="O21" s="4" t="s">
        <v>1021</v>
      </c>
      <c r="P21" s="4">
        <f t="shared" si="0"/>
        <v>37253.054285999991</v>
      </c>
    </row>
    <row r="22" spans="1:16" x14ac:dyDescent="0.25">
      <c r="A22" s="6">
        <v>6</v>
      </c>
      <c r="B22" s="4">
        <v>27806.667901999983</v>
      </c>
      <c r="C22" s="4"/>
      <c r="D22" s="4">
        <v>27806.667901999983</v>
      </c>
      <c r="F22" s="6" t="s">
        <v>1270</v>
      </c>
      <c r="G22" s="4">
        <v>1908.208893</v>
      </c>
      <c r="I22" s="6" t="s">
        <v>36</v>
      </c>
      <c r="J22" s="4">
        <v>3225.2524669999998</v>
      </c>
      <c r="K22" s="4"/>
      <c r="L22" s="4" t="str">
        <v>HUE</v>
      </c>
      <c r="M22" s="4">
        <v>12500.855561</v>
      </c>
      <c r="N22" s="4"/>
      <c r="O22" s="4" t="s">
        <v>976</v>
      </c>
      <c r="P22" s="4">
        <f t="shared" si="0"/>
        <v>3225.2524669999998</v>
      </c>
    </row>
    <row r="23" spans="1:16" x14ac:dyDescent="0.25">
      <c r="A23" s="6">
        <v>7</v>
      </c>
      <c r="B23" s="4">
        <v>35727.380349999999</v>
      </c>
      <c r="C23" s="4"/>
      <c r="D23" s="4">
        <v>35727.380349999999</v>
      </c>
      <c r="F23" s="6" t="s">
        <v>1271</v>
      </c>
      <c r="G23" s="4">
        <v>24256.626727000003</v>
      </c>
      <c r="I23" s="6" t="s">
        <v>23</v>
      </c>
      <c r="J23" s="4">
        <v>13394.809170000002</v>
      </c>
      <c r="K23" s="4"/>
      <c r="L23" s="4" t="str">
        <v>CBG</v>
      </c>
      <c r="M23" s="4">
        <v>12146.813401999998</v>
      </c>
      <c r="N23" s="4"/>
      <c r="O23" s="4" t="s">
        <v>977</v>
      </c>
      <c r="P23" s="4">
        <f t="shared" si="0"/>
        <v>13394.809170000002</v>
      </c>
    </row>
    <row r="24" spans="1:16" x14ac:dyDescent="0.25">
      <c r="A24" s="6">
        <v>8</v>
      </c>
      <c r="B24" s="4">
        <v>45276.315420999985</v>
      </c>
      <c r="C24" s="4"/>
      <c r="D24" s="4">
        <v>45276.315420999985</v>
      </c>
      <c r="F24" s="6" t="s">
        <v>1272</v>
      </c>
      <c r="G24" s="4">
        <v>7997.026143000001</v>
      </c>
      <c r="I24" s="6" t="s">
        <v>64</v>
      </c>
      <c r="J24" s="4">
        <v>1926.130279</v>
      </c>
      <c r="K24" s="4"/>
      <c r="L24" s="4" t="str">
        <v>KHA</v>
      </c>
      <c r="M24" s="4">
        <v>11129.989547999998</v>
      </c>
      <c r="N24" s="4"/>
      <c r="O24" s="4" t="s">
        <v>912</v>
      </c>
      <c r="P24" s="4">
        <f t="shared" si="0"/>
        <v>1926.130279</v>
      </c>
    </row>
    <row r="25" spans="1:16" x14ac:dyDescent="0.25">
      <c r="A25" s="6">
        <v>9</v>
      </c>
      <c r="B25" s="4">
        <v>31136.262000000006</v>
      </c>
      <c r="C25" s="4"/>
      <c r="D25" s="4">
        <v>31136.262000000006</v>
      </c>
      <c r="F25" s="6" t="s">
        <v>1273</v>
      </c>
      <c r="G25" s="4">
        <v>38760.772422000002</v>
      </c>
      <c r="I25" s="6" t="s">
        <v>107</v>
      </c>
      <c r="J25" s="4">
        <v>48054.520338999995</v>
      </c>
      <c r="K25" s="4"/>
      <c r="L25" s="4" t="str">
        <v>DCN</v>
      </c>
      <c r="M25" s="4">
        <v>10562.579433999997</v>
      </c>
      <c r="N25" s="4"/>
      <c r="O25" s="4" t="s">
        <v>981</v>
      </c>
      <c r="P25" s="4">
        <f t="shared" si="0"/>
        <v>48054.520338999995</v>
      </c>
    </row>
    <row r="26" spans="1:16" x14ac:dyDescent="0.25">
      <c r="A26" s="6">
        <v>10</v>
      </c>
      <c r="B26" s="4">
        <v>65701.014244999955</v>
      </c>
      <c r="C26" s="4"/>
      <c r="D26" s="4">
        <v>65701.014244999955</v>
      </c>
      <c r="F26" s="6" t="s">
        <v>1274</v>
      </c>
      <c r="G26" s="4">
        <v>3109.3854540000002</v>
      </c>
      <c r="I26" s="6" t="s">
        <v>160</v>
      </c>
      <c r="J26" s="4">
        <v>4808.0657460000002</v>
      </c>
      <c r="K26" s="4"/>
      <c r="L26" s="4" t="str">
        <v>PYN</v>
      </c>
      <c r="M26" s="4">
        <v>10149.916876999998</v>
      </c>
      <c r="N26" s="4"/>
      <c r="O26" s="4" t="s">
        <v>983</v>
      </c>
      <c r="P26" s="4">
        <f t="shared" si="0"/>
        <v>4808.0657460000002</v>
      </c>
    </row>
    <row r="27" spans="1:16" x14ac:dyDescent="0.25">
      <c r="A27" s="6">
        <v>11</v>
      </c>
      <c r="B27" s="4">
        <v>94407.083680999989</v>
      </c>
      <c r="C27" s="4"/>
      <c r="D27" s="4">
        <v>94407.083680999989</v>
      </c>
      <c r="F27" s="6" t="s">
        <v>1275</v>
      </c>
      <c r="G27" s="4">
        <v>18362.55365899999</v>
      </c>
      <c r="I27" s="6" t="s">
        <v>255</v>
      </c>
      <c r="J27" s="4">
        <v>7385.6016020000006</v>
      </c>
      <c r="K27" s="4"/>
      <c r="L27" s="4" t="str">
        <v>BGG</v>
      </c>
      <c r="M27" s="4">
        <v>10077.914433999998</v>
      </c>
      <c r="N27" s="4"/>
      <c r="O27" s="4" t="s">
        <v>982</v>
      </c>
      <c r="P27" s="4">
        <f t="shared" si="0"/>
        <v>7385.6016020000006</v>
      </c>
    </row>
    <row r="28" spans="1:16" x14ac:dyDescent="0.25">
      <c r="A28" s="6">
        <v>12</v>
      </c>
      <c r="B28" s="4">
        <v>119756.82982600006</v>
      </c>
      <c r="C28" s="4"/>
      <c r="D28" s="4">
        <v>119756.82982600006</v>
      </c>
      <c r="F28" s="6" t="s">
        <v>1276</v>
      </c>
      <c r="G28" s="4">
        <v>8153.2109630000014</v>
      </c>
      <c r="I28" s="6" t="s">
        <v>52</v>
      </c>
      <c r="J28" s="4">
        <v>58864.912125999988</v>
      </c>
      <c r="K28" s="4"/>
      <c r="L28" s="4" t="str">
        <v>BTN</v>
      </c>
      <c r="M28" s="4">
        <v>9778.0370890000031</v>
      </c>
      <c r="N28" s="4"/>
      <c r="O28" s="4" t="s">
        <v>985</v>
      </c>
      <c r="P28" s="4">
        <f t="shared" si="0"/>
        <v>58864.912125999988</v>
      </c>
    </row>
    <row r="29" spans="1:16" x14ac:dyDescent="0.25">
      <c r="A29" s="6" t="s">
        <v>886</v>
      </c>
      <c r="B29" s="4">
        <v>600339.64674499992</v>
      </c>
      <c r="C29" s="4">
        <v>165533.82509099995</v>
      </c>
      <c r="D29" s="4">
        <v>765873.47183599987</v>
      </c>
      <c r="F29" s="6" t="s">
        <v>1277</v>
      </c>
      <c r="G29" s="4">
        <v>9024.261744999998</v>
      </c>
      <c r="I29" s="6" t="s">
        <v>50</v>
      </c>
      <c r="J29" s="4">
        <v>9591.3190460000005</v>
      </c>
      <c r="K29" s="4"/>
      <c r="L29" s="4" t="str">
        <v>TQG</v>
      </c>
      <c r="M29" s="4">
        <v>9619.7465989999982</v>
      </c>
      <c r="N29" s="4"/>
      <c r="O29" s="4" t="s">
        <v>980</v>
      </c>
      <c r="P29" s="4">
        <f t="shared" si="0"/>
        <v>9591.3190460000005</v>
      </c>
    </row>
    <row r="30" spans="1:16" x14ac:dyDescent="0.25">
      <c r="F30" s="6" t="s">
        <v>1278</v>
      </c>
      <c r="G30" s="4">
        <v>8425.9238379999988</v>
      </c>
      <c r="I30" s="6" t="s">
        <v>119</v>
      </c>
      <c r="J30" s="4">
        <v>7935.290645</v>
      </c>
      <c r="K30" s="4"/>
      <c r="L30" s="4" t="str">
        <v>HNM</v>
      </c>
      <c r="M30" s="4">
        <v>9591.3190460000005</v>
      </c>
      <c r="N30" s="4"/>
      <c r="O30" s="4" t="s">
        <v>984</v>
      </c>
      <c r="P30" s="4">
        <f t="shared" si="0"/>
        <v>7935.290645</v>
      </c>
    </row>
    <row r="31" spans="1:16" x14ac:dyDescent="0.25">
      <c r="F31" s="6" t="s">
        <v>1279</v>
      </c>
      <c r="G31" s="4">
        <v>20</v>
      </c>
      <c r="I31" s="6" t="s">
        <v>73</v>
      </c>
      <c r="J31" s="4">
        <v>4869.3243710000006</v>
      </c>
      <c r="K31" s="4"/>
      <c r="L31" s="4" t="str">
        <v>HUG</v>
      </c>
      <c r="M31" s="4">
        <v>9576.9500480000006</v>
      </c>
      <c r="N31" s="4"/>
      <c r="O31" s="4" t="s">
        <v>986</v>
      </c>
      <c r="P31" s="4">
        <f t="shared" si="0"/>
        <v>4869.3243710000006</v>
      </c>
    </row>
    <row r="32" spans="1:16" x14ac:dyDescent="0.25">
      <c r="F32" s="6" t="s">
        <v>1280</v>
      </c>
      <c r="G32" s="4">
        <v>11684.001608999999</v>
      </c>
      <c r="I32" s="6" t="s">
        <v>127</v>
      </c>
      <c r="J32" s="4">
        <v>12500.855561</v>
      </c>
      <c r="K32" s="4"/>
      <c r="L32" s="4" t="str">
        <v>LCI</v>
      </c>
      <c r="M32" s="4">
        <v>8310.3981000000003</v>
      </c>
      <c r="N32" s="4"/>
      <c r="O32" s="4" t="s">
        <v>979</v>
      </c>
      <c r="P32" s="4">
        <f t="shared" si="0"/>
        <v>12500.855561</v>
      </c>
    </row>
    <row r="33" spans="6:16" x14ac:dyDescent="0.25">
      <c r="F33" s="6" t="s">
        <v>1281</v>
      </c>
      <c r="G33" s="4">
        <v>110.91499999999999</v>
      </c>
      <c r="I33" s="6" t="s">
        <v>218</v>
      </c>
      <c r="J33" s="4">
        <v>9576.9500480000006</v>
      </c>
      <c r="K33" s="4"/>
      <c r="L33" s="4" t="str">
        <v>SLA</v>
      </c>
      <c r="M33" s="4">
        <v>8113.1165039999996</v>
      </c>
      <c r="N33" s="4"/>
      <c r="O33" s="4" t="s">
        <v>978</v>
      </c>
      <c r="P33" s="4">
        <f t="shared" si="0"/>
        <v>9576.9500480000006</v>
      </c>
    </row>
    <row r="34" spans="6:16" x14ac:dyDescent="0.25">
      <c r="F34" s="6" t="s">
        <v>886</v>
      </c>
      <c r="G34" s="4">
        <v>765873.47183599987</v>
      </c>
      <c r="I34" s="6" t="s">
        <v>345</v>
      </c>
      <c r="J34" s="4">
        <v>2725.5278090000002</v>
      </c>
      <c r="K34" s="4"/>
      <c r="L34" s="4" t="str">
        <v>HPG</v>
      </c>
      <c r="M34" s="4">
        <v>7935.290645</v>
      </c>
      <c r="N34" s="4"/>
      <c r="O34" s="4" t="s">
        <v>987</v>
      </c>
      <c r="P34" s="4">
        <f t="shared" si="0"/>
        <v>2725.5278090000002</v>
      </c>
    </row>
    <row r="35" spans="6:16" x14ac:dyDescent="0.25">
      <c r="I35" s="6" t="s">
        <v>151</v>
      </c>
      <c r="J35" s="4">
        <v>3685.1290469999999</v>
      </c>
      <c r="K35" s="4"/>
      <c r="L35" s="4" t="str">
        <v>BKN</v>
      </c>
      <c r="M35" s="4">
        <v>7482.8184549999942</v>
      </c>
      <c r="N35" s="4"/>
      <c r="O35" s="4" t="s">
        <v>989</v>
      </c>
      <c r="P35" s="4">
        <f t="shared" si="0"/>
        <v>3685.1290469999999</v>
      </c>
    </row>
    <row r="36" spans="6:16" x14ac:dyDescent="0.25">
      <c r="I36" s="6" t="s">
        <v>59</v>
      </c>
      <c r="J36" s="4">
        <v>11129.989547999998</v>
      </c>
      <c r="K36" s="4"/>
      <c r="L36" s="4" t="str">
        <v>HGG</v>
      </c>
      <c r="M36" s="4">
        <v>7385.6016020000006</v>
      </c>
      <c r="N36" s="4"/>
      <c r="O36" s="4" t="s">
        <v>988</v>
      </c>
      <c r="P36" s="4">
        <f t="shared" ref="P36:P66" si="1">J36</f>
        <v>11129.989547999998</v>
      </c>
    </row>
    <row r="37" spans="6:16" x14ac:dyDescent="0.25">
      <c r="I37" s="6" t="s">
        <v>268</v>
      </c>
      <c r="J37" s="4">
        <v>1922.1125469999999</v>
      </c>
      <c r="K37" s="4"/>
      <c r="L37" s="4" t="str">
        <v>QNI</v>
      </c>
      <c r="M37" s="4">
        <v>7271.4197770000001</v>
      </c>
      <c r="N37" s="4"/>
      <c r="O37" s="4" t="s">
        <v>896</v>
      </c>
      <c r="P37" s="4">
        <f t="shared" si="1"/>
        <v>1922.1125469999999</v>
      </c>
    </row>
    <row r="38" spans="6:16" x14ac:dyDescent="0.25">
      <c r="I38" s="6" t="s">
        <v>54</v>
      </c>
      <c r="J38" s="4">
        <v>3720.8367110000008</v>
      </c>
      <c r="K38" s="4"/>
      <c r="L38" s="4" t="str">
        <v>THA</v>
      </c>
      <c r="M38" s="4">
        <v>7220.2805119999994</v>
      </c>
      <c r="N38" s="4"/>
      <c r="O38" s="4" t="s">
        <v>991</v>
      </c>
      <c r="P38" s="4">
        <f t="shared" si="1"/>
        <v>3720.8367110000008</v>
      </c>
    </row>
    <row r="39" spans="6:16" x14ac:dyDescent="0.25">
      <c r="I39" s="6" t="s">
        <v>28</v>
      </c>
      <c r="J39" s="4">
        <v>8310.3981000000003</v>
      </c>
      <c r="K39" s="4"/>
      <c r="L39" s="4" t="str">
        <v>CTO</v>
      </c>
      <c r="M39" s="4">
        <v>7180.0828059999985</v>
      </c>
      <c r="N39" s="4"/>
      <c r="O39" s="4" t="s">
        <v>992</v>
      </c>
      <c r="P39" s="4">
        <f t="shared" si="1"/>
        <v>8310.3981000000003</v>
      </c>
    </row>
    <row r="40" spans="6:16" x14ac:dyDescent="0.25">
      <c r="I40" s="6" t="s">
        <v>47</v>
      </c>
      <c r="J40" s="4">
        <v>2820.4873229999998</v>
      </c>
      <c r="K40" s="4"/>
      <c r="L40" s="4" t="str">
        <v>DBN</v>
      </c>
      <c r="M40" s="4">
        <v>7092.8286689999959</v>
      </c>
      <c r="N40" s="4"/>
      <c r="O40" s="4" t="s">
        <v>993</v>
      </c>
      <c r="P40" s="4">
        <f t="shared" si="1"/>
        <v>2820.4873229999998</v>
      </c>
    </row>
    <row r="41" spans="6:16" x14ac:dyDescent="0.25">
      <c r="I41" s="6" t="s">
        <v>56</v>
      </c>
      <c r="J41" s="4">
        <v>5822.3394289999997</v>
      </c>
      <c r="K41" s="4"/>
      <c r="L41" s="4" t="str">
        <v>QBH</v>
      </c>
      <c r="M41" s="4">
        <v>6916.8100450000002</v>
      </c>
      <c r="N41" s="4"/>
      <c r="O41" s="4" t="s">
        <v>990</v>
      </c>
      <c r="P41" s="4">
        <f t="shared" si="1"/>
        <v>5822.3394289999997</v>
      </c>
    </row>
    <row r="42" spans="6:16" x14ac:dyDescent="0.25">
      <c r="I42" s="6" t="s">
        <v>27</v>
      </c>
      <c r="J42" s="4">
        <v>15218.321372999999</v>
      </c>
      <c r="K42" s="4"/>
      <c r="L42" s="4" t="str">
        <v>AGG</v>
      </c>
      <c r="M42" s="4">
        <v>6492.4351049999977</v>
      </c>
      <c r="N42" s="4"/>
      <c r="O42" s="4" t="s">
        <v>917</v>
      </c>
      <c r="P42" s="4">
        <f t="shared" si="1"/>
        <v>15218.321372999999</v>
      </c>
    </row>
    <row r="43" spans="6:16" x14ac:dyDescent="0.25">
      <c r="I43" s="6" t="s">
        <v>30</v>
      </c>
      <c r="J43" s="4">
        <v>23353.01359799998</v>
      </c>
      <c r="K43" s="4"/>
      <c r="L43" s="4" t="str">
        <v>BDH</v>
      </c>
      <c r="M43" s="4">
        <v>6328.6192240000019</v>
      </c>
      <c r="N43" s="4"/>
      <c r="O43" s="4" t="s">
        <v>996</v>
      </c>
      <c r="P43" s="4">
        <f t="shared" si="1"/>
        <v>23353.01359799998</v>
      </c>
    </row>
    <row r="44" spans="6:16" x14ac:dyDescent="0.25">
      <c r="I44" s="6" t="s">
        <v>77</v>
      </c>
      <c r="J44" s="4">
        <v>4343.1338110000006</v>
      </c>
      <c r="K44" s="4"/>
      <c r="L44" s="4" t="str">
        <v>QNH</v>
      </c>
      <c r="M44" s="4">
        <v>5920.464849</v>
      </c>
      <c r="N44" s="4"/>
      <c r="O44" s="4" t="s">
        <v>994</v>
      </c>
      <c r="P44" s="4">
        <f t="shared" si="1"/>
        <v>4343.1338110000006</v>
      </c>
    </row>
    <row r="45" spans="6:16" x14ac:dyDescent="0.25">
      <c r="I45" s="6" t="s">
        <v>95</v>
      </c>
      <c r="J45" s="4">
        <v>15985.129304</v>
      </c>
      <c r="K45" s="4"/>
      <c r="L45" s="4" t="str">
        <v>LDG</v>
      </c>
      <c r="M45" s="4">
        <v>5822.3394289999997</v>
      </c>
      <c r="N45" s="4"/>
      <c r="O45" s="4" t="s">
        <v>995</v>
      </c>
      <c r="P45" s="4">
        <f t="shared" si="1"/>
        <v>15985.129304</v>
      </c>
    </row>
    <row r="46" spans="6:16" x14ac:dyDescent="0.25">
      <c r="I46" s="6" t="s">
        <v>111</v>
      </c>
      <c r="J46" s="4">
        <v>5614.7705190000006</v>
      </c>
      <c r="K46" s="4"/>
      <c r="L46" s="4" t="str">
        <v>NTN</v>
      </c>
      <c r="M46" s="4">
        <v>5614.7705190000006</v>
      </c>
      <c r="N46" s="4"/>
      <c r="O46" s="4" t="s">
        <v>997</v>
      </c>
      <c r="P46" s="4">
        <f t="shared" si="1"/>
        <v>5614.7705190000006</v>
      </c>
    </row>
    <row r="47" spans="6:16" x14ac:dyDescent="0.25">
      <c r="I47" s="6" t="s">
        <v>74</v>
      </c>
      <c r="J47" s="4">
        <v>21166.137697999999</v>
      </c>
      <c r="K47" s="4"/>
      <c r="L47" s="4" t="str">
        <v>HTH</v>
      </c>
      <c r="M47" s="4">
        <v>4869.3243710000006</v>
      </c>
      <c r="N47" s="4"/>
      <c r="O47" s="4" t="s">
        <v>998</v>
      </c>
      <c r="P47" s="4">
        <f t="shared" si="1"/>
        <v>21166.137697999999</v>
      </c>
    </row>
    <row r="48" spans="6:16" x14ac:dyDescent="0.25">
      <c r="I48" s="6" t="s">
        <v>109</v>
      </c>
      <c r="J48" s="4">
        <v>10149.916876999998</v>
      </c>
      <c r="K48" s="4"/>
      <c r="L48" s="4" t="str">
        <v>HDG</v>
      </c>
      <c r="M48" s="4">
        <v>4808.0657460000002</v>
      </c>
      <c r="N48" s="4"/>
      <c r="O48" s="4" t="s">
        <v>999</v>
      </c>
      <c r="P48" s="4">
        <f t="shared" si="1"/>
        <v>10149.916876999998</v>
      </c>
    </row>
    <row r="49" spans="9:16" x14ac:dyDescent="0.25">
      <c r="I49" s="6" t="s">
        <v>157</v>
      </c>
      <c r="J49" s="4">
        <v>6916.8100450000002</v>
      </c>
      <c r="K49" s="4"/>
      <c r="L49" s="4" t="str">
        <v>NBH</v>
      </c>
      <c r="M49" s="4">
        <v>4343.1338110000006</v>
      </c>
      <c r="N49" s="4"/>
      <c r="O49" s="4" t="s">
        <v>1000</v>
      </c>
      <c r="P49" s="4">
        <f t="shared" si="1"/>
        <v>6916.8100450000002</v>
      </c>
    </row>
    <row r="50" spans="9:16" x14ac:dyDescent="0.25">
      <c r="I50" s="6" t="s">
        <v>71</v>
      </c>
      <c r="J50" s="4">
        <v>5920.464849</v>
      </c>
      <c r="K50" s="4"/>
      <c r="L50" s="4" t="str">
        <v>STG</v>
      </c>
      <c r="M50" s="4">
        <v>3866.574834</v>
      </c>
      <c r="N50" s="4"/>
      <c r="O50" s="4" t="s">
        <v>1003</v>
      </c>
      <c r="P50" s="4">
        <f t="shared" si="1"/>
        <v>5920.464849</v>
      </c>
    </row>
    <row r="51" spans="9:16" x14ac:dyDescent="0.25">
      <c r="I51" s="6" t="s">
        <v>102</v>
      </c>
      <c r="J51" s="4">
        <v>7271.4197770000001</v>
      </c>
      <c r="K51" s="4"/>
      <c r="L51" s="4" t="str">
        <v>BTE</v>
      </c>
      <c r="M51" s="4">
        <v>3772.3718109999995</v>
      </c>
      <c r="N51" s="4"/>
      <c r="O51" s="4" t="s">
        <v>1002</v>
      </c>
      <c r="P51" s="4">
        <f t="shared" si="1"/>
        <v>7271.4197770000001</v>
      </c>
    </row>
    <row r="52" spans="9:16" x14ac:dyDescent="0.25">
      <c r="I52" s="6" t="s">
        <v>130</v>
      </c>
      <c r="J52" s="4">
        <v>38712.175402999994</v>
      </c>
      <c r="K52" s="4"/>
      <c r="L52" s="4" t="str">
        <v>LAN</v>
      </c>
      <c r="M52" s="4">
        <v>3720.8367110000008</v>
      </c>
      <c r="N52" s="4"/>
      <c r="O52" s="4" t="s">
        <v>1001</v>
      </c>
      <c r="P52" s="4">
        <f t="shared" si="1"/>
        <v>38712.175402999994</v>
      </c>
    </row>
    <row r="53" spans="9:16" x14ac:dyDescent="0.25">
      <c r="I53" s="6" t="s">
        <v>209</v>
      </c>
      <c r="J53" s="4">
        <v>29579.392193</v>
      </c>
      <c r="K53" s="4"/>
      <c r="L53" s="4" t="str">
        <v>KGG</v>
      </c>
      <c r="M53" s="4">
        <v>3685.1290469999999</v>
      </c>
      <c r="N53" s="4"/>
      <c r="O53" s="4" t="s">
        <v>1004</v>
      </c>
      <c r="P53" s="4">
        <f t="shared" si="1"/>
        <v>29579.392193</v>
      </c>
    </row>
    <row r="54" spans="9:16" x14ac:dyDescent="0.25">
      <c r="I54" s="6" t="s">
        <v>92</v>
      </c>
      <c r="J54" s="4">
        <v>8113.1165039999996</v>
      </c>
      <c r="K54" s="4"/>
      <c r="L54" s="4" t="str">
        <v>VLG</v>
      </c>
      <c r="M54" s="4">
        <v>3392.427291</v>
      </c>
      <c r="N54" s="4"/>
      <c r="O54" s="4" t="s">
        <v>1006</v>
      </c>
      <c r="P54" s="4">
        <f t="shared" si="1"/>
        <v>8113.1165039999996</v>
      </c>
    </row>
    <row r="55" spans="9:16" x14ac:dyDescent="0.25">
      <c r="I55" s="6" t="s">
        <v>116</v>
      </c>
      <c r="J55" s="4">
        <v>3866.574834</v>
      </c>
      <c r="K55" s="4"/>
      <c r="L55" s="4" t="str">
        <v>TVH</v>
      </c>
      <c r="M55" s="4">
        <v>3370.6743240000005</v>
      </c>
      <c r="N55" s="4"/>
      <c r="O55" s="4" t="s">
        <v>1005</v>
      </c>
      <c r="P55" s="4">
        <f t="shared" si="1"/>
        <v>3866.574834</v>
      </c>
    </row>
    <row r="56" spans="9:16" x14ac:dyDescent="0.25">
      <c r="I56" s="6" t="s">
        <v>33</v>
      </c>
      <c r="J56" s="4">
        <v>36020.359414999992</v>
      </c>
      <c r="K56" s="4"/>
      <c r="L56" s="4" t="str">
        <v>BPC</v>
      </c>
      <c r="M56" s="4">
        <v>3365.7312200000006</v>
      </c>
      <c r="N56" s="4"/>
      <c r="O56" s="4" t="s">
        <v>1010</v>
      </c>
      <c r="P56" s="4">
        <f t="shared" si="1"/>
        <v>36020.359414999992</v>
      </c>
    </row>
    <row r="57" spans="9:16" x14ac:dyDescent="0.25">
      <c r="I57" s="6" t="s">
        <v>85</v>
      </c>
      <c r="J57" s="4">
        <v>17777.690087999996</v>
      </c>
      <c r="K57" s="4"/>
      <c r="L57" s="4" t="str">
        <v>DTP</v>
      </c>
      <c r="M57" s="4">
        <v>3225.2524669999998</v>
      </c>
      <c r="N57" s="4"/>
      <c r="O57" s="4" t="s">
        <v>1007</v>
      </c>
      <c r="P57" s="4">
        <f t="shared" si="1"/>
        <v>17777.690087999996</v>
      </c>
    </row>
    <row r="58" spans="9:16" x14ac:dyDescent="0.25">
      <c r="I58" s="6" t="s">
        <v>146</v>
      </c>
      <c r="J58" s="4">
        <v>7220.2805119999994</v>
      </c>
      <c r="K58" s="4"/>
      <c r="L58" s="4" t="str">
        <v>YBI</v>
      </c>
      <c r="M58" s="4">
        <v>3126.6998940000003</v>
      </c>
      <c r="N58" s="4"/>
      <c r="O58" s="4" t="s">
        <v>1011</v>
      </c>
      <c r="P58" s="4">
        <f t="shared" si="1"/>
        <v>7220.2805119999994</v>
      </c>
    </row>
    <row r="59" spans="9:16" x14ac:dyDescent="0.25">
      <c r="I59" s="6" t="s">
        <v>91</v>
      </c>
      <c r="J59" s="4">
        <v>1801.9624740000002</v>
      </c>
      <c r="K59" s="4"/>
      <c r="L59" s="4" t="str">
        <v>LCU</v>
      </c>
      <c r="M59" s="4">
        <v>2820.4873229999998</v>
      </c>
      <c r="N59" s="4"/>
      <c r="O59" s="4" t="s">
        <v>1009</v>
      </c>
      <c r="P59" s="4">
        <f t="shared" si="1"/>
        <v>1801.9624740000002</v>
      </c>
    </row>
    <row r="60" spans="9:16" x14ac:dyDescent="0.25">
      <c r="I60" s="6" t="s">
        <v>98</v>
      </c>
      <c r="J60" s="4">
        <v>30017.940513999994</v>
      </c>
      <c r="K60" s="4"/>
      <c r="L60" s="4" t="str">
        <v>HYN</v>
      </c>
      <c r="M60" s="4">
        <v>2725.5278090000002</v>
      </c>
      <c r="N60" s="4"/>
      <c r="O60" s="4" t="s">
        <v>1013</v>
      </c>
      <c r="P60" s="4">
        <f t="shared" si="1"/>
        <v>30017.940513999994</v>
      </c>
    </row>
    <row r="61" spans="9:16" x14ac:dyDescent="0.25">
      <c r="I61" s="6" t="s">
        <v>8</v>
      </c>
      <c r="J61" s="4">
        <v>9619.7465989999982</v>
      </c>
      <c r="K61" s="4"/>
      <c r="L61" s="4" t="str">
        <v>CMU</v>
      </c>
      <c r="M61" s="4">
        <v>2185.073269</v>
      </c>
      <c r="N61" s="4"/>
      <c r="O61" s="4" t="s">
        <v>1008</v>
      </c>
      <c r="P61" s="4">
        <f t="shared" si="1"/>
        <v>9619.7465989999982</v>
      </c>
    </row>
    <row r="62" spans="9:16" x14ac:dyDescent="0.25">
      <c r="I62" s="6" t="s">
        <v>13</v>
      </c>
      <c r="J62" s="4">
        <v>3370.6743240000005</v>
      </c>
      <c r="K62" s="4"/>
      <c r="L62" s="4" t="str">
        <v>HBH</v>
      </c>
      <c r="M62" s="4">
        <v>1926.130279</v>
      </c>
      <c r="N62" s="4"/>
      <c r="O62" s="4" t="s">
        <v>1015</v>
      </c>
      <c r="P62" s="4">
        <f t="shared" si="1"/>
        <v>3370.6743240000005</v>
      </c>
    </row>
    <row r="63" spans="9:16" x14ac:dyDescent="0.25">
      <c r="I63" s="6" t="s">
        <v>62</v>
      </c>
      <c r="J63" s="4">
        <v>3392.427291</v>
      </c>
      <c r="K63" s="4"/>
      <c r="L63" s="4" t="str">
        <v>KTM</v>
      </c>
      <c r="M63" s="4">
        <v>1922.1125469999999</v>
      </c>
      <c r="N63" s="4"/>
      <c r="O63" s="4" t="s">
        <v>1012</v>
      </c>
      <c r="P63" s="4">
        <f t="shared" si="1"/>
        <v>3392.427291</v>
      </c>
    </row>
    <row r="64" spans="9:16" x14ac:dyDescent="0.25">
      <c r="I64" s="6" t="s">
        <v>191</v>
      </c>
      <c r="J64" s="4">
        <v>13241.832831000002</v>
      </c>
      <c r="K64" s="4"/>
      <c r="L64" s="4" t="str">
        <v>TNH</v>
      </c>
      <c r="M64" s="4">
        <v>1801.9624740000002</v>
      </c>
      <c r="N64" s="4"/>
      <c r="O64" s="4" t="s">
        <v>1016</v>
      </c>
      <c r="P64" s="4">
        <f t="shared" si="1"/>
        <v>13241.832831000002</v>
      </c>
    </row>
    <row r="65" spans="9:16" x14ac:dyDescent="0.25">
      <c r="I65" s="6" t="s">
        <v>100</v>
      </c>
      <c r="J65" s="4">
        <v>39044.200606999999</v>
      </c>
      <c r="K65" s="4"/>
      <c r="L65" s="4" t="str">
        <v>DLK</v>
      </c>
      <c r="M65" s="4">
        <v>1622.812347</v>
      </c>
      <c r="N65" s="4"/>
      <c r="O65" s="4" t="s">
        <v>1017</v>
      </c>
      <c r="P65" s="4">
        <f t="shared" si="1"/>
        <v>39044.200606999999</v>
      </c>
    </row>
    <row r="66" spans="9:16" x14ac:dyDescent="0.25">
      <c r="I66" s="6" t="s">
        <v>45</v>
      </c>
      <c r="J66" s="4">
        <v>3126.6998940000003</v>
      </c>
      <c r="K66" s="4"/>
      <c r="L66" s="4" t="str">
        <v>BLU</v>
      </c>
      <c r="M66" s="4">
        <v>1358.8011140000001</v>
      </c>
      <c r="N66" s="4"/>
      <c r="O66" s="4" t="s">
        <v>1019</v>
      </c>
      <c r="P66" s="4">
        <f t="shared" si="1"/>
        <v>3126.6998940000003</v>
      </c>
    </row>
    <row r="67" spans="9:16" x14ac:dyDescent="0.25">
      <c r="K67" s="4"/>
      <c r="L67" s="4"/>
      <c r="M67" s="4"/>
      <c r="N67" s="4"/>
      <c r="O67" s="4"/>
      <c r="P67" s="4"/>
    </row>
  </sheetData>
  <autoFilter ref="O3:P66" xr:uid="{00000000-0001-0000-0100-000000000000}">
    <sortState xmlns:xlrd2="http://schemas.microsoft.com/office/spreadsheetml/2017/richdata2" ref="O4:P66">
      <sortCondition ref="O3:O66"/>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tabSelected="1" workbookViewId="0">
      <selection activeCell="A3" sqref="A3"/>
    </sheetView>
  </sheetViews>
  <sheetFormatPr defaultRowHeight="15.75" x14ac:dyDescent="0.25"/>
  <cols>
    <col min="1" max="16384" width="9" style="3"/>
  </cols>
  <sheetData>
    <row r="1" spans="1:1" x14ac:dyDescent="0.25">
      <c r="A1" s="3" t="s">
        <v>881</v>
      </c>
    </row>
    <row r="2" spans="1:1" x14ac:dyDescent="0.25">
      <c r="A2" s="3" t="s">
        <v>1286</v>
      </c>
    </row>
    <row r="3" spans="1:1" x14ac:dyDescent="0.25">
      <c r="A3" s="3" t="s">
        <v>882</v>
      </c>
    </row>
    <row r="4" spans="1:1" x14ac:dyDescent="0.25">
      <c r="A4" s="3" t="s">
        <v>888</v>
      </c>
    </row>
    <row r="5" spans="1:1" x14ac:dyDescent="0.25">
      <c r="A5" s="3" t="s">
        <v>889</v>
      </c>
    </row>
    <row r="6" spans="1:1" x14ac:dyDescent="0.25">
      <c r="A6" s="3" t="s">
        <v>890</v>
      </c>
    </row>
    <row r="7" spans="1:1" x14ac:dyDescent="0.25">
      <c r="A7" s="3" t="s">
        <v>891</v>
      </c>
    </row>
    <row r="8" spans="1:1" x14ac:dyDescent="0.25">
      <c r="A8" s="9" t="s">
        <v>955</v>
      </c>
    </row>
    <row r="9" spans="1:1" x14ac:dyDescent="0.25">
      <c r="A9" s="9" t="s">
        <v>956</v>
      </c>
    </row>
    <row r="10" spans="1:1" x14ac:dyDescent="0.25">
      <c r="A10" s="9" t="s">
        <v>1258</v>
      </c>
    </row>
    <row r="11" spans="1:1" x14ac:dyDescent="0.25">
      <c r="A11" s="9" t="s">
        <v>1259</v>
      </c>
    </row>
    <row r="12" spans="1:1" x14ac:dyDescent="0.25">
      <c r="A12" s="3" t="s">
        <v>957</v>
      </c>
    </row>
    <row r="13" spans="1:1" x14ac:dyDescent="0.25">
      <c r="A13" s="9" t="s">
        <v>958</v>
      </c>
    </row>
    <row r="14" spans="1:1" x14ac:dyDescent="0.25">
      <c r="A14" s="9" t="s">
        <v>959</v>
      </c>
    </row>
    <row r="15" spans="1:1" x14ac:dyDescent="0.25">
      <c r="A15" s="9" t="s">
        <v>960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5"/>
  <sheetViews>
    <sheetView workbookViewId="0">
      <selection activeCell="H12" sqref="H12"/>
    </sheetView>
  </sheetViews>
  <sheetFormatPr defaultRowHeight="15.75" x14ac:dyDescent="0.25"/>
  <cols>
    <col min="2" max="2" width="15.5" customWidth="1"/>
    <col min="3" max="3" width="15.25" bestFit="1" customWidth="1"/>
  </cols>
  <sheetData>
    <row r="1" spans="1:3" x14ac:dyDescent="0.25">
      <c r="A1" s="40" t="s">
        <v>892</v>
      </c>
      <c r="B1" s="40" t="s">
        <v>893</v>
      </c>
      <c r="C1" s="40" t="s">
        <v>1022</v>
      </c>
    </row>
    <row r="2" spans="1:3" x14ac:dyDescent="0.25">
      <c r="A2" s="40"/>
      <c r="B2" s="40"/>
      <c r="C2" s="40"/>
    </row>
    <row r="3" spans="1:3" x14ac:dyDescent="0.25">
      <c r="A3" s="10" t="s">
        <v>209</v>
      </c>
      <c r="B3" s="8" t="s">
        <v>894</v>
      </c>
      <c r="C3" s="11" t="s">
        <v>1004</v>
      </c>
    </row>
    <row r="4" spans="1:3" x14ac:dyDescent="0.25">
      <c r="A4" s="10" t="s">
        <v>68</v>
      </c>
      <c r="B4" s="8" t="s">
        <v>895</v>
      </c>
      <c r="C4" s="11" t="s">
        <v>969</v>
      </c>
    </row>
    <row r="5" spans="1:3" x14ac:dyDescent="0.25">
      <c r="A5" s="10" t="s">
        <v>268</v>
      </c>
      <c r="B5" s="8" t="s">
        <v>896</v>
      </c>
      <c r="C5" s="11" t="s">
        <v>896</v>
      </c>
    </row>
    <row r="6" spans="1:3" x14ac:dyDescent="0.25">
      <c r="A6" s="10" t="s">
        <v>255</v>
      </c>
      <c r="B6" s="8" t="s">
        <v>897</v>
      </c>
      <c r="C6" s="11" t="s">
        <v>981</v>
      </c>
    </row>
    <row r="7" spans="1:3" x14ac:dyDescent="0.25">
      <c r="A7" s="10" t="s">
        <v>30</v>
      </c>
      <c r="B7" s="8" t="s">
        <v>898</v>
      </c>
      <c r="C7" s="11" t="s">
        <v>994</v>
      </c>
    </row>
    <row r="8" spans="1:3" x14ac:dyDescent="0.25">
      <c r="A8" s="10" t="s">
        <v>218</v>
      </c>
      <c r="B8" s="8" t="s">
        <v>899</v>
      </c>
      <c r="C8" s="11" t="s">
        <v>986</v>
      </c>
    </row>
    <row r="9" spans="1:3" x14ac:dyDescent="0.25">
      <c r="A9" s="10" t="s">
        <v>345</v>
      </c>
      <c r="B9" s="8" t="s">
        <v>900</v>
      </c>
      <c r="C9" s="11" t="s">
        <v>987</v>
      </c>
    </row>
    <row r="10" spans="1:3" x14ac:dyDescent="0.25">
      <c r="A10" s="10" t="s">
        <v>191</v>
      </c>
      <c r="B10" s="8" t="s">
        <v>901</v>
      </c>
      <c r="C10" s="11" t="s">
        <v>1017</v>
      </c>
    </row>
    <row r="11" spans="1:3" x14ac:dyDescent="0.25">
      <c r="A11" s="10" t="s">
        <v>128</v>
      </c>
      <c r="B11" s="8" t="s">
        <v>902</v>
      </c>
      <c r="C11" s="11" t="s">
        <v>976</v>
      </c>
    </row>
    <row r="12" spans="1:3" x14ac:dyDescent="0.25">
      <c r="A12" s="10" t="s">
        <v>130</v>
      </c>
      <c r="B12" s="8" t="s">
        <v>903</v>
      </c>
      <c r="C12" s="11" t="s">
        <v>1003</v>
      </c>
    </row>
    <row r="13" spans="1:3" x14ac:dyDescent="0.25">
      <c r="A13" s="10" t="s">
        <v>95</v>
      </c>
      <c r="B13" s="8" t="s">
        <v>904</v>
      </c>
      <c r="C13" s="11" t="s">
        <v>996</v>
      </c>
    </row>
    <row r="14" spans="1:3" x14ac:dyDescent="0.25">
      <c r="A14" s="10" t="s">
        <v>64</v>
      </c>
      <c r="B14" s="8" t="s">
        <v>905</v>
      </c>
      <c r="C14" s="11" t="s">
        <v>978</v>
      </c>
    </row>
    <row r="15" spans="1:3" x14ac:dyDescent="0.25">
      <c r="A15" s="10" t="s">
        <v>91</v>
      </c>
      <c r="B15" s="8" t="s">
        <v>906</v>
      </c>
      <c r="C15" s="11" t="s">
        <v>1010</v>
      </c>
    </row>
    <row r="16" spans="1:3" x14ac:dyDescent="0.25">
      <c r="A16" s="10" t="s">
        <v>39</v>
      </c>
      <c r="B16" s="8" t="s">
        <v>907</v>
      </c>
      <c r="C16" s="11" t="s">
        <v>961</v>
      </c>
    </row>
    <row r="17" spans="1:3" x14ac:dyDescent="0.25">
      <c r="A17" s="10" t="s">
        <v>8</v>
      </c>
      <c r="B17" s="8" t="s">
        <v>908</v>
      </c>
      <c r="C17" s="11" t="s">
        <v>1012</v>
      </c>
    </row>
    <row r="18" spans="1:3" x14ac:dyDescent="0.25">
      <c r="A18" s="10" t="s">
        <v>65</v>
      </c>
      <c r="B18" s="8" t="s">
        <v>909</v>
      </c>
      <c r="C18" s="11" t="s">
        <v>973</v>
      </c>
    </row>
    <row r="19" spans="1:3" x14ac:dyDescent="0.25">
      <c r="A19" s="10" t="s">
        <v>109</v>
      </c>
      <c r="B19" s="8" t="s">
        <v>910</v>
      </c>
      <c r="C19" s="11" t="s">
        <v>999</v>
      </c>
    </row>
    <row r="20" spans="1:3" x14ac:dyDescent="0.25">
      <c r="A20" s="10" t="s">
        <v>43</v>
      </c>
      <c r="B20" s="8" t="s">
        <v>911</v>
      </c>
      <c r="C20" s="11" t="s">
        <v>966</v>
      </c>
    </row>
    <row r="21" spans="1:3" x14ac:dyDescent="0.25">
      <c r="A21" s="10" t="s">
        <v>127</v>
      </c>
      <c r="B21" s="8" t="s">
        <v>1014</v>
      </c>
      <c r="C21" s="11" t="s">
        <v>1013</v>
      </c>
    </row>
    <row r="22" spans="1:3" x14ac:dyDescent="0.25">
      <c r="A22" s="10" t="s">
        <v>23</v>
      </c>
      <c r="B22" s="8" t="s">
        <v>912</v>
      </c>
      <c r="C22" s="11" t="s">
        <v>912</v>
      </c>
    </row>
    <row r="23" spans="1:3" x14ac:dyDescent="0.25">
      <c r="A23" s="10" t="s">
        <v>85</v>
      </c>
      <c r="B23" s="8" t="s">
        <v>913</v>
      </c>
      <c r="C23" s="11" t="s">
        <v>1008</v>
      </c>
    </row>
    <row r="24" spans="1:3" x14ac:dyDescent="0.25">
      <c r="A24" s="12" t="s">
        <v>17</v>
      </c>
      <c r="B24" s="8" t="s">
        <v>914</v>
      </c>
      <c r="C24" s="11" t="s">
        <v>963</v>
      </c>
    </row>
    <row r="25" spans="1:3" x14ac:dyDescent="0.25">
      <c r="A25" s="10" t="s">
        <v>56</v>
      </c>
      <c r="B25" s="8" t="s">
        <v>915</v>
      </c>
      <c r="C25" s="11" t="s">
        <v>992</v>
      </c>
    </row>
    <row r="26" spans="1:3" x14ac:dyDescent="0.25">
      <c r="A26" s="10" t="s">
        <v>78</v>
      </c>
      <c r="B26" s="8" t="s">
        <v>916</v>
      </c>
      <c r="C26" s="11" t="s">
        <v>916</v>
      </c>
    </row>
    <row r="27" spans="1:3" x14ac:dyDescent="0.25">
      <c r="A27" s="10" t="s">
        <v>100</v>
      </c>
      <c r="B27" s="8" t="s">
        <v>1020</v>
      </c>
      <c r="C27" s="11" t="s">
        <v>1018</v>
      </c>
    </row>
    <row r="28" spans="1:3" x14ac:dyDescent="0.25">
      <c r="A28" s="10" t="s">
        <v>54</v>
      </c>
      <c r="B28" s="8" t="s">
        <v>917</v>
      </c>
      <c r="C28" s="11" t="s">
        <v>917</v>
      </c>
    </row>
    <row r="29" spans="1:3" x14ac:dyDescent="0.25">
      <c r="A29" s="10" t="s">
        <v>89</v>
      </c>
      <c r="B29" s="8" t="s">
        <v>918</v>
      </c>
      <c r="C29" s="11" t="s">
        <v>964</v>
      </c>
    </row>
    <row r="30" spans="1:3" x14ac:dyDescent="0.25">
      <c r="A30" s="10" t="s">
        <v>37</v>
      </c>
      <c r="B30" s="8" t="s">
        <v>919</v>
      </c>
      <c r="C30" s="11" t="s">
        <v>970</v>
      </c>
    </row>
    <row r="31" spans="1:3" x14ac:dyDescent="0.25">
      <c r="A31" s="10" t="s">
        <v>151</v>
      </c>
      <c r="B31" s="8" t="s">
        <v>920</v>
      </c>
      <c r="C31" s="11" t="s">
        <v>988</v>
      </c>
    </row>
    <row r="32" spans="1:3" x14ac:dyDescent="0.25">
      <c r="A32" s="10" t="s">
        <v>28</v>
      </c>
      <c r="B32" s="8" t="s">
        <v>921</v>
      </c>
      <c r="C32" s="11" t="s">
        <v>990</v>
      </c>
    </row>
    <row r="33" spans="1:3" x14ac:dyDescent="0.25">
      <c r="A33" s="10" t="s">
        <v>47</v>
      </c>
      <c r="B33" s="8" t="s">
        <v>922</v>
      </c>
      <c r="C33" s="11" t="s">
        <v>991</v>
      </c>
    </row>
    <row r="34" spans="1:3" x14ac:dyDescent="0.25">
      <c r="A34" s="10" t="s">
        <v>33</v>
      </c>
      <c r="B34" s="8" t="s">
        <v>923</v>
      </c>
      <c r="C34" s="11" t="s">
        <v>1007</v>
      </c>
    </row>
    <row r="35" spans="1:3" x14ac:dyDescent="0.25">
      <c r="A35" s="10" t="s">
        <v>74</v>
      </c>
      <c r="B35" s="8" t="s">
        <v>924</v>
      </c>
      <c r="C35" s="11" t="s">
        <v>998</v>
      </c>
    </row>
    <row r="36" spans="1:3" x14ac:dyDescent="0.25">
      <c r="A36" s="10" t="s">
        <v>160</v>
      </c>
      <c r="B36" s="8" t="s">
        <v>925</v>
      </c>
      <c r="C36" s="11" t="s">
        <v>980</v>
      </c>
    </row>
    <row r="37" spans="1:3" x14ac:dyDescent="0.25">
      <c r="A37" s="10" t="s">
        <v>98</v>
      </c>
      <c r="B37" s="8" t="s">
        <v>926</v>
      </c>
      <c r="C37" s="11" t="s">
        <v>1011</v>
      </c>
    </row>
    <row r="38" spans="1:3" x14ac:dyDescent="0.25">
      <c r="A38" s="10" t="s">
        <v>52</v>
      </c>
      <c r="B38" s="8" t="s">
        <v>927</v>
      </c>
      <c r="C38" s="11" t="s">
        <v>982</v>
      </c>
    </row>
    <row r="39" spans="1:3" x14ac:dyDescent="0.25">
      <c r="A39" s="10" t="s">
        <v>45</v>
      </c>
      <c r="B39" s="8" t="s">
        <v>928</v>
      </c>
      <c r="C39" s="11" t="s">
        <v>1019</v>
      </c>
    </row>
    <row r="40" spans="1:3" x14ac:dyDescent="0.25">
      <c r="A40" s="10" t="s">
        <v>123</v>
      </c>
      <c r="B40" s="8" t="s">
        <v>929</v>
      </c>
      <c r="C40" s="11" t="s">
        <v>965</v>
      </c>
    </row>
    <row r="41" spans="1:3" x14ac:dyDescent="0.25">
      <c r="A41" s="10" t="s">
        <v>77</v>
      </c>
      <c r="B41" s="8" t="s">
        <v>930</v>
      </c>
      <c r="C41" s="11" t="s">
        <v>995</v>
      </c>
    </row>
    <row r="42" spans="1:3" x14ac:dyDescent="0.25">
      <c r="A42" s="10" t="s">
        <v>146</v>
      </c>
      <c r="B42" s="8" t="s">
        <v>931</v>
      </c>
      <c r="C42" s="11" t="s">
        <v>1009</v>
      </c>
    </row>
    <row r="43" spans="1:3" x14ac:dyDescent="0.25">
      <c r="A43" s="10" t="s">
        <v>62</v>
      </c>
      <c r="B43" s="8" t="s">
        <v>932</v>
      </c>
      <c r="C43" s="11" t="s">
        <v>1016</v>
      </c>
    </row>
    <row r="44" spans="1:3" x14ac:dyDescent="0.25">
      <c r="A44" s="10" t="s">
        <v>21</v>
      </c>
      <c r="B44" s="8" t="s">
        <v>933</v>
      </c>
      <c r="C44" s="11" t="s">
        <v>975</v>
      </c>
    </row>
    <row r="45" spans="1:3" x14ac:dyDescent="0.25">
      <c r="A45" s="10" t="s">
        <v>36</v>
      </c>
      <c r="B45" s="8" t="s">
        <v>934</v>
      </c>
      <c r="C45" s="11" t="s">
        <v>977</v>
      </c>
    </row>
    <row r="46" spans="1:3" x14ac:dyDescent="0.25">
      <c r="A46" s="10" t="s">
        <v>116</v>
      </c>
      <c r="B46" s="8" t="s">
        <v>935</v>
      </c>
      <c r="C46" s="11" t="s">
        <v>1006</v>
      </c>
    </row>
    <row r="47" spans="1:3" x14ac:dyDescent="0.25">
      <c r="A47" s="10" t="s">
        <v>48</v>
      </c>
      <c r="B47" s="8" t="s">
        <v>936</v>
      </c>
      <c r="C47" s="11" t="s">
        <v>974</v>
      </c>
    </row>
    <row r="48" spans="1:3" x14ac:dyDescent="0.25">
      <c r="A48" s="10" t="s">
        <v>75</v>
      </c>
      <c r="B48" s="8" t="s">
        <v>937</v>
      </c>
      <c r="C48" s="11" t="s">
        <v>968</v>
      </c>
    </row>
    <row r="49" spans="1:3" x14ac:dyDescent="0.25">
      <c r="A49" s="10" t="s">
        <v>50</v>
      </c>
      <c r="B49" s="8" t="s">
        <v>938</v>
      </c>
      <c r="C49" s="11" t="s">
        <v>983</v>
      </c>
    </row>
    <row r="50" spans="1:3" x14ac:dyDescent="0.25">
      <c r="A50" s="10" t="s">
        <v>59</v>
      </c>
      <c r="B50" s="8" t="s">
        <v>939</v>
      </c>
      <c r="C50" s="11" t="s">
        <v>989</v>
      </c>
    </row>
    <row r="51" spans="1:3" x14ac:dyDescent="0.25">
      <c r="A51" s="10" t="s">
        <v>13</v>
      </c>
      <c r="B51" s="8" t="s">
        <v>940</v>
      </c>
      <c r="C51" s="11" t="s">
        <v>1015</v>
      </c>
    </row>
    <row r="52" spans="1:3" x14ac:dyDescent="0.25">
      <c r="A52" s="10" t="s">
        <v>79</v>
      </c>
      <c r="B52" s="8" t="s">
        <v>941</v>
      </c>
      <c r="C52" s="11" t="s">
        <v>971</v>
      </c>
    </row>
    <row r="53" spans="1:3" x14ac:dyDescent="0.25">
      <c r="A53" s="10" t="s">
        <v>72</v>
      </c>
      <c r="B53" s="8" t="s">
        <v>942</v>
      </c>
      <c r="C53" s="11" t="s">
        <v>962</v>
      </c>
    </row>
    <row r="54" spans="1:3" x14ac:dyDescent="0.25">
      <c r="A54" s="10" t="s">
        <v>87</v>
      </c>
      <c r="B54" s="8" t="s">
        <v>943</v>
      </c>
      <c r="C54" s="11" t="s">
        <v>1021</v>
      </c>
    </row>
    <row r="55" spans="1:3" x14ac:dyDescent="0.25">
      <c r="A55" s="10" t="s">
        <v>102</v>
      </c>
      <c r="B55" s="8" t="s">
        <v>944</v>
      </c>
      <c r="C55" s="11" t="s">
        <v>1002</v>
      </c>
    </row>
    <row r="56" spans="1:3" x14ac:dyDescent="0.25">
      <c r="A56" s="10" t="s">
        <v>71</v>
      </c>
      <c r="B56" s="8" t="s">
        <v>945</v>
      </c>
      <c r="C56" s="11" t="s">
        <v>1001</v>
      </c>
    </row>
    <row r="57" spans="1:3" x14ac:dyDescent="0.25">
      <c r="A57" s="10" t="s">
        <v>157</v>
      </c>
      <c r="B57" s="8" t="s">
        <v>946</v>
      </c>
      <c r="C57" s="11" t="s">
        <v>1000</v>
      </c>
    </row>
    <row r="58" spans="1:3" x14ac:dyDescent="0.25">
      <c r="A58" s="10" t="s">
        <v>51</v>
      </c>
      <c r="B58" s="8" t="s">
        <v>947</v>
      </c>
      <c r="C58" s="11" t="s">
        <v>967</v>
      </c>
    </row>
    <row r="59" spans="1:3" x14ac:dyDescent="0.25">
      <c r="A59" s="10" t="s">
        <v>73</v>
      </c>
      <c r="B59" s="8" t="s">
        <v>948</v>
      </c>
      <c r="C59" s="11" t="s">
        <v>985</v>
      </c>
    </row>
    <row r="60" spans="1:3" x14ac:dyDescent="0.25">
      <c r="A60" s="10" t="s">
        <v>119</v>
      </c>
      <c r="B60" s="8" t="s">
        <v>949</v>
      </c>
      <c r="C60" s="11" t="s">
        <v>984</v>
      </c>
    </row>
    <row r="61" spans="1:3" x14ac:dyDescent="0.25">
      <c r="A61" s="10" t="s">
        <v>55</v>
      </c>
      <c r="B61" s="8" t="s">
        <v>950</v>
      </c>
      <c r="C61" s="11" t="s">
        <v>972</v>
      </c>
    </row>
    <row r="62" spans="1:3" x14ac:dyDescent="0.25">
      <c r="A62" s="10" t="s">
        <v>107</v>
      </c>
      <c r="B62" s="8" t="s">
        <v>954</v>
      </c>
      <c r="C62" s="11" t="s">
        <v>979</v>
      </c>
    </row>
    <row r="63" spans="1:3" x14ac:dyDescent="0.25">
      <c r="A63" s="10" t="s">
        <v>92</v>
      </c>
      <c r="B63" s="8" t="s">
        <v>951</v>
      </c>
      <c r="C63" s="11" t="s">
        <v>1005</v>
      </c>
    </row>
    <row r="64" spans="1:3" x14ac:dyDescent="0.25">
      <c r="A64" s="10" t="s">
        <v>27</v>
      </c>
      <c r="B64" s="8" t="s">
        <v>952</v>
      </c>
      <c r="C64" s="11" t="s">
        <v>993</v>
      </c>
    </row>
    <row r="65" spans="1:3" x14ac:dyDescent="0.25">
      <c r="A65" s="10" t="s">
        <v>111</v>
      </c>
      <c r="B65" s="8" t="s">
        <v>953</v>
      </c>
      <c r="C65" s="11" t="s">
        <v>997</v>
      </c>
    </row>
  </sheetData>
  <mergeCells count="3">
    <mergeCell ref="A1:A2"/>
    <mergeCell ref="B1:B2"/>
    <mergeCell ref="C1:C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Báo cáo</vt:lpstr>
      <vt:lpstr>Data</vt:lpstr>
      <vt:lpstr>Pivot</vt:lpstr>
      <vt:lpstr>Các bước</vt:lpstr>
      <vt:lpstr>Mã tỉnh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Nhungnt27</cp:lastModifiedBy>
  <dcterms:created xsi:type="dcterms:W3CDTF">2025-03-24T08:39:42Z</dcterms:created>
  <dcterms:modified xsi:type="dcterms:W3CDTF">2025-08-11T04:19:32Z</dcterms:modified>
</cp:coreProperties>
</file>